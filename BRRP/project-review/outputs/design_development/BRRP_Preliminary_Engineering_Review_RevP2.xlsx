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s" sheetId="1" state="visible" r:id="rId1"/>
    <sheet xmlns:r="http://schemas.openxmlformats.org/officeDocument/2006/relationships" name="Source Inputs" sheetId="2" state="visible" r:id="rId2"/>
    <sheet xmlns:r="http://schemas.openxmlformats.org/officeDocument/2006/relationships" name="Serviceability Arithmetic" sheetId="3" state="visible" r:id="rId3"/>
    <sheet xmlns:r="http://schemas.openxmlformats.org/officeDocument/2006/relationships" name="Audit Snapshot" sheetId="4" state="visible" r:id="rId4"/>
    <sheet xmlns:r="http://schemas.openxmlformats.org/officeDocument/2006/relationships" name="Live Load Reconciliation" sheetId="5" state="visible" r:id="rId5"/>
    <sheet xmlns:r="http://schemas.openxmlformats.org/officeDocument/2006/relationships" name="Section Geometry" sheetId="6" state="visible" r:id="rId6"/>
    <sheet xmlns:r="http://schemas.openxmlformats.org/officeDocument/2006/relationships" name="Design Queries" sheetId="7" state="visible" r:id="rId7"/>
    <sheet xmlns:r="http://schemas.openxmlformats.org/officeDocument/2006/relationships" name="Calculation and Detail Plan" sheetId="8" state="visible" r:id="rId8"/>
    <sheet xmlns:r="http://schemas.openxmlformats.org/officeDocument/2006/relationships" name="Design Basis Source Index" sheetId="9" state="visible" r:id="rId9"/>
  </sheets>
  <definedNames>
    <definedName name="_xlnm._FilterDatabase" localSheetId="0" hidden="1">'Basis'!$A$1:$B$12</definedName>
    <definedName name="_xlnm._FilterDatabase" localSheetId="1" hidden="1">'Source Inputs'!$A$1:$K$4</definedName>
    <definedName name="_xlnm._FilterDatabase" localSheetId="2" hidden="1">'Serviceability Arithmetic'!$A$1:$L$4</definedName>
    <definedName name="_xlnm._FilterDatabase" localSheetId="3" hidden="1">'Audit Snapshot'!$A$1:$J$4</definedName>
    <definedName name="_xlnm._FilterDatabase" localSheetId="4" hidden="1">'Live Load Reconciliation'!$A$1:$J$4</definedName>
    <definedName name="_xlnm._FilterDatabase" localSheetId="5" hidden="1">'Section Geometry'!$A$1:$J$5</definedName>
    <definedName name="_xlnm._FilterDatabase" localSheetId="6" hidden="1">'Design Queries'!$A$1:$G$15</definedName>
    <definedName name="_xlnm._FilterDatabase" localSheetId="7" hidden="1">'Calculation and Detail Plan'!$A$1:$D$9</definedName>
    <definedName name="_xlnm._FilterDatabase" localSheetId="8" hidden="1">'Design Basis Source Index'!$A$1:$G$13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1" t="inlineStr">
        <is>
          <t>Topic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PRELIMINARY DESIGN DEVELOPMENT / INDEPENDENT ARITHMETIC AUDIT ONLY. Not a completed design, checked FE model or AFC release.</t>
        </is>
      </c>
    </row>
    <row r="3">
      <c r="A3" s="2" t="inlineStr">
        <is>
          <t>Sources</t>
        </is>
      </c>
      <c r="B3" s="2" t="inlineStr">
        <is>
          <t>SOW &amp; Bridge Report Combined.pdf, 506 pages; structural SOW Rev C; reports BPR-0003/0004/0005; structural scope addendum; Specification Combined.pdf.</t>
        </is>
      </c>
    </row>
    <row r="4">
      <c r="A4" s="2" t="inlineStr">
        <is>
          <t>Scope</t>
        </is>
      </c>
      <c r="B4" s="2" t="inlineStr">
        <is>
          <t>Three replacement bridges and associated supports / landings / platform-jacket interfaces. BHS includes service supports, operational transfer and demolition engineering.</t>
        </is>
      </c>
    </row>
    <row r="5">
      <c r="A5" s="2" t="inlineStr">
        <is>
          <t>Geometry</t>
        </is>
      </c>
      <c r="B5" s="2" t="inlineStr">
        <is>
          <t>Reported SACS lengths 56/84/42 m are preliminary model lengths, NOT verified fabrication lengths or bearing-centre coordinates.</t>
        </is>
      </c>
    </row>
    <row r="6">
      <c r="A6" s="2" t="inlineStr">
        <is>
          <t>Loads</t>
        </is>
      </c>
      <c r="B6" s="2" t="inlineStr">
        <is>
          <t>Load extents, source model and combinations require reconciliation; do not size members from the arithmetic review.</t>
        </is>
      </c>
    </row>
    <row r="7">
      <c r="A7" s="2" t="inlineStr">
        <is>
          <t>Limits</t>
        </is>
      </c>
      <c r="B7" s="2" t="inlineStr">
        <is>
          <t>L/400 vertical and L/500 lateral are source-study criteria used for arithmetic reproduction, not independently approved project acceptance criteria.</t>
        </is>
      </c>
    </row>
    <row r="8">
      <c r="A8" s="2" t="inlineStr">
        <is>
          <t>Sections</t>
        </is>
      </c>
      <c r="B8" s="2" t="inlineStr">
        <is>
          <t>Tubular dimensions in Section Geometry are transcribed only from ICP report VIV table. They are NOT mapped to chords/braces or selected for construction.</t>
        </is>
      </c>
    </row>
    <row r="9">
      <c r="A9" s="2" t="inlineStr">
        <is>
          <t>Support</t>
        </is>
      </c>
      <c r="B9" s="2" t="inlineStr">
        <is>
          <t>SOW fixed/sliding terminology must be implemented using verified global/local directions, support coordinates, movements and actual restraints. Fixed is not automatically a moment-fixed member end.</t>
        </is>
      </c>
    </row>
    <row r="10">
      <c r="A10" s="2" t="inlineStr">
        <is>
          <t>Model status</t>
        </is>
      </c>
      <c r="B10" s="2" t="inlineStr">
        <is>
          <t>Native analysis model, member groups, load distribution, stiffness assumptions, connectivity, combinations and full result envelopes have not been independently reproduced.</t>
        </is>
      </c>
    </row>
    <row r="11">
      <c r="A11" s="2" t="inlineStr">
        <is>
          <t>Release</t>
        </is>
      </c>
      <c r="B11" s="2" t="inlineStr">
        <is>
          <t>Final fabrication, bearing, connection, lifting and temporary-work details require checked project-specific calculations and applicable ONGC approval.</t>
        </is>
      </c>
    </row>
    <row r="12">
      <c r="A12" s="2" t="inlineStr">
        <is>
          <t>Spreadsheet</t>
        </is>
      </c>
      <c r="B12" s="2" t="inlineStr">
        <is>
          <t>Excel formula fields are recalculated on opening. Audit Snapshot contains independently computed static values for immediate reading.</t>
        </is>
      </c>
    </row>
    <row r="13">
      <c r="A13" t="inlineStr">
        <is>
          <t>SUPERSEDED INPUT STATUS</t>
        </is>
      </c>
      <c r="B13" t="inlineStr">
        <is>
          <t>Full design criteria and partial drawings now supplied. Refer BRRP_Engineering_Input_Check_RevP3.xlsx; P2 query statuses are historical.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20" customWidth="1" min="4" max="4"/>
    <col width="25" customWidth="1" min="5" max="5"/>
    <col width="23" customWidth="1" min="6" max="6"/>
    <col width="23" customWidth="1" min="7" max="7"/>
    <col width="25" customWidth="1" min="8" max="8"/>
    <col width="25" customWidth="1" min="9" max="9"/>
    <col width="26" customWidth="1" min="10" max="10"/>
    <col width="28" customWidth="1" min="11" max="11"/>
  </cols>
  <sheetData>
    <row r="1">
      <c r="A1" s="1" t="inlineStr">
        <is>
          <t>Bridge</t>
        </is>
      </c>
      <c r="B1" s="1" t="inlineStr">
        <is>
          <t>Source report</t>
        </is>
      </c>
      <c r="C1" s="1" t="inlineStr">
        <is>
          <t>Model length m</t>
        </is>
      </c>
      <c r="D1" s="1" t="inlineStr">
        <is>
          <t>Approx gap m</t>
        </is>
      </c>
      <c r="E1" s="1" t="inlineStr">
        <is>
          <t>Walkway loading width m</t>
        </is>
      </c>
      <c r="F1" s="1" t="inlineStr">
        <is>
          <t>Reported vertical mm</t>
        </is>
      </c>
      <c r="G1" s="1" t="inlineStr">
        <is>
          <t>Reported lateral mm</t>
        </is>
      </c>
      <c r="H1" s="1" t="inlineStr">
        <is>
          <t>Highest listed member UC</t>
        </is>
      </c>
      <c r="I1" s="1" t="inlineStr">
        <is>
          <t>Highest listed joint UC</t>
        </is>
      </c>
      <c r="J1" s="1" t="inlineStr">
        <is>
          <t>Reported DL deflection mm</t>
        </is>
      </c>
      <c r="K1" s="1" t="inlineStr">
        <is>
          <t>Combined PDF pages</t>
        </is>
      </c>
    </row>
    <row r="2">
      <c r="A2" s="2" t="inlineStr">
        <is>
          <t>ICW-ICG LD</t>
        </is>
      </c>
      <c r="B2" s="2" t="inlineStr">
        <is>
          <t>B774-000-83-43-BPR-0004 Rev 0</t>
        </is>
      </c>
      <c r="C2" s="2" t="n">
        <v>56</v>
      </c>
      <c r="D2" s="2" t="n">
        <v>54.5</v>
      </c>
      <c r="E2" s="2" t="n">
        <v>1.2</v>
      </c>
      <c r="F2" s="2" t="n">
        <v>105</v>
      </c>
      <c r="G2" s="2" t="n">
        <v>87</v>
      </c>
      <c r="H2" s="2" t="n">
        <v>0.5570000000000001</v>
      </c>
      <c r="I2" s="2" t="n">
        <v>0.509</v>
      </c>
      <c r="J2" s="2" t="n">
        <v>85</v>
      </c>
      <c r="K2" s="2" t="inlineStr">
        <is>
          <t>133-135;152-153</t>
        </is>
      </c>
    </row>
    <row r="3">
      <c r="A3" s="2" t="inlineStr">
        <is>
          <t>ICP-ICG LD</t>
        </is>
      </c>
      <c r="B3" s="2" t="inlineStr">
        <is>
          <t>B774-000-83-43-BPR-0003 Rev 0</t>
        </is>
      </c>
      <c r="C3" s="2" t="n">
        <v>84</v>
      </c>
      <c r="D3" s="2" t="n">
        <v>80.5</v>
      </c>
      <c r="E3" s="2" t="n">
        <v>1.2</v>
      </c>
      <c r="F3" s="2" t="n">
        <v>177</v>
      </c>
      <c r="G3" s="2" t="n">
        <v>123</v>
      </c>
      <c r="H3" s="2" t="n">
        <v>0.61</v>
      </c>
      <c r="I3" s="2" t="n">
        <v>0.625</v>
      </c>
      <c r="J3" s="2" t="n">
        <v>143</v>
      </c>
      <c r="K3" s="2" t="inlineStr">
        <is>
          <t>196-199;207-209</t>
        </is>
      </c>
    </row>
    <row r="4">
      <c r="A4" s="2" t="inlineStr">
        <is>
          <t>BHS-SLQ LD</t>
        </is>
      </c>
      <c r="B4" s="2" t="inlineStr">
        <is>
          <t>B774-000-83-43-BPR-0005 Rev A</t>
        </is>
      </c>
      <c r="C4" s="2" t="n">
        <v>42</v>
      </c>
      <c r="D4" s="2" t="n">
        <v>40</v>
      </c>
      <c r="E4" s="2" t="n">
        <v>2.324</v>
      </c>
      <c r="F4" s="2" t="n">
        <v>32</v>
      </c>
      <c r="G4" s="2" t="n">
        <v>76</v>
      </c>
      <c r="H4" s="2" t="n">
        <v>0.916</v>
      </c>
      <c r="I4" s="2" t="n">
        <v>0.859</v>
      </c>
      <c r="J4" s="2" t="n">
        <v>32</v>
      </c>
      <c r="K4" s="2" t="inlineStr">
        <is>
          <t>97-100;122-123</t>
        </is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Bridge</t>
        </is>
      </c>
      <c r="B1" s="1" t="inlineStr">
        <is>
          <t>Model L m</t>
        </is>
      </c>
      <c r="C1" s="1" t="inlineStr">
        <is>
          <t>Source L/400 mm</t>
        </is>
      </c>
      <c r="D1" s="1" t="inlineStr">
        <is>
          <t>Reported vertical mm</t>
        </is>
      </c>
      <c r="E1" s="1" t="inlineStr">
        <is>
          <t>Vertical ratio</t>
        </is>
      </c>
      <c r="F1" s="1" t="inlineStr">
        <is>
          <t>Source L/500 mm</t>
        </is>
      </c>
      <c r="G1" s="1" t="inlineStr">
        <is>
          <t>Reported lateral mm</t>
        </is>
      </c>
      <c r="H1" s="1" t="inlineStr">
        <is>
          <t>Lateral ratio</t>
        </is>
      </c>
      <c r="I1" s="1" t="inlineStr">
        <is>
          <t>L/200 arithmetic mm</t>
        </is>
      </c>
      <c r="J1" s="1" t="inlineStr">
        <is>
          <t>Reported DL deflection mm</t>
        </is>
      </c>
      <c r="K1" s="1" t="inlineStr">
        <is>
          <t>L/200 divided by DL deflection</t>
        </is>
      </c>
      <c r="L1" s="1" t="inlineStr">
        <is>
          <t>Interpretation</t>
        </is>
      </c>
    </row>
    <row r="2">
      <c r="A2" s="2" t="inlineStr">
        <is>
          <t>ICW-ICG LD</t>
        </is>
      </c>
      <c r="B2" s="2">
        <f>'Source Inputs'!C2</f>
        <v/>
      </c>
      <c r="C2" s="2">
        <f>B2*1000/400</f>
        <v/>
      </c>
      <c r="D2" s="2">
        <f>'Source Inputs'!F2</f>
        <v/>
      </c>
      <c r="E2" s="2">
        <f>D2/C2</f>
        <v/>
      </c>
      <c r="F2" s="2">
        <f>B2*1000/500</f>
        <v/>
      </c>
      <c r="G2" s="2">
        <f>'Source Inputs'!G2</f>
        <v/>
      </c>
      <c r="H2" s="2">
        <f>G2/F2</f>
        <v/>
      </c>
      <c r="I2" s="2">
        <f>B2*1000/200</f>
        <v/>
      </c>
      <c r="J2" s="2">
        <f>'Source Inputs'!J2</f>
        <v/>
      </c>
      <c r="K2" s="2">
        <f>I2/J2</f>
        <v/>
      </c>
      <c r="L2" s="2" t="inlineStr">
        <is>
          <t>SOURCE LIMIT ARITHMETIC ONLY; not independent structural adequacy</t>
        </is>
      </c>
    </row>
    <row r="3">
      <c r="A3" s="2" t="inlineStr">
        <is>
          <t>ICP-ICG LD</t>
        </is>
      </c>
      <c r="B3" s="2">
        <f>'Source Inputs'!C3</f>
        <v/>
      </c>
      <c r="C3" s="2">
        <f>B3*1000/400</f>
        <v/>
      </c>
      <c r="D3" s="2">
        <f>'Source Inputs'!F3</f>
        <v/>
      </c>
      <c r="E3" s="2">
        <f>D3/C3</f>
        <v/>
      </c>
      <c r="F3" s="2">
        <f>B3*1000/500</f>
        <v/>
      </c>
      <c r="G3" s="2">
        <f>'Source Inputs'!G3</f>
        <v/>
      </c>
      <c r="H3" s="2">
        <f>G3/F3</f>
        <v/>
      </c>
      <c r="I3" s="2">
        <f>B3*1000/200</f>
        <v/>
      </c>
      <c r="J3" s="2">
        <f>'Source Inputs'!J3</f>
        <v/>
      </c>
      <c r="K3" s="2">
        <f>I3/J3</f>
        <v/>
      </c>
      <c r="L3" s="2" t="inlineStr">
        <is>
          <t>SOURCE LIMIT ARITHMETIC ONLY; not independent structural adequacy</t>
        </is>
      </c>
    </row>
    <row r="4">
      <c r="A4" s="2" t="inlineStr">
        <is>
          <t>BHS-SLQ LD</t>
        </is>
      </c>
      <c r="B4" s="2">
        <f>'Source Inputs'!C4</f>
        <v/>
      </c>
      <c r="C4" s="2">
        <f>B4*1000/400</f>
        <v/>
      </c>
      <c r="D4" s="2">
        <f>'Source Inputs'!F4</f>
        <v/>
      </c>
      <c r="E4" s="2">
        <f>D4/C4</f>
        <v/>
      </c>
      <c r="F4" s="2">
        <f>B4*1000/500</f>
        <v/>
      </c>
      <c r="G4" s="2">
        <f>'Source Inputs'!G4</f>
        <v/>
      </c>
      <c r="H4" s="2">
        <f>G4/F4</f>
        <v/>
      </c>
      <c r="I4" s="2">
        <f>B4*1000/200</f>
        <v/>
      </c>
      <c r="J4" s="2">
        <f>'Source Inputs'!J4</f>
        <v/>
      </c>
      <c r="K4" s="2">
        <f>I4/J4</f>
        <v/>
      </c>
      <c r="L4" s="2" t="inlineStr">
        <is>
          <t>SOURCE LIMIT ARITHMETIC ONLY; not independent structural adequacy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Bridge</t>
        </is>
      </c>
      <c r="B1" s="1" t="inlineStr">
        <is>
          <t>Source vertical limit mm</t>
        </is>
      </c>
      <c r="C1" s="1" t="inlineStr">
        <is>
          <t>Reported vertical mm</t>
        </is>
      </c>
      <c r="D1" s="1" t="inlineStr">
        <is>
          <t>Ratio vertical</t>
        </is>
      </c>
      <c r="E1" s="1" t="inlineStr">
        <is>
          <t>Source lateral limit mm</t>
        </is>
      </c>
      <c r="F1" s="1" t="inlineStr">
        <is>
          <t>Reported lateral mm</t>
        </is>
      </c>
      <c r="G1" s="1" t="inlineStr">
        <is>
          <t>Ratio lateral</t>
        </is>
      </c>
      <c r="H1" s="1" t="inlineStr">
        <is>
          <t>L/200 arithmetic mm</t>
        </is>
      </c>
      <c r="I1" s="1" t="inlineStr">
        <is>
          <t>Reported DL deflection mm</t>
        </is>
      </c>
      <c r="J1" s="1" t="inlineStr">
        <is>
          <t>Camber arithmetic / DL</t>
        </is>
      </c>
    </row>
    <row r="2">
      <c r="A2" s="2" t="inlineStr">
        <is>
          <t>ICW-ICG LD</t>
        </is>
      </c>
      <c r="B2" s="2" t="n">
        <v>140</v>
      </c>
      <c r="C2" s="2" t="n">
        <v>105</v>
      </c>
      <c r="D2" s="2" t="n">
        <v>0.75</v>
      </c>
      <c r="E2" s="2" t="n">
        <v>112</v>
      </c>
      <c r="F2" s="2" t="n">
        <v>87</v>
      </c>
      <c r="G2" s="2" t="n">
        <v>0.7767857142857143</v>
      </c>
      <c r="H2" s="2" t="n">
        <v>280</v>
      </c>
      <c r="I2" s="2" t="n">
        <v>85</v>
      </c>
      <c r="J2" s="2" t="n">
        <v>3.294117647058823</v>
      </c>
    </row>
    <row r="3">
      <c r="A3" s="2" t="inlineStr">
        <is>
          <t>ICP-ICG LD</t>
        </is>
      </c>
      <c r="B3" s="2" t="n">
        <v>210</v>
      </c>
      <c r="C3" s="2" t="n">
        <v>177</v>
      </c>
      <c r="D3" s="2" t="n">
        <v>0.8428571428571429</v>
      </c>
      <c r="E3" s="2" t="n">
        <v>168</v>
      </c>
      <c r="F3" s="2" t="n">
        <v>123</v>
      </c>
      <c r="G3" s="2" t="n">
        <v>0.7321428571428571</v>
      </c>
      <c r="H3" s="2" t="n">
        <v>420</v>
      </c>
      <c r="I3" s="2" t="n">
        <v>143</v>
      </c>
      <c r="J3" s="2" t="n">
        <v>2.937062937062937</v>
      </c>
    </row>
    <row r="4">
      <c r="A4" s="2" t="inlineStr">
        <is>
          <t>BHS-SLQ LD</t>
        </is>
      </c>
      <c r="B4" s="2" t="n">
        <v>105</v>
      </c>
      <c r="C4" s="2" t="n">
        <v>32</v>
      </c>
      <c r="D4" s="2" t="n">
        <v>0.3047619047619048</v>
      </c>
      <c r="E4" s="2" t="n">
        <v>84</v>
      </c>
      <c r="F4" s="2" t="n">
        <v>76</v>
      </c>
      <c r="G4" s="2" t="n">
        <v>0.9047619047619048</v>
      </c>
      <c r="H4" s="2" t="n">
        <v>210</v>
      </c>
      <c r="I4" s="2" t="n">
        <v>32</v>
      </c>
      <c r="J4" s="2" t="n">
        <v>6.5625</v>
      </c>
    </row>
  </sheetData>
  <autoFilter ref="A1:J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Bridge</t>
        </is>
      </c>
      <c r="B1" s="1" t="inlineStr">
        <is>
          <t>Study L m</t>
        </is>
      </c>
      <c r="C1" s="1" t="inlineStr">
        <is>
          <t>Loading width m</t>
        </is>
      </c>
      <c r="D1" s="1" t="inlineStr">
        <is>
          <t>Source loading kg/m2</t>
        </is>
      </c>
      <c r="E1" s="1" t="inlineStr">
        <is>
          <t>Converted kN/m2</t>
        </is>
      </c>
      <c r="F1" s="1" t="inlineStr">
        <is>
          <t>Simple rectangular load kN</t>
        </is>
      </c>
      <c r="G1" s="1" t="inlineStr">
        <is>
          <t>Report table LL kN</t>
        </is>
      </c>
      <c r="H1" s="1" t="inlineStr">
        <is>
          <t>Output LL magnitude kN</t>
        </is>
      </c>
      <c r="I1" s="1" t="inlineStr">
        <is>
          <t>Table minus rectangle kN</t>
        </is>
      </c>
      <c r="J1" s="1" t="inlineStr">
        <is>
          <t>Required interpretation</t>
        </is>
      </c>
    </row>
    <row r="2">
      <c r="A2" s="2" t="inlineStr">
        <is>
          <t>ICW-ICG LD</t>
        </is>
      </c>
      <c r="B2" s="2" t="n">
        <v>56</v>
      </c>
      <c r="C2" s="2" t="n">
        <v>1.2</v>
      </c>
      <c r="D2" s="2" t="n">
        <v>250</v>
      </c>
      <c r="E2" s="2" t="n">
        <v>2.4516625</v>
      </c>
      <c r="F2" s="2" t="n">
        <v>164.75172</v>
      </c>
      <c r="G2" s="2" t="n">
        <v>156.25</v>
      </c>
      <c r="H2" s="2" t="n">
        <v>144.69</v>
      </c>
      <c r="I2" s="2" t="n">
        <v>-8.501720000000006</v>
      </c>
      <c r="J2" s="2" t="inlineStr">
        <is>
          <t>Screen uses full rectangular L x width; source may include/exclude other areas. Obtain actual load map. No discrepancy correction assumed.</t>
        </is>
      </c>
    </row>
    <row r="3">
      <c r="A3" s="2" t="inlineStr">
        <is>
          <t>ICP-ICG LD</t>
        </is>
      </c>
      <c r="B3" s="2" t="n">
        <v>84</v>
      </c>
      <c r="C3" s="2" t="n">
        <v>1.2</v>
      </c>
      <c r="D3" s="2" t="n">
        <v>250</v>
      </c>
      <c r="E3" s="2" t="n">
        <v>2.4516625</v>
      </c>
      <c r="F3" s="2" t="n">
        <v>247.12758</v>
      </c>
      <c r="G3" s="2" t="n">
        <v>288</v>
      </c>
      <c r="H3" s="2" t="n">
        <v>288</v>
      </c>
      <c r="I3" s="2" t="n">
        <v>40.87242000000003</v>
      </c>
      <c r="J3" s="2" t="inlineStr">
        <is>
          <t>Screen uses full rectangular L x width; source may include/exclude other areas. Obtain actual load map. No discrepancy correction assumed.</t>
        </is>
      </c>
    </row>
    <row r="4">
      <c r="A4" s="2" t="inlineStr">
        <is>
          <t>BHS-SLQ LD</t>
        </is>
      </c>
      <c r="B4" s="2" t="n">
        <v>42</v>
      </c>
      <c r="C4" s="2" t="n">
        <v>2.324</v>
      </c>
      <c r="D4" s="2" t="n">
        <v>250</v>
      </c>
      <c r="E4" s="2" t="n">
        <v>2.4516625</v>
      </c>
      <c r="F4" s="2" t="n">
        <v>239.3018733</v>
      </c>
      <c r="G4" s="2" t="n">
        <v>268.42</v>
      </c>
      <c r="H4" s="2" t="n">
        <v>268.42</v>
      </c>
      <c r="I4" s="2" t="n">
        <v>29.11812670000006</v>
      </c>
      <c r="J4" s="2" t="inlineStr">
        <is>
          <t>Screen uses full rectangular L x width; source may include/exclude other areas. Obtain actual load map. No discrepancy correction assumed.</t>
        </is>
      </c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Source OD mm</t>
        </is>
      </c>
      <c r="B1" s="1" t="inlineStr">
        <is>
          <t>Source wall mm</t>
        </is>
      </c>
      <c r="C1" s="1" t="inlineStr">
        <is>
          <t>Calculated ID mm</t>
        </is>
      </c>
      <c r="D1" s="1" t="inlineStr">
        <is>
          <t>Area mm2</t>
        </is>
      </c>
      <c r="E1" s="1" t="inlineStr">
        <is>
          <t>I mm4</t>
        </is>
      </c>
      <c r="F1" s="1" t="inlineStr">
        <is>
          <t>Elastic Z mm3</t>
        </is>
      </c>
      <c r="G1" s="1" t="inlineStr">
        <is>
          <t>Radius gyration mm</t>
        </is>
      </c>
      <c r="H1" s="1" t="inlineStr">
        <is>
          <t>Nominal mass kg/m</t>
        </is>
      </c>
      <c r="I1" s="1" t="inlineStr">
        <is>
          <t>Source VIV length m</t>
        </is>
      </c>
      <c r="J1" s="1" t="inlineStr">
        <is>
          <t>Status</t>
        </is>
      </c>
    </row>
    <row r="2">
      <c r="A2" s="2" t="n">
        <v>406</v>
      </c>
      <c r="B2" s="2" t="n">
        <v>15.9</v>
      </c>
      <c r="C2" s="2" t="n">
        <v>374.2</v>
      </c>
      <c r="D2" s="2" t="n">
        <v>19486.01117722953</v>
      </c>
      <c r="E2" s="2" t="n">
        <v>371283582.7842826</v>
      </c>
      <c r="F2" s="2" t="n">
        <v>1828983.166425037</v>
      </c>
      <c r="G2" s="2" t="n">
        <v>138.0356928479007</v>
      </c>
      <c r="H2" s="2" t="n">
        <v>152.9651877412518</v>
      </c>
      <c r="I2" s="2" t="n">
        <v>4</v>
      </c>
      <c r="J2" s="2" t="inlineStr">
        <is>
          <t>ICP VIV table, combined PDF p.208; member role / grade / corrosion / effective length not adopted</t>
        </is>
      </c>
    </row>
    <row r="3">
      <c r="A3" s="2" t="n">
        <v>406</v>
      </c>
      <c r="B3" s="2" t="n">
        <v>12.7</v>
      </c>
      <c r="C3" s="2" t="n">
        <v>380.6</v>
      </c>
      <c r="D3" s="2" t="n">
        <v>15691.97256134218</v>
      </c>
      <c r="E3" s="2" t="n">
        <v>303730250.9735816</v>
      </c>
      <c r="F3" s="2" t="n">
        <v>1496208.132874786</v>
      </c>
      <c r="G3" s="2" t="n">
        <v>139.1250247079942</v>
      </c>
      <c r="H3" s="2" t="n">
        <v>123.1819846065361</v>
      </c>
      <c r="I3" s="2" t="n">
        <v>4</v>
      </c>
      <c r="J3" s="2" t="inlineStr">
        <is>
          <t>ICP VIV table, combined PDF p.208; member role / grade / corrosion / effective length not adopted</t>
        </is>
      </c>
    </row>
    <row r="4">
      <c r="A4" s="2" t="n">
        <v>168</v>
      </c>
      <c r="B4" s="2" t="n">
        <v>9.5</v>
      </c>
      <c r="C4" s="2" t="n">
        <v>149</v>
      </c>
      <c r="D4" s="2" t="n">
        <v>4730.453138142831</v>
      </c>
      <c r="E4" s="2" t="n">
        <v>14908318.71817827</v>
      </c>
      <c r="F4" s="2" t="n">
        <v>177479.9847402174</v>
      </c>
      <c r="G4" s="2" t="n">
        <v>56.13877893221405</v>
      </c>
      <c r="H4" s="2" t="n">
        <v>37.13405713442122</v>
      </c>
      <c r="I4" s="2" t="n">
        <v>4.98</v>
      </c>
      <c r="J4" s="2" t="inlineStr">
        <is>
          <t>ICP VIV table, combined PDF p.208; member role / grade / corrosion / effective length not adopted</t>
        </is>
      </c>
    </row>
    <row r="5">
      <c r="A5" s="2" t="n">
        <v>114</v>
      </c>
      <c r="B5" s="2" t="n">
        <v>7.9</v>
      </c>
      <c r="C5" s="2" t="n">
        <v>98.2</v>
      </c>
      <c r="D5" s="2" t="n">
        <v>2633.251546312429</v>
      </c>
      <c r="E5" s="2" t="n">
        <v>3725925.858583637</v>
      </c>
      <c r="F5" s="2" t="n">
        <v>65367.12032602871</v>
      </c>
      <c r="G5" s="2" t="n">
        <v>37.61585437019874</v>
      </c>
      <c r="H5" s="2" t="n">
        <v>20.67102463855256</v>
      </c>
      <c r="I5" s="2" t="n">
        <v>4.71</v>
      </c>
      <c r="J5" s="2" t="inlineStr">
        <is>
          <t>ICP VIV table, combined PDF p.208; member role / grade / corrosion / effective length not adopted</t>
        </is>
      </c>
    </row>
  </sheetData>
  <autoFilter ref="A1: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55" customWidth="1" min="4" max="4"/>
    <col width="90" customWidth="1" min="5" max="5"/>
    <col width="16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Discipline</t>
        </is>
      </c>
      <c r="C1" s="1" t="inlineStr">
        <is>
          <t>Bridge</t>
        </is>
      </c>
      <c r="D1" s="1" t="inlineStr">
        <is>
          <t>Issue</t>
        </is>
      </c>
      <c r="E1" s="1" t="inlineStr">
        <is>
          <t>Required closure</t>
        </is>
      </c>
      <c r="F1" s="1" t="inlineStr">
        <is>
          <t>Status</t>
        </is>
      </c>
      <c r="G1" s="1" t="inlineStr">
        <is>
          <t>Owner</t>
        </is>
      </c>
    </row>
    <row r="2">
      <c r="A2" s="2" t="inlineStr">
        <is>
          <t>Q01</t>
        </is>
      </c>
      <c r="B2" s="2" t="inlineStr">
        <is>
          <t>Geometry</t>
        </is>
      </c>
      <c r="C2" s="2" t="inlineStr">
        <is>
          <t>All</t>
        </is>
      </c>
      <c r="D2" s="2" t="inlineStr">
        <is>
          <t>Model length versus final span</t>
        </is>
      </c>
      <c r="E2" s="2" t="inlineStr">
        <is>
          <t>Survey coordinates, datums, skew, landing offsets and actual bearing centres</t>
        </is>
      </c>
      <c r="F2" s="2" t="inlineStr">
        <is>
          <t>HOLD</t>
        </is>
      </c>
      <c r="G2" s="2" t="inlineStr">
        <is>
          <t>Engineering</t>
        </is>
      </c>
    </row>
    <row r="3">
      <c r="A3" s="2" t="inlineStr">
        <is>
          <t>Q02</t>
        </is>
      </c>
      <c r="B3" s="2" t="inlineStr">
        <is>
          <t>Analysis</t>
        </is>
      </c>
      <c r="C3" s="2" t="inlineStr">
        <is>
          <t>All</t>
        </is>
      </c>
      <c r="D3" s="2" t="inlineStr">
        <is>
          <t>Source model unavailable for reproduction</t>
        </is>
      </c>
      <c r="E3" s="2" t="inlineStr">
        <is>
          <t>Native SACS model, connectivity, groups, loads, combinations, stiffness and envelopes</t>
        </is>
      </c>
      <c r="F3" s="2" t="inlineStr">
        <is>
          <t>HOLD</t>
        </is>
      </c>
      <c r="G3" s="2" t="inlineStr">
        <is>
          <t>Analysis lead</t>
        </is>
      </c>
    </row>
    <row r="4">
      <c r="A4" s="2" t="inlineStr">
        <is>
          <t>Q03</t>
        </is>
      </c>
      <c r="B4" s="2" t="inlineStr">
        <is>
          <t>Loads</t>
        </is>
      </c>
      <c r="C4" s="2" t="inlineStr">
        <is>
          <t>All</t>
        </is>
      </c>
      <c r="D4" s="2" t="inlineStr">
        <is>
          <t>Rectangular LL screen does not reproduce all totals</t>
        </is>
      </c>
      <c r="E4" s="2" t="inlineStr">
        <is>
          <t>Actual loaded areas, extensions, units, distribution and load-generation records</t>
        </is>
      </c>
      <c r="F4" s="2" t="inlineStr">
        <is>
          <t>HOLD</t>
        </is>
      </c>
      <c r="G4" s="2" t="inlineStr">
        <is>
          <t>Analysis lead</t>
        </is>
      </c>
    </row>
    <row r="5">
      <c r="A5" s="2" t="inlineStr">
        <is>
          <t>Q04</t>
        </is>
      </c>
      <c r="B5" s="2" t="inlineStr">
        <is>
          <t>Loads</t>
        </is>
      </c>
      <c r="C5" s="2" t="inlineStr">
        <is>
          <t>ICW</t>
        </is>
      </c>
      <c r="D5" s="2" t="inlineStr">
        <is>
          <t>Report LL156.25kN vs output144.69kN</t>
        </is>
      </c>
      <c r="E5" s="2" t="inlineStr">
        <is>
          <t>Identify controlling model revision and corresponding load map</t>
        </is>
      </c>
      <c r="F5" s="2" t="inlineStr">
        <is>
          <t>HOLD</t>
        </is>
      </c>
      <c r="G5" s="2" t="inlineStr">
        <is>
          <t>Analysis lead</t>
        </is>
      </c>
    </row>
    <row r="6">
      <c r="A6" s="2" t="inlineStr">
        <is>
          <t>Q05</t>
        </is>
      </c>
      <c r="B6" s="2" t="inlineStr">
        <is>
          <t>Camber</t>
        </is>
      </c>
      <c r="C6" s="2" t="inlineStr">
        <is>
          <t>All</t>
        </is>
      </c>
      <c r="D6" s="2" t="inlineStr">
        <is>
          <t>Report instruction 1:200 differs from reported DL deflection</t>
        </is>
      </c>
      <c r="E6" s="2" t="inlineStr">
        <is>
          <t>Define camber meaning/profile, reference line, support levels and tolerances</t>
        </is>
      </c>
      <c r="F6" s="2" t="inlineStr">
        <is>
          <t>HOLD</t>
        </is>
      </c>
      <c r="G6" s="2" t="inlineStr">
        <is>
          <t>Technical Authority</t>
        </is>
      </c>
    </row>
    <row r="7">
      <c r="A7" s="2" t="inlineStr">
        <is>
          <t>Q06</t>
        </is>
      </c>
      <c r="B7" s="2" t="inlineStr">
        <is>
          <t>Support</t>
        </is>
      </c>
      <c r="C7" s="2" t="inlineStr">
        <is>
          <t>BHS-SLQ</t>
        </is>
      </c>
      <c r="D7" s="2" t="inlineStr">
        <is>
          <t>Report says SLQ fixed; SOW also contains sliding wording</t>
        </is>
      </c>
      <c r="E7" s="2" t="inlineStr">
        <is>
          <t>Resolve support philosophy and exact freedoms / restraints</t>
        </is>
      </c>
      <c r="F7" s="2" t="inlineStr">
        <is>
          <t>HOLD</t>
        </is>
      </c>
      <c r="G7" s="2" t="inlineStr">
        <is>
          <t>ONGC / Engineering</t>
        </is>
      </c>
    </row>
    <row r="8">
      <c r="A8" s="2" t="inlineStr">
        <is>
          <t>Q07</t>
        </is>
      </c>
      <c r="B8" s="2" t="inlineStr">
        <is>
          <t>Wind</t>
        </is>
      </c>
      <c r="C8" s="2" t="inlineStr">
        <is>
          <t>All</t>
        </is>
      </c>
      <c r="D8" s="2" t="inlineStr">
        <is>
          <t>15-second gust in IC reports vs 3-second gust in BHS</t>
        </is>
      </c>
      <c r="E8" s="2" t="inlineStr">
        <is>
          <t>Approved metocean/design basis and compatible averaging/conversion method</t>
        </is>
      </c>
      <c r="F8" s="2" t="inlineStr">
        <is>
          <t>HOLD</t>
        </is>
      </c>
      <c r="G8" s="2" t="inlineStr">
        <is>
          <t>Analysis lead</t>
        </is>
      </c>
    </row>
    <row r="9">
      <c r="A9" s="2" t="inlineStr">
        <is>
          <t>Q08</t>
        </is>
      </c>
      <c r="B9" s="2" t="inlineStr">
        <is>
          <t>Existing structure</t>
        </is>
      </c>
      <c r="C9" s="2" t="inlineStr">
        <is>
          <t>All</t>
        </is>
      </c>
      <c r="D9" s="2" t="inlineStr">
        <is>
          <t>Bridge reports refer to separate support/deck/jacket adequacy</t>
        </is>
      </c>
      <c r="E9" s="2" t="inlineStr">
        <is>
          <t>Obtain checks/models and integrate reactions with addendum strengthening</t>
        </is>
      </c>
      <c r="F9" s="2" t="inlineStr">
        <is>
          <t>HOLD</t>
        </is>
      </c>
      <c r="G9" s="2" t="inlineStr">
        <is>
          <t>Platform engineer</t>
        </is>
      </c>
    </row>
    <row r="10">
      <c r="A10" s="2" t="inlineStr">
        <is>
          <t>Q09</t>
        </is>
      </c>
      <c r="B10" s="2" t="inlineStr">
        <is>
          <t>Reactions</t>
        </is>
      </c>
      <c r="C10" s="2" t="inlineStr">
        <is>
          <t>All</t>
        </is>
      </c>
      <c r="D10" s="2" t="inlineStr">
        <is>
          <t>Summary does not identify complete concurrent signed envelopes</t>
        </is>
      </c>
      <c r="E10" s="2" t="inlineStr">
        <is>
          <t>Provide units, axes, governing combinations, minima, maxima, uplift and moments</t>
        </is>
      </c>
      <c r="F10" s="2" t="inlineStr">
        <is>
          <t>HOLD</t>
        </is>
      </c>
      <c r="G10" s="2" t="inlineStr">
        <is>
          <t>Analysis lead</t>
        </is>
      </c>
    </row>
    <row r="11">
      <c r="A11" s="2" t="inlineStr">
        <is>
          <t>Q10</t>
        </is>
      </c>
      <c r="B11" s="2" t="inlineStr">
        <is>
          <t>Members</t>
        </is>
      </c>
      <c r="C11" s="2" t="inlineStr">
        <is>
          <t>All</t>
        </is>
      </c>
      <c r="D11" s="2" t="inlineStr">
        <is>
          <t>Pictures/VIV list do not establish member schedule</t>
        </is>
      </c>
      <c r="E11" s="2" t="inlineStr">
        <is>
          <t>Obtain complete section-group mapping, effective lengths and material specifications</t>
        </is>
      </c>
      <c r="F11" s="2" t="inlineStr">
        <is>
          <t>HOLD</t>
        </is>
      </c>
      <c r="G11" s="2" t="inlineStr">
        <is>
          <t>Analysis lead</t>
        </is>
      </c>
    </row>
    <row r="12">
      <c r="A12" s="2" t="inlineStr">
        <is>
          <t>Q11</t>
        </is>
      </c>
      <c r="B12" s="2" t="inlineStr">
        <is>
          <t>Dynamic/fatigue</t>
        </is>
      </c>
      <c r="C12" s="2" t="inlineStr">
        <is>
          <t>All</t>
        </is>
      </c>
      <c r="D12" s="2" t="inlineStr">
        <is>
          <t>Source summary does not establish full project coverage</t>
        </is>
      </c>
      <c r="E12" s="2" t="inlineStr">
        <is>
          <t>Verify vibration, wind response, fatigue and movement criteria with full calculations</t>
        </is>
      </c>
      <c r="F12" s="2" t="inlineStr">
        <is>
          <t>HOLD</t>
        </is>
      </c>
      <c r="G12" s="2" t="inlineStr">
        <is>
          <t>Specialist engineer</t>
        </is>
      </c>
    </row>
    <row r="13">
      <c r="A13" s="2" t="inlineStr">
        <is>
          <t>Q12</t>
        </is>
      </c>
      <c r="B13" s="2" t="inlineStr">
        <is>
          <t>Temporary conditions</t>
        </is>
      </c>
      <c r="C13" s="2" t="inlineStr">
        <is>
          <t>All</t>
        </is>
      </c>
      <c r="D13" s="2" t="inlineStr">
        <is>
          <t>Operating study is not lifting / transport approval</t>
        </is>
      </c>
      <c r="E13" s="2" t="inlineStr">
        <is>
          <t>Check actual modules, transport supports, accelerations, lifting and installation states</t>
        </is>
      </c>
      <c r="F13" s="2" t="inlineStr">
        <is>
          <t>HOLD</t>
        </is>
      </c>
      <c r="G13" s="2" t="inlineStr">
        <is>
          <t>Marine / Structural</t>
        </is>
      </c>
    </row>
    <row r="14">
      <c r="A14" s="2" t="inlineStr">
        <is>
          <t>Q13</t>
        </is>
      </c>
      <c r="B14" s="2" t="inlineStr">
        <is>
          <t>References</t>
        </is>
      </c>
      <c r="C14" s="2" t="inlineStr">
        <is>
          <t>All</t>
        </is>
      </c>
      <c r="D14" s="2" t="inlineStr">
        <is>
          <t>83-41 / 83-43 and landing/demolition reference conflicts</t>
        </is>
      </c>
      <c r="E14" s="2" t="inlineStr">
        <is>
          <t>Issue corrected controlling drawing register and revisions</t>
        </is>
      </c>
      <c r="F14" s="2" t="inlineStr">
        <is>
          <t>HOLD</t>
        </is>
      </c>
      <c r="G14" s="2" t="inlineStr">
        <is>
          <t>Document control / ONGC</t>
        </is>
      </c>
    </row>
    <row r="15">
      <c r="A15" s="2" t="inlineStr">
        <is>
          <t>Q14</t>
        </is>
      </c>
      <c r="B15" s="2" t="inlineStr">
        <is>
          <t>Durability</t>
        </is>
      </c>
      <c r="C15" s="2" t="inlineStr">
        <is>
          <t>All</t>
        </is>
      </c>
      <c r="D15" s="2" t="inlineStr">
        <is>
          <t>50ksi yield is not a complete procurement grade</t>
        </is>
      </c>
      <c r="E15" s="2" t="inlineStr">
        <is>
          <t>Approve grade, toughness, thickness tolerances, corrosion basis, welding and coatings</t>
        </is>
      </c>
      <c r="F15" s="2" t="inlineStr">
        <is>
          <t>HOLD</t>
        </is>
      </c>
      <c r="G15" s="2" t="inlineStr">
        <is>
          <t>Materials / QA</t>
        </is>
      </c>
    </row>
  </sheetData>
  <autoFilter ref="A1:G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00" customWidth="1" min="3" max="3"/>
    <col width="65" customWidth="1" min="4" max="4"/>
  </cols>
  <sheetData>
    <row r="1">
      <c r="A1" s="1" t="inlineStr">
        <is>
          <t>Workstream</t>
        </is>
      </c>
      <c r="B1" s="1" t="inlineStr">
        <is>
          <t>Scope</t>
        </is>
      </c>
      <c r="C1" s="1" t="inlineStr">
        <is>
          <t>Required analysis</t>
        </is>
      </c>
      <c r="D1" s="1" t="inlineStr">
        <is>
          <t>Release deliverable</t>
        </is>
      </c>
    </row>
    <row r="2">
      <c r="A2" s="2" t="inlineStr">
        <is>
          <t>Global model</t>
        </is>
      </c>
      <c r="B2" s="2" t="inlineStr">
        <is>
          <t>Permanent framing</t>
        </is>
      </c>
      <c r="C2" s="2" t="inlineStr">
        <is>
          <t>Coordinates, member connectivity, releases, eccentricity, torsion and lateral stability</t>
        </is>
      </c>
      <c r="D2" s="2" t="inlineStr">
        <is>
          <t>Checked model and independent review</t>
        </is>
      </c>
    </row>
    <row r="3">
      <c r="A3" s="2" t="inlineStr">
        <is>
          <t>Members</t>
        </is>
      </c>
      <c r="B3" s="2" t="inlineStr">
        <is>
          <t>Strength and buckling</t>
        </is>
      </c>
      <c r="C3" s="2" t="inlineStr">
        <is>
          <t>Axial, bending, shear, interaction, local slenderness and effective lengths</t>
        </is>
      </c>
      <c r="D3" s="2" t="inlineStr">
        <is>
          <t>Member group schedule and full utilisation envelopes</t>
        </is>
      </c>
    </row>
    <row r="4">
      <c r="A4" s="2" t="inlineStr">
        <is>
          <t>Connections</t>
        </is>
      </c>
      <c r="B4" s="2" t="inlineStr">
        <is>
          <t>Joints and end connections</t>
        </is>
      </c>
      <c r="C4" s="2" t="inlineStr">
        <is>
          <t>Tubular joint checks, local stresses, bolts, welds, gussets and fatigue details</t>
        </is>
      </c>
      <c r="D4" s="2" t="inlineStr">
        <is>
          <t>Joint calculations and fabrication detail drawings</t>
        </is>
      </c>
    </row>
    <row r="5">
      <c r="A5" s="2" t="inlineStr">
        <is>
          <t>Serviceability</t>
        </is>
      </c>
      <c r="B5" s="2" t="inlineStr">
        <is>
          <t>Deflection and vibration</t>
        </is>
      </c>
      <c r="C5" s="2" t="inlineStr">
        <is>
          <t>Agreed load cases, vertical/lateral limits, walkway vibration and service movement</t>
        </is>
      </c>
      <c r="D5" s="2" t="inlineStr">
        <is>
          <t>Serviceability report and camber profile</t>
        </is>
      </c>
    </row>
    <row r="6">
      <c r="A6" s="2" t="inlineStr">
        <is>
          <t>Bearings</t>
        </is>
      </c>
      <c r="B6" s="2" t="inlineStr">
        <is>
          <t>Restraints and movements</t>
        </is>
      </c>
      <c r="C6" s="2" t="inlineStr">
        <is>
          <t>Thermal and relative platform motion, friction, guides, travel and uplift</t>
        </is>
      </c>
      <c r="D6" s="2" t="inlineStr">
        <is>
          <t>Bearing data sheets and reactions</t>
        </is>
      </c>
    </row>
    <row r="7">
      <c r="A7" s="2" t="inlineStr">
        <is>
          <t>Existing steel</t>
        </is>
      </c>
      <c r="B7" s="2" t="inlineStr">
        <is>
          <t>Landings / decks / jackets</t>
        </is>
      </c>
      <c r="C7" s="2" t="inlineStr">
        <is>
          <t>Actual corrosion and load paths plus new reaction envelopes</t>
        </is>
      </c>
      <c r="D7" s="2" t="inlineStr">
        <is>
          <t>Integrated existing-structure adequacy report</t>
        </is>
      </c>
    </row>
    <row r="8">
      <c r="A8" s="2" t="inlineStr">
        <is>
          <t>Marine</t>
        </is>
      </c>
      <c r="B8" s="2" t="inlineStr">
        <is>
          <t>Temporary conditions</t>
        </is>
      </c>
      <c r="C8" s="2" t="inlineStr">
        <is>
          <t>Loadout, transport, seafastening, lifting, landing and temporary support</t>
        </is>
      </c>
      <c r="D8" s="2" t="inlineStr">
        <is>
          <t>Checked operation-specific engineering</t>
        </is>
      </c>
    </row>
    <row r="9">
      <c r="A9" s="2" t="inlineStr">
        <is>
          <t>Fabrication</t>
        </is>
      </c>
      <c r="B9" s="2" t="inlineStr">
        <is>
          <t>Detailed engineering</t>
        </is>
      </c>
      <c r="C9" s="2" t="inlineStr">
        <is>
          <t>Approved geometry and sections, connections, tolerances, inspection and traceability</t>
        </is>
      </c>
      <c r="D9" s="2" t="inlineStr">
        <is>
          <t>AFC drawings and manufacturing dossier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2" max="2"/>
    <col width="55" customWidth="1" min="3" max="3"/>
    <col width="55" customWidth="1" min="4" max="4"/>
    <col width="55" customWidth="1" min="6" max="6"/>
    <col width="55" customWidth="1" min="7" max="7"/>
  </cols>
  <sheetData>
    <row r="1">
      <c r="A1" s="3" t="inlineStr">
        <is>
          <t>ID</t>
        </is>
      </c>
      <c r="B1" s="3" t="inlineStr">
        <is>
          <t>Subject</t>
        </is>
      </c>
      <c r="C1" s="3" t="inlineStr">
        <is>
          <t>Document</t>
        </is>
      </c>
      <c r="D1" s="3" t="inlineStr">
        <is>
          <t>Uploaded file</t>
        </is>
      </c>
      <c r="E1" s="3" t="inlineStr">
        <is>
          <t>PDF pages</t>
        </is>
      </c>
      <c r="F1" s="3" t="inlineStr">
        <is>
          <t>Evidence status</t>
        </is>
      </c>
      <c r="G1" s="3" t="inlineStr">
        <is>
          <t>Application</t>
        </is>
      </c>
    </row>
    <row r="2">
      <c r="A2" s="2" t="inlineStr">
        <is>
          <t>DB01</t>
        </is>
      </c>
      <c r="B2" s="2" t="inlineStr">
        <is>
          <t>Structural standards register</t>
        </is>
      </c>
      <c r="C2" s="2" t="inlineStr">
        <is>
          <t>B774-000-83-43-ST-01 Rev A</t>
        </is>
      </c>
      <c r="D2" s="2" t="inlineStr">
        <is>
          <t>Specification Combined.pdf</t>
        </is>
      </c>
      <c r="E2" s="2" t="inlineStr">
        <is>
          <t>1-2</t>
        </is>
      </c>
      <c r="F2" s="2" t="inlineStr">
        <is>
          <t>Located</t>
        </is>
      </c>
      <c r="G2" s="2" t="inlineStr">
        <is>
          <t>Defines listed standards and specifications</t>
        </is>
      </c>
    </row>
    <row r="3">
      <c r="A3" s="2" t="inlineStr">
        <is>
          <t>DB02</t>
        </is>
      </c>
      <c r="B3" s="2" t="inlineStr">
        <is>
          <t>Welding and NDT</t>
        </is>
      </c>
      <c r="C3" s="2" t="inlineStr">
        <is>
          <t>2009F Rev 8</t>
        </is>
      </c>
      <c r="D3" s="2" t="inlineStr">
        <is>
          <t>Specification Combined.pdf</t>
        </is>
      </c>
      <c r="E3" s="2" t="inlineStr">
        <is>
          <t>3-38</t>
        </is>
      </c>
      <c r="F3" s="2" t="inlineStr">
        <is>
          <t>Located</t>
        </is>
      </c>
      <c r="G3" s="2" t="inlineStr">
        <is>
          <t>Apply applicable procedures and inspection requirements</t>
        </is>
      </c>
    </row>
    <row r="4">
      <c r="A4" s="2" t="inlineStr">
        <is>
          <t>DB03</t>
        </is>
      </c>
      <c r="B4" s="2" t="inlineStr">
        <is>
          <t>Fabrication and assembly</t>
        </is>
      </c>
      <c r="C4" s="2" t="inlineStr">
        <is>
          <t>6-60-0013 Rev 3</t>
        </is>
      </c>
      <c r="D4" s="2" t="inlineStr">
        <is>
          <t>Specification Combined.pdf</t>
        </is>
      </c>
      <c r="E4" s="2" t="inlineStr">
        <is>
          <t>55-81</t>
        </is>
      </c>
      <c r="F4" s="2" t="inlineStr">
        <is>
          <t>Located</t>
        </is>
      </c>
      <c r="G4" s="2" t="inlineStr">
        <is>
          <t>Fabrication and assembly requirements</t>
        </is>
      </c>
    </row>
    <row r="5">
      <c r="A5" s="2" t="inlineStr">
        <is>
          <t>DB04</t>
        </is>
      </c>
      <c r="B5" s="2" t="inlineStr">
        <is>
          <t>Protective coating</t>
        </is>
      </c>
      <c r="C5" s="2" t="inlineStr">
        <is>
          <t>2005 Rev 9</t>
        </is>
      </c>
      <c r="D5" s="2" t="inlineStr">
        <is>
          <t>Specification Combined.pdf</t>
        </is>
      </c>
      <c r="E5" s="2" t="inlineStr">
        <is>
          <t>91-168</t>
        </is>
      </c>
      <c r="F5" s="2" t="inlineStr">
        <is>
          <t>Located</t>
        </is>
      </c>
      <c r="G5" s="2" t="inlineStr">
        <is>
          <t>Select applicable coating systems by exposure and service</t>
        </is>
      </c>
    </row>
    <row r="6">
      <c r="A6" s="2" t="inlineStr">
        <is>
          <t>DB05</t>
        </is>
      </c>
      <c r="B6" s="2" t="inlineStr">
        <is>
          <t>Material fabrication installation</t>
        </is>
      </c>
      <c r="C6" s="2" t="inlineStr">
        <is>
          <t>6001F Rev 14</t>
        </is>
      </c>
      <c r="D6" s="2" t="inlineStr">
        <is>
          <t>Specification Combined.pdf</t>
        </is>
      </c>
      <c r="E6" s="2" t="inlineStr">
        <is>
          <t>169-243</t>
        </is>
      </c>
      <c r="F6" s="2" t="inlineStr">
        <is>
          <t>Located</t>
        </is>
      </c>
      <c r="G6" s="2" t="inlineStr">
        <is>
          <t>Includes material and construction requirements; apply relevant clauses</t>
        </is>
      </c>
    </row>
    <row r="7">
      <c r="A7" s="2" t="inlineStr">
        <is>
          <t>DB06</t>
        </is>
      </c>
      <c r="B7" s="2" t="inlineStr">
        <is>
          <t>Design-code references</t>
        </is>
      </c>
      <c r="C7" s="2" t="inlineStr">
        <is>
          <t>API RP 2A WSD / AWS / AISC within 6001F</t>
        </is>
      </c>
      <c r="D7" s="2" t="inlineStr">
        <is>
          <t>Specification Combined.pdf</t>
        </is>
      </c>
      <c r="E7" s="2" t="inlineStr">
        <is>
          <t>172-175</t>
        </is>
      </c>
      <c r="F7" s="2" t="inlineStr">
        <is>
          <t>Located</t>
        </is>
      </c>
      <c r="G7" s="2" t="inlineStr">
        <is>
          <t>Confirm governing editions and hierarchy; listed standards are not all applicable to every item</t>
        </is>
      </c>
    </row>
    <row r="8">
      <c r="A8" s="2" t="inlineStr">
        <is>
          <t>DB07</t>
        </is>
      </c>
      <c r="B8" s="2" t="inlineStr">
        <is>
          <t>ICW-ICG study basis</t>
        </is>
      </c>
      <c r="C8" s="2" t="inlineStr">
        <is>
          <t>BPR-0004 Rev 0</t>
        </is>
      </c>
      <c r="D8" s="2" t="inlineStr">
        <is>
          <t>SOW &amp; Bridge Report Combined.pdf</t>
        </is>
      </c>
      <c r="E8" s="2" t="inlineStr">
        <is>
          <t>133-135</t>
        </is>
      </c>
      <c r="F8" s="2" t="inlineStr">
        <is>
          <t>Located</t>
        </is>
      </c>
      <c r="G8" s="2" t="inlineStr">
        <is>
          <t>56m model;54.5m approximate gap; material/wind/loading/support study inputs</t>
        </is>
      </c>
    </row>
    <row r="9">
      <c r="A9" s="2" t="inlineStr">
        <is>
          <t>DB08</t>
        </is>
      </c>
      <c r="B9" s="2" t="inlineStr">
        <is>
          <t>ICP-ICG study basis</t>
        </is>
      </c>
      <c r="C9" s="2" t="inlineStr">
        <is>
          <t>BPR-0003 Rev 0</t>
        </is>
      </c>
      <c r="D9" s="2" t="inlineStr">
        <is>
          <t>SOW &amp; Bridge Report Combined.pdf</t>
        </is>
      </c>
      <c r="E9" s="2" t="inlineStr">
        <is>
          <t>196-199</t>
        </is>
      </c>
      <c r="F9" s="2" t="inlineStr">
        <is>
          <t>Located</t>
        </is>
      </c>
      <c r="G9" s="2" t="inlineStr">
        <is>
          <t>84m model;80.5m approximate gap; material/wind/loading/support study inputs</t>
        </is>
      </c>
    </row>
    <row r="10">
      <c r="A10" s="2" t="inlineStr">
        <is>
          <t>DB09</t>
        </is>
      </c>
      <c r="B10" s="2" t="inlineStr">
        <is>
          <t>BHS-SLQ study basis</t>
        </is>
      </c>
      <c r="C10" s="2" t="inlineStr">
        <is>
          <t>BPR-0005 Rev A</t>
        </is>
      </c>
      <c r="D10" s="2" t="inlineStr">
        <is>
          <t>SOW &amp; Bridge Report Combined.pdf</t>
        </is>
      </c>
      <c r="E10" s="2" t="inlineStr">
        <is>
          <t>97-100</t>
        </is>
      </c>
      <c r="F10" s="2" t="inlineStr">
        <is>
          <t>Located</t>
        </is>
      </c>
      <c r="G10" s="2" t="inlineStr">
        <is>
          <t>42m model;40m approximate gap; material/wind/loading/support study inputs</t>
        </is>
      </c>
    </row>
    <row r="11">
      <c r="A11" s="2" t="inlineStr">
        <is>
          <t>DB10</t>
        </is>
      </c>
      <c r="B11" s="2" t="inlineStr">
        <is>
          <t>Structural project scope</t>
        </is>
      </c>
      <c r="C11" s="2" t="inlineStr">
        <is>
          <t>B774-000-83-43-SOW-0001 Rev C</t>
        </is>
      </c>
      <c r="D11" s="2" t="inlineStr">
        <is>
          <t>SOW &amp; Bridge Report Combined.pdf</t>
        </is>
      </c>
      <c r="E11" s="2" t="inlineStr">
        <is>
          <t>15-53</t>
        </is>
      </c>
      <c r="F11" s="2" t="inlineStr">
        <is>
          <t>Located</t>
        </is>
      </c>
      <c r="G11" s="2" t="inlineStr">
        <is>
          <t>Replacement scope, landings and drawing references</t>
        </is>
      </c>
    </row>
    <row r="12">
      <c r="A12" s="2" t="inlineStr">
        <is>
          <t>DB11</t>
        </is>
      </c>
      <c r="B12" s="2" t="inlineStr">
        <is>
          <t>Jacket strengthening addendum</t>
        </is>
      </c>
      <c r="C12" s="2" t="inlineStr">
        <is>
          <t>Addendum_Structure_SOW</t>
        </is>
      </c>
      <c r="D12" s="2" t="inlineStr">
        <is>
          <t>Addendum_Structure_SOW.pdf</t>
        </is>
      </c>
      <c r="E12" s="2" t="inlineStr">
        <is>
          <t>1</t>
        </is>
      </c>
      <c r="F12" s="2" t="inlineStr">
        <is>
          <t>Located</t>
        </is>
      </c>
      <c r="G12" s="2" t="inlineStr">
        <is>
          <t>ICG ICP BHS enabling strengthening</t>
        </is>
      </c>
    </row>
    <row r="13">
      <c r="A13" s="2" t="inlineStr">
        <is>
          <t>DB12</t>
        </is>
      </c>
      <c r="B13" s="2" t="inlineStr">
        <is>
          <t>Referenced structural design criteria</t>
        </is>
      </c>
      <c r="C13" s="2" t="inlineStr">
        <is>
          <t>DC-3.4-Part-1-Rev.14</t>
        </is>
      </c>
      <c r="D13" s="2" t="inlineStr">
        <is>
          <t>Referenced in bridge reports</t>
        </is>
      </c>
      <c r="E13" s="2" t="inlineStr">
        <is>
          <t>98;133;197</t>
        </is>
      </c>
      <c r="F13" s="2" t="inlineStr">
        <is>
          <t>Reference located; complete text not identified</t>
        </is>
      </c>
      <c r="G13" s="2" t="inlineStr">
        <is>
          <t>Do not mark entire design basis missing; distinguish source excerpts from standalone criteria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2026-10-25T05:20:28Z</dcterms:created>
  <dcterms:modified xmlns:dcterms="http://purl.org/dc/terms/" xmlns:xsi="http://www.w3.org/2001/XMLSchema-instance" xsi:type="dcterms:W3CDTF">2026-10-25T05:31:24Z</dcterms:modified>
</cp:coreProperties>
</file>