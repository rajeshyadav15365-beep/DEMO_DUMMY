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9f66c71fe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572fd2acde7242aa"/>
    <x:sheet xmlns:r="http://schemas.openxmlformats.org/officeDocument/2006/relationships" name="Bridge Baseline" sheetId="2" r:id="Rb2594d3c863944b8"/>
    <x:sheet xmlns:r="http://schemas.openxmlformats.org/officeDocument/2006/relationships" name="Master Activities" sheetId="3" r:id="Rd7cdb02e14cb48d1"/>
    <x:sheet xmlns:r="http://schemas.openxmlformats.org/officeDocument/2006/relationships" name="Engineering" sheetId="4" r:id="R782a82e4012140d4"/>
    <x:sheet xmlns:r="http://schemas.openxmlformats.org/officeDocument/2006/relationships" name="Procurement" sheetId="5" r:id="Rbdd35f864ba84974"/>
    <x:sheet xmlns:r="http://schemas.openxmlformats.org/officeDocument/2006/relationships" name="Fabrication" sheetId="6" r:id="Re8ce28e4232240fb"/>
    <x:sheet xmlns:r="http://schemas.openxmlformats.org/officeDocument/2006/relationships" name="Quality" sheetId="7" r:id="R2c35904ca0e9415f"/>
    <x:sheet xmlns:r="http://schemas.openxmlformats.org/officeDocument/2006/relationships" name="Logistics" sheetId="8" r:id="R4c29edb7161f40b8"/>
    <x:sheet xmlns:r="http://schemas.openxmlformats.org/officeDocument/2006/relationships" name="Marine" sheetId="9" r:id="R3708f10911d245ae"/>
    <x:sheet xmlns:r="http://schemas.openxmlformats.org/officeDocument/2006/relationships" name="Offshore" sheetId="10" r:id="R047042c388924bc4"/>
    <x:sheet xmlns:r="http://schemas.openxmlformats.org/officeDocument/2006/relationships" name="Demolition" sheetId="11" r:id="R699c1bcd47bd43a7"/>
    <x:sheet xmlns:r="http://schemas.openxmlformats.org/officeDocument/2006/relationships" name="Closeout" sheetId="12" r:id="R1bea645a7f11499f"/>
    <x:sheet xmlns:r="http://schemas.openxmlformats.org/officeDocument/2006/relationships" name="Resources" sheetId="13" r:id="R2c36ade4cc384923"/>
    <x:sheet xmlns:r="http://schemas.openxmlformats.org/officeDocument/2006/relationships" name="Daily Progress" sheetId="14" r:id="R7ed5fb686cb346b1"/>
    <x:sheet xmlns:r="http://schemas.openxmlformats.org/officeDocument/2006/relationships" name="6 Week Lookahead" sheetId="15" r:id="Rec79c40a6c6b4b65"/>
    <x:sheet xmlns:r="http://schemas.openxmlformats.org/officeDocument/2006/relationships" name="Constraints Risks" sheetId="16" r:id="R7684932165fe4ec5"/>
    <x:sheet xmlns:r="http://schemas.openxmlformats.org/officeDocument/2006/relationships" name="Cost Cashflow" sheetId="17" r:id="Rde8a127dc5914ad9"/>
    <x:sheet xmlns:r="http://schemas.openxmlformats.org/officeDocument/2006/relationships" name="Marine Campaigns" sheetId="18" r:id="Rbcb159fb35da4b57"/>
    <x:sheet xmlns:r="http://schemas.openxmlformats.org/officeDocument/2006/relationships" name="Milestones" sheetId="19" r:id="R824cace0eeca4dde"/>
    <x:sheet xmlns:r="http://schemas.openxmlformats.org/officeDocument/2006/relationships" name="CEO Dashboard" sheetId="20" r:id="R666c6c68da8e4225"/>
    <x:sheet xmlns:r="http://schemas.openxmlformats.org/officeDocument/2006/relationships" name="360 Day Gantt" sheetId="21" r:id="R8edc7b149ad441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24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1">
    <x:dxf>
      <x:font>
        <x:color rgb="FFFFFFFF"/>
      </x:font>
      <x:fill>
        <x:patternFill patternType="solid">
          <x:bgColor rgb="FF0D777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07114263b4272" /><Relationship Type="http://schemas.openxmlformats.org/officeDocument/2006/relationships/theme" Target="/xl/theme/theme1.xml" Id="Red031619b33d45f9" /><Relationship Type="http://schemas.openxmlformats.org/officeDocument/2006/relationships/sharedStrings" Target="/xl/sharedStrings.xml" Id="R010f56cdc7584ff5" /><Relationship Type="http://schemas.openxmlformats.org/officeDocument/2006/relationships/worksheet" Target="/xl/worksheets/sheet1.xml" Id="R572fd2acde7242aa" /><Relationship Type="http://schemas.openxmlformats.org/officeDocument/2006/relationships/worksheet" Target="/xl/worksheets/sheet2.xml" Id="Rb2594d3c863944b8" /><Relationship Type="http://schemas.openxmlformats.org/officeDocument/2006/relationships/worksheet" Target="/xl/worksheets/sheet3.xml" Id="Rd7cdb02e14cb48d1" /><Relationship Type="http://schemas.openxmlformats.org/officeDocument/2006/relationships/worksheet" Target="/xl/worksheets/sheet4.xml" Id="R782a82e4012140d4" /><Relationship Type="http://schemas.openxmlformats.org/officeDocument/2006/relationships/worksheet" Target="/xl/worksheets/sheet5.xml" Id="Rbdd35f864ba84974" /><Relationship Type="http://schemas.openxmlformats.org/officeDocument/2006/relationships/worksheet" Target="/xl/worksheets/sheet6.xml" Id="Re8ce28e4232240fb" /><Relationship Type="http://schemas.openxmlformats.org/officeDocument/2006/relationships/worksheet" Target="/xl/worksheets/sheet7.xml" Id="R2c35904ca0e9415f" /><Relationship Type="http://schemas.openxmlformats.org/officeDocument/2006/relationships/worksheet" Target="/xl/worksheets/sheet8.xml" Id="R4c29edb7161f40b8" /><Relationship Type="http://schemas.openxmlformats.org/officeDocument/2006/relationships/worksheet" Target="/xl/worksheets/sheet9.xml" Id="R3708f10911d245ae" /><Relationship Type="http://schemas.openxmlformats.org/officeDocument/2006/relationships/worksheet" Target="/xl/worksheets/sheet10.xml" Id="R047042c388924bc4" /><Relationship Type="http://schemas.openxmlformats.org/officeDocument/2006/relationships/worksheet" Target="/xl/worksheets/sheet11.xml" Id="R699c1bcd47bd43a7" /><Relationship Type="http://schemas.openxmlformats.org/officeDocument/2006/relationships/worksheet" Target="/xl/worksheets/sheet12.xml" Id="R1bea645a7f11499f" /><Relationship Type="http://schemas.openxmlformats.org/officeDocument/2006/relationships/worksheet" Target="/xl/worksheets/sheet13.xml" Id="R2c36ade4cc384923" /><Relationship Type="http://schemas.openxmlformats.org/officeDocument/2006/relationships/worksheet" Target="/xl/worksheets/sheet14.xml" Id="R7ed5fb686cb346b1" /><Relationship Type="http://schemas.openxmlformats.org/officeDocument/2006/relationships/worksheet" Target="/xl/worksheets/sheet15.xml" Id="Rec79c40a6c6b4b65" /><Relationship Type="http://schemas.openxmlformats.org/officeDocument/2006/relationships/worksheet" Target="/xl/worksheets/sheet16.xml" Id="R7684932165fe4ec5" /><Relationship Type="http://schemas.openxmlformats.org/officeDocument/2006/relationships/worksheet" Target="/xl/worksheets/sheet17.xml" Id="Rde8a127dc5914ad9" /><Relationship Type="http://schemas.openxmlformats.org/officeDocument/2006/relationships/worksheet" Target="/xl/worksheets/sheet18.xml" Id="Rbcb159fb35da4b57" /><Relationship Type="http://schemas.openxmlformats.org/officeDocument/2006/relationships/worksheet" Target="/xl/worksheets/sheet19.xml" Id="R824cace0eeca4dde" /><Relationship Type="http://schemas.openxmlformats.org/officeDocument/2006/relationships/worksheet" Target="/xl/worksheets/sheet20.xml" Id="R666c6c68da8e4225" /><Relationship Type="http://schemas.openxmlformats.org/officeDocument/2006/relationships/worksheet" Target="/xl/worksheets/sheet21.xml" Id="R8edc7b149ad441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15" hidden="0" customWidth="1"/>
  </x:cols>
  <x:sheetData>
    <x:row r="1" ht="30" customHeight="1">
      <x:c r="A1" s="4" t="str">
        <x:v>Topic</x:v>
      </x:c>
      <x:c r="B1" s="4" t="str">
        <x:v>Instruction / planning basis</x:v>
      </x:c>
    </x:row>
    <x:row r="2">
      <x:c r="A2" t="str">
        <x:v>Purpose</x:v>
      </x:c>
      <x:c r="B2" t="str">
        <x:v>Editable pre-award planning and controls workbook for ten ONGC offshore bridge packages. Not a validated contractual CPM.</x:v>
      </x:c>
    </x:row>
    <x:row r="3">
      <x:c r="A3" t="str">
        <x:v>Status</x:v>
      </x:c>
      <x:c r="B3" t="str">
        <x:v>PRE-AWARD / PROVISIONAL. Do not use activity windows as construction authorisation.</x:v>
      </x:c>
    </x:row>
    <x:row r="4">
      <x:c r="A4" t="str">
        <x:v>Project duration</x:v>
      </x:c>
      <x:c r="B4" t="str">
        <x:v>360 relative days; Day 1 is not yet contractually established.</x:v>
      </x:c>
    </x:row>
    <x:row r="5">
      <x:c r="A5" t="str">
        <x:v>Quantity baseline</x:v>
      </x:c>
      <x:c r="B5" t="str">
        <x:v>1,141 MT bridge-wise sum; 1,142 MT printed total discrepancy remains open. Demolition 357 MT provisional.</x:v>
      </x:c>
    </x:row>
    <x:row r="6">
      <x:c r="A6" t="str">
        <x:v>Editing</x:v>
      </x:c>
      <x:c r="B6" t="str">
        <x:v>Update Master Activities first; use discipline views as templates. Enter actual quantities, progress and resource budgets after verification.</x:v>
      </x:c>
    </x:row>
    <x:row r="7">
      <x:c r="A7" t="str">
        <x:v>Scheduling</x:v>
      </x:c>
      <x:c r="B7" t="str">
        <x:v>Day columns are provisional target windows; detailed dependencies, calendars, float and resource levelling must be validated in ProjectLibre or equivalent.</x:v>
      </x:c>
    </x:row>
    <x:row r="8">
      <x:c r="A8" t="str">
        <x:v>Safety</x:v>
      </x:c>
      <x:c r="B8" t="str">
        <x:v>All lift plans, temporary works, demolition, isolations and offshore operations require competent engineering and ONGC approval.</x:v>
      </x:c>
    </x:row>
    <x:row r="9">
      <x:c r="A9" t="str">
        <x:v>Source</x:v>
      </x:c>
      <x:c r="B9" t="str">
        <x:v>Compiled from prior conversation planning assumptions, not re-extracted from controlling tender/MTO in this deliverable.</x:v>
      </x:c>
    </x:row>
    <x:row r="10">
      <x:c r="A10" t="str">
        <x:v>Software</x:v>
      </x:c>
      <x:c r="B10" t="str">
        <x:v>ProjectLibre Desktop official documentation: https://projectlibre.com/projectlibre-documentation/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0" hidden="0" customWidth="1"/>
    <x:col min="4" max="4" width="12" hidden="0" customWidth="1"/>
    <x:col min="5" max="5" width="25" hidden="0" customWidth="1"/>
    <x:col min="6" max="6" width="17" hidden="0" customWidth="1"/>
    <x:col min="7" max="7" width="17" hidden="0" customWidth="1"/>
    <x:col min="8" max="8" width="17" hidden="0" customWidth="1"/>
    <x:col min="9" max="9" width="20" hidden="0" customWidth="1"/>
    <x:col min="10" max="10" width="22" hidden="0" customWidth="1"/>
  </x:cols>
  <x:sheetData>
    <x:row r="1" ht="30" customHeight="1">
      <x:c r="A1" s="4" t="str">
        <x:v>Bridge ID</x:v>
      </x:c>
      <x:c r="B1" s="4" t="str">
        <x:v>Provisional MT</x:v>
      </x:c>
      <x:c r="C1" s="4" t="str">
        <x:v>Work Type</x:v>
      </x:c>
      <x:c r="D1" s="4" t="str">
        <x:v>Team</x:v>
      </x:c>
      <x:c r="E1" s="4" t="str">
        <x:v>MTO Status</x:v>
      </x:c>
      <x:c r="F1" s="4" t="str">
        <x:v>Lift Pieces</x:v>
      </x:c>
      <x:c r="G1" s="4" t="str">
        <x:v>Weld m</x:v>
      </x:c>
      <x:c r="H1" s="4" t="str">
        <x:v>Coating m2</x:v>
      </x:c>
      <x:c r="I1" s="4" t="str">
        <x:v>Demolition MT</x:v>
      </x:c>
      <x:c r="J1" s="4" t="str">
        <x:v>Engineering Release</x:v>
      </x:c>
    </x:row>
    <x:row r="2">
      <x:c r="A2" t="str">
        <x:v>ICW-ICG-LD</x:v>
      </x:c>
      <x:c r="B2" t="n">
        <x:v>122</x:v>
      </x:c>
      <x:c r="C2" t="str">
        <x:v>Installation</x:v>
      </x:c>
      <x:c r="D2" t="str">
        <x:v>C</x:v>
      </x:c>
      <x:c r="E2" t="str">
        <x:v>Verify against MTO</x:v>
      </x:c>
      <x:c r="F2"/>
      <x:c r="G2"/>
      <x:c r="H2"/>
      <x:c r="I2"/>
      <x:c r="J2" t="str">
        <x:v>Pending</x:v>
      </x:c>
    </x:row>
    <x:row r="3">
      <x:c r="A3" t="str">
        <x:v>ICG-ICP-LD</x:v>
      </x:c>
      <x:c r="B3" t="n">
        <x:v>160</x:v>
      </x:c>
      <x:c r="C3" t="str">
        <x:v>Installation</x:v>
      </x:c>
      <x:c r="D3" t="str">
        <x:v>C</x:v>
      </x:c>
      <x:c r="E3" t="str">
        <x:v>Verify against MTO</x:v>
      </x:c>
      <x:c r="F3"/>
      <x:c r="G3"/>
      <x:c r="H3"/>
      <x:c r="I3"/>
      <x:c r="J3" t="str">
        <x:v>Pending</x:v>
      </x:c>
    </x:row>
    <x:row r="4">
      <x:c r="A4" t="str">
        <x:v>BHS-SLQ</x:v>
      </x:c>
      <x:c r="B4" t="n">
        <x:v>282</x:v>
      </x:c>
      <x:c r="C4" t="str">
        <x:v>Replacement</x:v>
      </x:c>
      <x:c r="D4" t="str">
        <x:v>C</x:v>
      </x:c>
      <x:c r="E4" t="str">
        <x:v>Verify against MTO</x:v>
      </x:c>
      <x:c r="F4"/>
      <x:c r="G4"/>
      <x:c r="H4"/>
      <x:c r="I4" t="n">
        <x:v>357</x:v>
      </x:c>
      <x:c r="J4" t="str">
        <x:v>Pending</x:v>
      </x:c>
    </x:row>
    <x:row r="5">
      <x:c r="A5" t="str">
        <x:v>ICW-ICG-UD</x:v>
      </x:c>
      <x:c r="B5" t="n">
        <x:v>49</x:v>
      </x:c>
      <x:c r="C5" t="str">
        <x:v>Strengthening</x:v>
      </x:c>
      <x:c r="D5" t="str">
        <x:v>A</x:v>
      </x:c>
      <x:c r="E5" t="str">
        <x:v>Verify against MTO</x:v>
      </x:c>
      <x:c r="F5"/>
      <x:c r="G5"/>
      <x:c r="H5"/>
      <x:c r="I5"/>
      <x:c r="J5" t="str">
        <x:v>Pending</x:v>
      </x:c>
    </x:row>
    <x:row r="6">
      <x:c r="A6" t="str">
        <x:v>ICG-ICP-UD</x:v>
      </x:c>
      <x:c r="B6" t="n">
        <x:v>116</x:v>
      </x:c>
      <x:c r="C6" t="str">
        <x:v>Strengthening</x:v>
      </x:c>
      <x:c r="D6" t="str">
        <x:v>A</x:v>
      </x:c>
      <x:c r="E6" t="str">
        <x:v>Verify against MTO</x:v>
      </x:c>
      <x:c r="F6"/>
      <x:c r="G6"/>
      <x:c r="H6"/>
      <x:c r="I6"/>
      <x:c r="J6" t="str">
        <x:v>Pending</x:v>
      </x:c>
    </x:row>
    <x:row r="7">
      <x:c r="A7" t="str">
        <x:v>SLQ-WIS</x:v>
      </x:c>
      <x:c r="B7" t="n">
        <x:v>91</x:v>
      </x:c>
      <x:c r="C7" t="str">
        <x:v>Strengthening</x:v>
      </x:c>
      <x:c r="D7" t="str">
        <x:v>A</x:v>
      </x:c>
      <x:c r="E7" t="str">
        <x:v>Verify against MTO</x:v>
      </x:c>
      <x:c r="F7"/>
      <x:c r="G7"/>
      <x:c r="H7"/>
      <x:c r="I7"/>
      <x:c r="J7" t="str">
        <x:v>Pending</x:v>
      </x:c>
    </x:row>
    <x:row r="8">
      <x:c r="A8" t="str">
        <x:v>NQO-NQD</x:v>
      </x:c>
      <x:c r="B8" t="n">
        <x:v>93</x:v>
      </x:c>
      <x:c r="C8" t="str">
        <x:v>Strengthening</x:v>
      </x:c>
      <x:c r="D8" t="str">
        <x:v>B</x:v>
      </x:c>
      <x:c r="E8" t="str">
        <x:v>Verify against MTO</x:v>
      </x:c>
      <x:c r="F8"/>
      <x:c r="G8"/>
      <x:c r="H8"/>
      <x:c r="I8"/>
      <x:c r="J8" t="str">
        <x:v>Pending</x:v>
      </x:c>
    </x:row>
    <x:row r="9">
      <x:c r="A9" t="str">
        <x:v>WIN-NC</x:v>
      </x:c>
      <x:c r="B9" t="n">
        <x:v>46</x:v>
      </x:c>
      <x:c r="C9" t="str">
        <x:v>Strengthening</x:v>
      </x:c>
      <x:c r="D9" t="str">
        <x:v>B</x:v>
      </x:c>
      <x:c r="E9" t="str">
        <x:v>Verify against MTO</x:v>
      </x:c>
      <x:c r="F9"/>
      <x:c r="G9"/>
      <x:c r="H9"/>
      <x:c r="I9"/>
      <x:c r="J9" t="str">
        <x:v>Pending</x:v>
      </x:c>
    </x:row>
    <x:row r="10">
      <x:c r="A10" t="str">
        <x:v>SCA-SC1</x:v>
      </x:c>
      <x:c r="B10" t="n">
        <x:v>63</x:v>
      </x:c>
      <x:c r="C10" t="str">
        <x:v>Strengthening</x:v>
      </x:c>
      <x:c r="D10" t="str">
        <x:v>B</x:v>
      </x:c>
      <x:c r="E10" t="str">
        <x:v>Verify against MTO</x:v>
      </x:c>
      <x:c r="F10"/>
      <x:c r="G10"/>
      <x:c r="H10"/>
      <x:c r="I10"/>
      <x:c r="J10" t="str">
        <x:v>Pending</x:v>
      </x:c>
    </x:row>
    <x:row r="11">
      <x:c r="A11" t="str">
        <x:v>SCA-SCF</x:v>
      </x:c>
      <x:c r="B11" t="n">
        <x:v>119</x:v>
      </x:c>
      <x:c r="C11" t="str">
        <x:v>Strengthening</x:v>
      </x:c>
      <x:c r="D11" t="str">
        <x:v>B</x:v>
      </x:c>
      <x:c r="E11" t="str">
        <x:v>Verify against MTO</x:v>
      </x:c>
      <x:c r="F11"/>
      <x:c r="G11"/>
      <x:c r="H11"/>
      <x:c r="I11"/>
      <x:c r="J11" t="str">
        <x:v>Pending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7" hidden="0" customWidth="1"/>
    <x:col min="4" max="4" width="10" hidden="0" customWidth="1"/>
    <x:col min="5" max="5" width="19" hidden="0" customWidth="1"/>
    <x:col min="6" max="6" width="44" hidden="0" customWidth="1"/>
    <x:col min="7" max="7" width="25" hidden="0" customWidth="1"/>
    <x:col min="8" max="8" width="10" hidden="0" customWidth="1"/>
    <x:col min="9" max="9" width="14" hidden="0" customWidth="1"/>
    <x:col min="10" max="10" width="14" hidden="0" customWidth="1"/>
    <x:col min="11" max="11" width="16" hidden="0" customWidth="1"/>
    <x:col min="12" max="12" width="26" hidden="0" customWidth="1"/>
    <x:col min="13" max="13" width="17" hidden="0" customWidth="1"/>
    <x:col min="14" max="14" width="16" hidden="0" customWidth="1"/>
    <x:col min="15" max="15" width="16" hidden="0" customWidth="1"/>
    <x:col min="16" max="16" width="16" hidden="0" customWidth="1"/>
    <x:col min="17" max="17" width="15" hidden="0" customWidth="1"/>
    <x:col min="18" max="18" width="18" hidden="0" customWidth="1"/>
    <x:col min="19" max="19" width="17" hidden="0" customWidth="1"/>
    <x:col min="20" max="20" width="65" hidden="0" customWidth="1"/>
  </x:cols>
  <x:sheetData>
    <x:row r="1" ht="30" customHeight="1">
      <x:c r="A1" s="4" t="str">
        <x:v>Activity ID</x:v>
      </x:c>
      <x:c r="B1" s="4" t="str">
        <x:v>Bridge ID</x:v>
      </x:c>
      <x:c r="C1" s="4" t="str">
        <x:v>Work Type</x:v>
      </x:c>
      <x:c r="D1" s="4" t="str">
        <x:v>Team</x:v>
      </x:c>
      <x:c r="E1" s="4" t="str">
        <x:v>Discipline</x:v>
      </x:c>
      <x:c r="F1" s="4" t="str">
        <x:v>Activity</x:v>
      </x:c>
      <x:c r="G1" s="4" t="str">
        <x:v>Predecessor ID</x:v>
      </x:c>
      <x:c r="H1" s="4" t="str">
        <x:v>Link</x:v>
      </x:c>
      <x:c r="I1" s="4" t="str">
        <x:v>Start Day</x:v>
      </x:c>
      <x:c r="J1" s="4" t="str">
        <x:v>Finish Day</x:v>
      </x:c>
      <x:c r="K1" s="4" t="str">
        <x:v>Duration Days</x:v>
      </x:c>
      <x:c r="L1" s="4" t="str">
        <x:v>Responsible</x:v>
      </x:c>
      <x:c r="M1" s="4" t="str">
        <x:v>Unit</x:v>
      </x:c>
      <x:c r="N1" s="4" t="str">
        <x:v>Budget Qty</x:v>
      </x:c>
      <x:c r="O1" s="4" t="str">
        <x:v>Actual Qty</x:v>
      </x:c>
      <x:c r="P1" s="4" t="str">
        <x:v>Budget MH</x:v>
      </x:c>
      <x:c r="Q1" s="4" t="str">
        <x:v>Progress %</x:v>
      </x:c>
      <x:c r="R1" s="4" t="str">
        <x:v>Status</x:v>
      </x:c>
      <x:c r="S1" s="4" t="str">
        <x:v>Basis</x:v>
      </x:c>
      <x:c r="T1" s="4" t="str">
        <x:v>Constraints / Notes</x:v>
      </x:c>
    </x:row>
    <x:row r="2">
      <x:c r="A2" t="str">
        <x:v>ICW-ICG-LD-01</x:v>
      </x:c>
      <x:c r="B2" t="str">
        <x:v>ICW-ICG-LD</x:v>
      </x:c>
      <x:c r="C2" t="str">
        <x:v>Installation</x:v>
      </x:c>
      <x:c r="D2" t="str">
        <x:v>C</x:v>
      </x:c>
      <x:c r="E2" t="str">
        <x:v>Engineering</x:v>
      </x:c>
      <x:c r="F2" t="str">
        <x:v>Existing-condition survey</x:v>
      </x:c>
      <x:c r="G2" t="str"/>
      <x:c r="H2" t="str">
        <x:v>FS</x:v>
      </x:c>
      <x:c r="I2" t="n">
        <x:v>1</x:v>
      </x:c>
      <x:c r="J2" t="n">
        <x:v>28</x:v>
      </x:c>
      <x:c r="K2" t="n">
        <x:v>28</x:v>
      </x:c>
      <x:c r="L2" t="str">
        <x:v>Engineering Manager</x:v>
      </x:c>
      <x:c r="M2" t="str">
        <x:v>survey</x:v>
      </x:c>
      <x:c r="N2"/>
      <x:c r="O2"/>
      <x:c r="P2"/>
      <x:c r="Q2" s="10" t="n">
        <x:v>0</x:v>
      </x:c>
      <x:c r="R2" t="str">
        <x:v>Not started</x:v>
      </x:c>
      <x:c r="S2" t="str">
        <x:v>Provisional</x:v>
      </x:c>
      <x:c r="T2" t="str">
        <x:v>Verify measured scope, resources and predecessor logic</x:v>
      </x:c>
    </x:row>
    <x:row r="3">
      <x:c r="A3" t="str">
        <x:v>ICW-ICG-LD-02</x:v>
      </x:c>
      <x:c r="B3" t="str">
        <x:v>ICW-ICG-LD</x:v>
      </x:c>
      <x:c r="C3" t="str">
        <x:v>Installation</x:v>
      </x:c>
      <x:c r="D3" t="str">
        <x:v>C</x:v>
      </x:c>
      <x:c r="E3" t="str">
        <x:v>Engineering</x:v>
      </x:c>
      <x:c r="F3" t="str">
        <x:v>Design basis and interface verification</x:v>
      </x:c>
      <x:c r="G3" t="str">
        <x:v>ICW-ICG-LD-01</x:v>
      </x:c>
      <x:c r="H3" t="str">
        <x:v>FS</x:v>
      </x:c>
      <x:c r="I3" t="n">
        <x:v>15</x:v>
      </x:c>
      <x:c r="J3" t="n">
        <x:v>38</x:v>
      </x:c>
      <x:c r="K3" t="n">
        <x:v>24</x:v>
      </x:c>
      <x:c r="L3" t="str">
        <x:v>Engineering Manager</x:v>
      </x:c>
      <x:c r="M3" t="str">
        <x:v>design</x:v>
      </x:c>
      <x:c r="N3"/>
      <x:c r="O3"/>
      <x:c r="P3"/>
      <x:c r="Q3" s="10" t="n">
        <x:v>0</x:v>
      </x:c>
      <x:c r="R3" t="str">
        <x:v>Not started</x:v>
      </x:c>
      <x:c r="S3" t="str">
        <x:v>Provisional</x:v>
      </x:c>
      <x:c r="T3" t="str">
        <x:v>Verify measured scope, resources and predecessor logic</x:v>
      </x:c>
    </x:row>
    <x:row r="4">
      <x:c r="A4" t="str">
        <x:v>ICW-ICG-LD-03</x:v>
      </x:c>
      <x:c r="B4" t="str">
        <x:v>ICW-ICG-LD</x:v>
      </x:c>
      <x:c r="C4" t="str">
        <x:v>Installation</x:v>
      </x:c>
      <x:c r="D4" t="str">
        <x:v>C</x:v>
      </x:c>
      <x:c r="E4" t="str">
        <x:v>Engineering</x:v>
      </x:c>
      <x:c r="F4" t="str">
        <x:v>Detailed structural and temporary works engineering</x:v>
      </x:c>
      <x:c r="G4" t="str">
        <x:v>ICW-ICG-LD-02</x:v>
      </x:c>
      <x:c r="H4" t="str">
        <x:v>FS</x:v>
      </x:c>
      <x:c r="I4" t="n">
        <x:v>28</x:v>
      </x:c>
      <x:c r="J4" t="n">
        <x:v>92</x:v>
      </x:c>
      <x:c r="K4" t="n">
        <x:v>65</x:v>
      </x:c>
      <x:c r="L4" t="str">
        <x:v>Engineering Manager</x:v>
      </x:c>
      <x:c r="M4" t="str">
        <x:v>design</x:v>
      </x:c>
      <x:c r="N4"/>
      <x:c r="O4"/>
      <x:c r="P4"/>
      <x:c r="Q4" s="10" t="n">
        <x:v>0</x:v>
      </x:c>
      <x:c r="R4" t="str">
        <x:v>Not started</x:v>
      </x:c>
      <x:c r="S4" t="str">
        <x:v>Provisional</x:v>
      </x:c>
      <x:c r="T4" t="str">
        <x:v>Verify measured scope, resources and predecessor logic</x:v>
      </x:c>
    </x:row>
    <x:row r="5">
      <x:c r="A5" t="str">
        <x:v>ICW-ICG-LD-04</x:v>
      </x:c>
      <x:c r="B5" t="str">
        <x:v>ICW-ICG-LD</x:v>
      </x:c>
      <x:c r="C5" t="str">
        <x:v>Installation</x:v>
      </x:c>
      <x:c r="D5" t="str">
        <x:v>C</x:v>
      </x:c>
      <x:c r="E5" t="str">
        <x:v>Engineering</x:v>
      </x:c>
      <x:c r="F5" t="str">
        <x:v>Fabrication drawing release</x:v>
      </x:c>
      <x:c r="G5" t="str">
        <x:v>ICW-ICG-LD-03</x:v>
      </x:c>
      <x:c r="H5" t="str">
        <x:v>FS</x:v>
      </x:c>
      <x:c r="I5" t="n">
        <x:v>48</x:v>
      </x:c>
      <x:c r="J5" t="n">
        <x:v>105</x:v>
      </x:c>
      <x:c r="K5" t="n">
        <x:v>58</x:v>
      </x:c>
      <x:c r="L5" t="str">
        <x:v>Engineering Manager</x:v>
      </x:c>
      <x:c r="M5" t="str">
        <x:v>drawing</x:v>
      </x:c>
      <x:c r="N5"/>
      <x:c r="O5"/>
      <x:c r="P5"/>
      <x:c r="Q5" s="10" t="n">
        <x:v>0</x:v>
      </x:c>
      <x:c r="R5" t="str">
        <x:v>Not started</x:v>
      </x:c>
      <x:c r="S5" t="str">
        <x:v>Provisional</x:v>
      </x:c>
      <x:c r="T5" t="str">
        <x:v>Verify measured scope, resources and predecessor logic</x:v>
      </x:c>
    </x:row>
    <x:row r="6">
      <x:c r="A6" t="str">
        <x:v>ICW-ICG-LD-05</x:v>
      </x:c>
      <x:c r="B6" t="str">
        <x:v>ICW-ICG-LD</x:v>
      </x:c>
      <x:c r="C6" t="str">
        <x:v>Installation</x:v>
      </x:c>
      <x:c r="D6" t="str">
        <x:v>C</x:v>
      </x:c>
      <x:c r="E6" t="str">
        <x:v>Procurement</x:v>
      </x:c>
      <x:c r="F6" t="str">
        <x:v>Material requisitions and vendor approval</x:v>
      </x:c>
      <x:c r="G6" t="str"/>
      <x:c r="H6" t="str">
        <x:v>FS</x:v>
      </x:c>
      <x:c r="I6" t="n">
        <x:v>28</x:v>
      </x:c>
      <x:c r="J6" t="n">
        <x:v>55</x:v>
      </x:c>
      <x:c r="K6" t="n">
        <x:v>28</x:v>
      </x:c>
      <x:c r="L6" t="str">
        <x:v>Procurement Manager</x:v>
      </x:c>
      <x:c r="M6" t="str">
        <x:v>MR</x:v>
      </x:c>
      <x:c r="N6"/>
      <x:c r="O6"/>
      <x:c r="P6"/>
      <x:c r="Q6" s="10" t="n">
        <x:v>0</x:v>
      </x:c>
      <x:c r="R6" t="str">
        <x:v>Not started</x:v>
      </x:c>
      <x:c r="S6" t="str">
        <x:v>Provisional</x:v>
      </x:c>
      <x:c r="T6" t="str">
        <x:v>Verify measured scope, resources and predecessor logic</x:v>
      </x:c>
    </x:row>
    <x:row r="7">
      <x:c r="A7" t="str">
        <x:v>ICW-ICG-LD-06</x:v>
      </x:c>
      <x:c r="B7" t="str">
        <x:v>ICW-ICG-LD</x:v>
      </x:c>
      <x:c r="C7" t="str">
        <x:v>Installation</x:v>
      </x:c>
      <x:c r="D7" t="str">
        <x:v>C</x:v>
      </x:c>
      <x:c r="E7" t="str">
        <x:v>Procurement</x:v>
      </x:c>
      <x:c r="F7" t="str">
        <x:v>Steel purchasing and delivery</x:v>
      </x:c>
      <x:c r="G7" t="str">
        <x:v>ICW-ICG-LD-05</x:v>
      </x:c>
      <x:c r="H7" t="str">
        <x:v>FS</x:v>
      </x:c>
      <x:c r="I7" t="n">
        <x:v>48</x:v>
      </x:c>
      <x:c r="J7" t="n">
        <x:v>110</x:v>
      </x:c>
      <x:c r="K7" t="n">
        <x:v>63</x:v>
      </x:c>
      <x:c r="L7" t="str">
        <x:v>Procurement Manager</x:v>
      </x:c>
      <x:c r="M7" t="str">
        <x:v>MT</x:v>
      </x:c>
      <x:c r="N7"/>
      <x:c r="O7"/>
      <x:c r="P7"/>
      <x:c r="Q7" s="10" t="n">
        <x:v>0</x:v>
      </x:c>
      <x:c r="R7" t="str">
        <x:v>Not started</x:v>
      </x:c>
      <x:c r="S7" t="str">
        <x:v>Provisional</x:v>
      </x:c>
      <x:c r="T7" t="str">
        <x:v>Verify measured scope, resources and predecessor logic</x:v>
      </x:c>
    </x:row>
    <x:row r="8">
      <x:c r="A8" t="str">
        <x:v>ICW-ICG-LD-07</x:v>
      </x:c>
      <x:c r="B8" t="str">
        <x:v>ICW-ICG-LD</x:v>
      </x:c>
      <x:c r="C8" t="str">
        <x:v>Installation</x:v>
      </x:c>
      <x:c r="D8" t="str">
        <x:v>C</x:v>
      </x:c>
      <x:c r="E8" t="str">
        <x:v>Fabrication</x:v>
      </x:c>
      <x:c r="F8" t="str">
        <x:v>Cutting and material preparation</x:v>
      </x:c>
      <x:c r="G8" t="str"/>
      <x:c r="H8" t="str">
        <x:v>FS</x:v>
      </x:c>
      <x:c r="I8" t="n">
        <x:v>75</x:v>
      </x:c>
      <x:c r="J8" t="n">
        <x:v>105</x:v>
      </x:c>
      <x:c r="K8" t="n">
        <x:v>31</x:v>
      </x:c>
      <x:c r="L8" t="str">
        <x:v>Fabrication Manager</x:v>
      </x:c>
      <x:c r="M8" t="str">
        <x:v>pieces</x:v>
      </x:c>
      <x:c r="N8"/>
      <x:c r="O8"/>
      <x:c r="P8"/>
      <x:c r="Q8" s="10" t="n">
        <x:v>0</x:v>
      </x:c>
      <x:c r="R8" t="str">
        <x:v>Not started</x:v>
      </x:c>
      <x:c r="S8" t="str">
        <x:v>Provisional</x:v>
      </x:c>
      <x:c r="T8" t="str">
        <x:v>Verify measured scope, resources and predecessor logic</x:v>
      </x:c>
    </x:row>
    <x:row r="9">
      <x:c r="A9" t="str">
        <x:v>ICW-ICG-LD-08</x:v>
      </x:c>
      <x:c r="B9" t="str">
        <x:v>ICW-ICG-LD</x:v>
      </x:c>
      <x:c r="C9" t="str">
        <x:v>Installation</x:v>
      </x:c>
      <x:c r="D9" t="str">
        <x:v>C</x:v>
      </x:c>
      <x:c r="E9" t="str">
        <x:v>Fabrication</x:v>
      </x:c>
      <x:c r="F9" t="str">
        <x:v>Assembly and fit-up</x:v>
      </x:c>
      <x:c r="G9" t="str">
        <x:v>ICW-ICG-LD-07</x:v>
      </x:c>
      <x:c r="H9" t="str">
        <x:v>FS</x:v>
      </x:c>
      <x:c r="I9" t="n">
        <x:v>90</x:v>
      </x:c>
      <x:c r="J9" t="n">
        <x:v>135</x:v>
      </x:c>
      <x:c r="K9" t="n">
        <x:v>46</x:v>
      </x:c>
      <x:c r="L9" t="str">
        <x:v>Fabrication Manager</x:v>
      </x:c>
      <x:c r="M9" t="str">
        <x:v>assemblies</x:v>
      </x:c>
      <x:c r="N9"/>
      <x:c r="O9"/>
      <x:c r="P9"/>
      <x:c r="Q9" s="10" t="n">
        <x:v>0</x:v>
      </x:c>
      <x:c r="R9" t="str">
        <x:v>Not started</x:v>
      </x:c>
      <x:c r="S9" t="str">
        <x:v>Provisional</x:v>
      </x:c>
      <x:c r="T9" t="str">
        <x:v>Verify measured scope, resources and predecessor logic</x:v>
      </x:c>
    </x:row>
    <x:row r="10">
      <x:c r="A10" t="str">
        <x:v>ICW-ICG-LD-09</x:v>
      </x:c>
      <x:c r="B10" t="str">
        <x:v>ICW-ICG-LD</x:v>
      </x:c>
      <x:c r="C10" t="str">
        <x:v>Installation</x:v>
      </x:c>
      <x:c r="D10" t="str">
        <x:v>C</x:v>
      </x:c>
      <x:c r="E10" t="str">
        <x:v>Fabrication</x:v>
      </x:c>
      <x:c r="F10" t="str">
        <x:v>Shop welding</x:v>
      </x:c>
      <x:c r="G10" t="str">
        <x:v>ICW-ICG-LD-08</x:v>
      </x:c>
      <x:c r="H10" t="str">
        <x:v>FS</x:v>
      </x:c>
      <x:c r="I10" t="n">
        <x:v>103</x:v>
      </x:c>
      <x:c r="J10" t="n">
        <x:v>148</x:v>
      </x:c>
      <x:c r="K10" t="n">
        <x:v>46</x:v>
      </x:c>
      <x:c r="L10" t="str">
        <x:v>Fabrication Manager</x:v>
      </x:c>
      <x:c r="M10" t="str">
        <x:v>weld-m</x:v>
      </x:c>
      <x:c r="N10"/>
      <x:c r="O10"/>
      <x:c r="P10"/>
      <x:c r="Q10" s="10" t="n">
        <x:v>0</x:v>
      </x:c>
      <x:c r="R10" t="str">
        <x:v>Not started</x:v>
      </x:c>
      <x:c r="S10" t="str">
        <x:v>Provisional</x:v>
      </x:c>
      <x:c r="T10" t="str">
        <x:v>Verify measured scope, resources and predecessor logic</x:v>
      </x:c>
    </x:row>
    <x:row r="11">
      <x:c r="A11" t="str">
        <x:v>ICW-ICG-LD-10</x:v>
      </x:c>
      <x:c r="B11" t="str">
        <x:v>ICW-ICG-LD</x:v>
      </x:c>
      <x:c r="C11" t="str">
        <x:v>Installation</x:v>
      </x:c>
      <x:c r="D11" t="str">
        <x:v>C</x:v>
      </x:c>
      <x:c r="E11" t="str">
        <x:v>Quality</x:v>
      </x:c>
      <x:c r="F11" t="str">
        <x:v>NDT and dimensional acceptance</x:v>
      </x:c>
      <x:c r="G11" t="str"/>
      <x:c r="H11" t="str">
        <x:v>FS</x:v>
      </x:c>
      <x:c r="I11" t="n">
        <x:v>120</x:v>
      </x:c>
      <x:c r="J11" t="n">
        <x:v>157</x:v>
      </x:c>
      <x:c r="K11" t="n">
        <x:v>38</x:v>
      </x:c>
      <x:c r="L11" t="str">
        <x:v>QAQC Manager</x:v>
      </x:c>
      <x:c r="M11" t="str">
        <x:v>joints</x:v>
      </x:c>
      <x:c r="N11"/>
      <x:c r="O11"/>
      <x:c r="P11"/>
      <x:c r="Q11" s="10" t="n">
        <x:v>0</x:v>
      </x:c>
      <x:c r="R11" t="str">
        <x:v>Not started</x:v>
      </x:c>
      <x:c r="S11" t="str">
        <x:v>Provisional</x:v>
      </x:c>
      <x:c r="T11" t="str">
        <x:v>Verify measured scope, resources and predecessor logic</x:v>
      </x:c>
    </x:row>
    <x:row r="12">
      <x:c r="A12" t="str">
        <x:v>ICW-ICG-LD-11</x:v>
      </x:c>
      <x:c r="B12" t="str">
        <x:v>ICW-ICG-LD</x:v>
      </x:c>
      <x:c r="C12" t="str">
        <x:v>Installation</x:v>
      </x:c>
      <x:c r="D12" t="str">
        <x:v>C</x:v>
      </x:c>
      <x:c r="E12" t="str">
        <x:v>Quality</x:v>
      </x:c>
      <x:c r="F12" t="str">
        <x:v>Blast, coat and preserve</x:v>
      </x:c>
      <x:c r="G12" t="str">
        <x:v>ICW-ICG-LD-10</x:v>
      </x:c>
      <x:c r="H12" t="str">
        <x:v>FS</x:v>
      </x:c>
      <x:c r="I12" t="n">
        <x:v>135</x:v>
      </x:c>
      <x:c r="J12" t="n">
        <x:v>165</x:v>
      </x:c>
      <x:c r="K12" t="n">
        <x:v>31</x:v>
      </x:c>
      <x:c r="L12" t="str">
        <x:v>QAQC Manager</x:v>
      </x:c>
      <x:c r="M12" t="str">
        <x:v>m2</x:v>
      </x:c>
      <x:c r="N12"/>
      <x:c r="O12"/>
      <x:c r="P12"/>
      <x:c r="Q12" s="10" t="n">
        <x:v>0</x:v>
      </x:c>
      <x:c r="R12" t="str">
        <x:v>Not started</x:v>
      </x:c>
      <x:c r="S12" t="str">
        <x:v>Provisional</x:v>
      </x:c>
      <x:c r="T12" t="str">
        <x:v>Verify measured scope, resources and predecessor logic</x:v>
      </x:c>
    </x:row>
    <x:row r="13">
      <x:c r="A13" t="str">
        <x:v>ICW-ICG-LD-12</x:v>
      </x:c>
      <x:c r="B13" t="str">
        <x:v>ICW-ICG-LD</x:v>
      </x:c>
      <x:c r="C13" t="str">
        <x:v>Installation</x:v>
      </x:c>
      <x:c r="D13" t="str">
        <x:v>C</x:v>
      </x:c>
      <x:c r="E13" t="str">
        <x:v>Logistics</x:v>
      </x:c>
      <x:c r="F13" t="str">
        <x:v>Module weight COG and loadout engineering</x:v>
      </x:c>
      <x:c r="G13" t="str"/>
      <x:c r="H13" t="str">
        <x:v>FS</x:v>
      </x:c>
      <x:c r="I13" t="n">
        <x:v>90</x:v>
      </x:c>
      <x:c r="J13" t="n">
        <x:v>162</x:v>
      </x:c>
      <x:c r="K13" t="n">
        <x:v>73</x:v>
      </x:c>
      <x:c r="L13" t="str">
        <x:v>Marine Manager</x:v>
      </x:c>
      <x:c r="M13" t="str">
        <x:v>modules</x:v>
      </x:c>
      <x:c r="N13"/>
      <x:c r="O13"/>
      <x:c r="P13"/>
      <x:c r="Q13" s="10" t="n">
        <x:v>0</x:v>
      </x:c>
      <x:c r="R13" t="str">
        <x:v>Not started</x:v>
      </x:c>
      <x:c r="S13" t="str">
        <x:v>Provisional</x:v>
      </x:c>
      <x:c r="T13" t="str">
        <x:v>Verify measured scope, resources and predecessor logic</x:v>
      </x:c>
    </x:row>
    <x:row r="14">
      <x:c r="A14" t="str">
        <x:v>ICW-ICG-LD-13</x:v>
      </x:c>
      <x:c r="B14" t="str">
        <x:v>ICW-ICG-LD</x:v>
      </x:c>
      <x:c r="C14" t="str">
        <x:v>Installation</x:v>
      </x:c>
      <x:c r="D14" t="str">
        <x:v>C</x:v>
      </x:c>
      <x:c r="E14" t="str">
        <x:v>Logistics</x:v>
      </x:c>
      <x:c r="F14" t="str">
        <x:v>Cargo manifest and shore base transfer</x:v>
      </x:c>
      <x:c r="G14" t="str">
        <x:v>ICW-ICG-LD-12</x:v>
      </x:c>
      <x:c r="H14" t="str">
        <x:v>FS</x:v>
      </x:c>
      <x:c r="I14" t="n">
        <x:v>135</x:v>
      </x:c>
      <x:c r="J14" t="n">
        <x:v>175</x:v>
      </x:c>
      <x:c r="K14" t="n">
        <x:v>41</x:v>
      </x:c>
      <x:c r="L14" t="str">
        <x:v>Logistics Manager</x:v>
      </x:c>
      <x:c r="M14" t="str">
        <x:v>shipments</x:v>
      </x:c>
      <x:c r="N14"/>
      <x:c r="O14"/>
      <x:c r="P14"/>
      <x:c r="Q14" s="10" t="n">
        <x:v>0</x:v>
      </x:c>
      <x:c r="R14" t="str">
        <x:v>Not started</x:v>
      </x:c>
      <x:c r="S14" t="str">
        <x:v>Provisional</x:v>
      </x:c>
      <x:c r="T14" t="str">
        <x:v>Verify measured scope, resources and predecessor logic</x:v>
      </x:c>
    </x:row>
    <x:row r="15">
      <x:c r="A15" t="str">
        <x:v>ICW-ICG-LD-14</x:v>
      </x:c>
      <x:c r="B15" t="str">
        <x:v>ICW-ICG-LD</x:v>
      </x:c>
      <x:c r="C15" t="str">
        <x:v>Installation</x:v>
      </x:c>
      <x:c r="D15" t="str">
        <x:v>C</x:v>
      </x:c>
      <x:c r="E15" t="str">
        <x:v>Marine</x:v>
      </x:c>
      <x:c r="F15" t="str">
        <x:v>Vessel technical selection and assurance</x:v>
      </x:c>
      <x:c r="G15" t="str"/>
      <x:c r="H15" t="str">
        <x:v>FS</x:v>
      </x:c>
      <x:c r="I15" t="n">
        <x:v>45</x:v>
      </x:c>
      <x:c r="J15" t="n">
        <x:v>135</x:v>
      </x:c>
      <x:c r="K15" t="n">
        <x:v>91</x:v>
      </x:c>
      <x:c r="L15" t="str">
        <x:v>Marine Manager</x:v>
      </x:c>
      <x:c r="M15" t="str">
        <x:v>vessel</x:v>
      </x:c>
      <x:c r="N15"/>
      <x:c r="O15"/>
      <x:c r="P15"/>
      <x:c r="Q15" s="10" t="n">
        <x:v>0</x:v>
      </x:c>
      <x:c r="R15" t="str">
        <x:v>Not started</x:v>
      </x:c>
      <x:c r="S15" t="str">
        <x:v>Provisional</x:v>
      </x:c>
      <x:c r="T15" t="str">
        <x:v>Verify measured scope, resources and predecessor logic</x:v>
      </x:c>
    </x:row>
    <x:row r="16">
      <x:c r="A16" t="str">
        <x:v>ICW-ICG-LD-15</x:v>
      </x:c>
      <x:c r="B16" t="str">
        <x:v>ICW-ICG-LD</x:v>
      </x:c>
      <x:c r="C16" t="str">
        <x:v>Installation</x:v>
      </x:c>
      <x:c r="D16" t="str">
        <x:v>C</x:v>
      </x:c>
      <x:c r="E16" t="str">
        <x:v>Marine</x:v>
      </x:c>
      <x:c r="F16" t="str">
        <x:v>Marine mobilisation and readiness</x:v>
      </x:c>
      <x:c r="G16" t="str">
        <x:v>ICW-ICG-LD-14</x:v>
      </x:c>
      <x:c r="H16" t="str">
        <x:v>FS</x:v>
      </x:c>
      <x:c r="I16" t="n">
        <x:v>130</x:v>
      </x:c>
      <x:c r="J16" t="n">
        <x:v>170</x:v>
      </x:c>
      <x:c r="K16" t="n">
        <x:v>41</x:v>
      </x:c>
      <x:c r="L16" t="str">
        <x:v>Marine Manager</x:v>
      </x:c>
      <x:c r="M16" t="str">
        <x:v>days</x:v>
      </x:c>
      <x:c r="N16"/>
      <x:c r="O16"/>
      <x:c r="P16"/>
      <x:c r="Q16" s="10" t="n">
        <x:v>0</x:v>
      </x:c>
      <x:c r="R16" t="str">
        <x:v>Not started</x:v>
      </x:c>
      <x:c r="S16" t="str">
        <x:v>Provisional</x:v>
      </x:c>
      <x:c r="T16" t="str">
        <x:v>Verify measured scope, resources and predecessor logic</x:v>
      </x:c>
    </x:row>
    <x:row r="17">
      <x:c r="A17" t="str">
        <x:v>ICW-ICG-LD-16</x:v>
      </x:c>
      <x:c r="B17" t="str">
        <x:v>ICW-ICG-LD</x:v>
      </x:c>
      <x:c r="C17" t="str">
        <x:v>Installation</x:v>
      </x:c>
      <x:c r="D17" t="str">
        <x:v>C</x:v>
      </x:c>
      <x:c r="E17" t="str">
        <x:v>Offshore</x:v>
      </x:c>
      <x:c r="F17" t="str">
        <x:v>Access and permit readiness</x:v>
      </x:c>
      <x:c r="G17" t="str"/>
      <x:c r="H17" t="str">
        <x:v>FS</x:v>
      </x:c>
      <x:c r="I17" t="n">
        <x:v>75</x:v>
      </x:c>
      <x:c r="J17" t="n">
        <x:v>155</x:v>
      </x:c>
      <x:c r="K17" t="n">
        <x:v>81</x:v>
      </x:c>
      <x:c r="L17" t="str">
        <x:v>Offshore Manager</x:v>
      </x:c>
      <x:c r="M17" t="str">
        <x:v>fronts</x:v>
      </x:c>
      <x:c r="N17"/>
      <x:c r="O17"/>
      <x:c r="P17"/>
      <x:c r="Q17" s="10" t="n">
        <x:v>0</x:v>
      </x:c>
      <x:c r="R17" t="str">
        <x:v>Not started</x:v>
      </x:c>
      <x:c r="S17" t="str">
        <x:v>Provisional</x:v>
      </x:c>
      <x:c r="T17" t="str">
        <x:v>Verify measured scope, resources and predecessor logic</x:v>
      </x:c>
    </x:row>
    <x:row r="18">
      <x:c r="A18" t="str">
        <x:v>ICW-ICG-LD-18</x:v>
      </x:c>
      <x:c r="B18" t="str">
        <x:v>ICW-ICG-LD</x:v>
      </x:c>
      <x:c r="C18" t="str">
        <x:v>Installation</x:v>
      </x:c>
      <x:c r="D18" t="str">
        <x:v>C</x:v>
      </x:c>
      <x:c r="E18" t="str">
        <x:v>Offshore</x:v>
      </x:c>
      <x:c r="F18" t="str">
        <x:v>Structural fit-up or landing</x:v>
      </x:c>
      <x:c r="G18" t="str">
        <x:v>ICW-ICG-LD-16</x:v>
      </x:c>
      <x:c r="H18" t="str">
        <x:v>FS</x:v>
      </x:c>
      <x:c r="I18" t="n">
        <x:v>125</x:v>
      </x:c>
      <x:c r="J18" t="n">
        <x:v>215</x:v>
      </x:c>
      <x:c r="K18" t="n">
        <x:v>91</x:v>
      </x:c>
      <x:c r="L18" t="str">
        <x:v>Offshore Manager</x:v>
      </x:c>
      <x:c r="M18" t="str">
        <x:v>assemblies</x:v>
      </x:c>
      <x:c r="N18"/>
      <x:c r="O18"/>
      <x:c r="P18"/>
      <x:c r="Q18" s="10" t="n">
        <x:v>0</x:v>
      </x:c>
      <x:c r="R18" t="str">
        <x:v>Not started</x:v>
      </x:c>
      <x:c r="S18" t="str">
        <x:v>Provisional</x:v>
      </x:c>
      <x:c r="T18" t="str">
        <x:v>Verify measured scope, resources and predecessor logic</x:v>
      </x:c>
    </x:row>
    <x:row r="19">
      <x:c r="A19" t="str">
        <x:v>ICW-ICG-LD-19</x:v>
      </x:c>
      <x:c r="B19" t="str">
        <x:v>ICW-ICG-LD</x:v>
      </x:c>
      <x:c r="C19" t="str">
        <x:v>Installation</x:v>
      </x:c>
      <x:c r="D19" t="str">
        <x:v>C</x:v>
      </x:c>
      <x:c r="E19" t="str">
        <x:v>Offshore</x:v>
      </x:c>
      <x:c r="F19" t="str">
        <x:v>Connection welding and bolting</x:v>
      </x:c>
      <x:c r="G19" t="str">
        <x:v>ICW-ICG-LD-18</x:v>
      </x:c>
      <x:c r="H19" t="str">
        <x:v>FS</x:v>
      </x:c>
      <x:c r="I19" t="n">
        <x:v>140</x:v>
      </x:c>
      <x:c r="J19" t="n">
        <x:v>230</x:v>
      </x:c>
      <x:c r="K19" t="n">
        <x:v>91</x:v>
      </x:c>
      <x:c r="L19" t="str">
        <x:v>Offshore Manager</x:v>
      </x:c>
      <x:c r="M19" t="str">
        <x:v>joints</x:v>
      </x:c>
      <x:c r="N19"/>
      <x:c r="O19"/>
      <x:c r="P19"/>
      <x:c r="Q19" s="10" t="n">
        <x:v>0</x:v>
      </x:c>
      <x:c r="R19" t="str">
        <x:v>Not started</x:v>
      </x:c>
      <x:c r="S19" t="str">
        <x:v>Provisional</x:v>
      </x:c>
      <x:c r="T19" t="str">
        <x:v>Verify measured scope, resources and predecessor logic</x:v>
      </x:c>
    </x:row>
    <x:row r="20">
      <x:c r="A20" t="str">
        <x:v>ICW-ICG-LD-20</x:v>
      </x:c>
      <x:c r="B20" t="str">
        <x:v>ICW-ICG-LD</x:v>
      </x:c>
      <x:c r="C20" t="str">
        <x:v>Installation</x:v>
      </x:c>
      <x:c r="D20" t="str">
        <x:v>C</x:v>
      </x:c>
      <x:c r="E20" t="str">
        <x:v>Offshore</x:v>
      </x:c>
      <x:c r="F20" t="str">
        <x:v>Inspection and coating restoration</x:v>
      </x:c>
      <x:c r="G20" t="str">
        <x:v>ICW-ICG-LD-19</x:v>
      </x:c>
      <x:c r="H20" t="str">
        <x:v>FS</x:v>
      </x:c>
      <x:c r="I20" t="n">
        <x:v>160</x:v>
      </x:c>
      <x:c r="J20" t="n">
        <x:v>250</x:v>
      </x:c>
      <x:c r="K20" t="n">
        <x:v>91</x:v>
      </x:c>
      <x:c r="L20" t="str">
        <x:v>QAQC Manager</x:v>
      </x:c>
      <x:c r="M20" t="str">
        <x:v>joints</x:v>
      </x:c>
      <x:c r="N20"/>
      <x:c r="O20"/>
      <x:c r="P20"/>
      <x:c r="Q20" s="10" t="n">
        <x:v>0</x:v>
      </x:c>
      <x:c r="R20" t="str">
        <x:v>Not started</x:v>
      </x:c>
      <x:c r="S20" t="str">
        <x:v>Provisional</x:v>
      </x:c>
      <x:c r="T20" t="str">
        <x:v>Verify measured scope, resources and predecessor logic</x:v>
      </x:c>
    </x:row>
    <x:row r="21">
      <x:c r="A21" t="str">
        <x:v>ICW-ICG-LD-21</x:v>
      </x:c>
      <x:c r="B21" t="str">
        <x:v>ICW-ICG-LD</x:v>
      </x:c>
      <x:c r="C21" t="str">
        <x:v>Installation</x:v>
      </x:c>
      <x:c r="D21" t="str">
        <x:v>C</x:v>
      </x:c>
      <x:c r="E21" t="str">
        <x:v>Closeout</x:v>
      </x:c>
      <x:c r="F21" t="str">
        <x:v>Punch closure and dossier</x:v>
      </x:c>
      <x:c r="G21" t="str"/>
      <x:c r="H21" t="str">
        <x:v>FS</x:v>
      </x:c>
      <x:c r="I21" t="n">
        <x:v>235</x:v>
      </x:c>
      <x:c r="J21" t="n">
        <x:v>320</x:v>
      </x:c>
      <x:c r="K21" t="n">
        <x:v>86</x:v>
      </x:c>
      <x:c r="L21" t="str">
        <x:v>Completion Manager</x:v>
      </x:c>
      <x:c r="M21" t="str">
        <x:v>packs</x:v>
      </x:c>
      <x:c r="N21"/>
      <x:c r="O21"/>
      <x:c r="P21"/>
      <x:c r="Q21" s="10" t="n">
        <x:v>0</x:v>
      </x:c>
      <x:c r="R21" t="str">
        <x:v>Not started</x:v>
      </x:c>
      <x:c r="S21" t="str">
        <x:v>Provisional</x:v>
      </x:c>
      <x:c r="T21" t="str">
        <x:v>Verify measured scope, resources and predecessor logic</x:v>
      </x:c>
    </x:row>
    <x:row r="22">
      <x:c r="A22" t="str">
        <x:v>ICW-ICG-LD-22</x:v>
      </x:c>
      <x:c r="B22" t="str">
        <x:v>ICW-ICG-LD</x:v>
      </x:c>
      <x:c r="C22" t="str">
        <x:v>Installation</x:v>
      </x:c>
      <x:c r="D22" t="str">
        <x:v>C</x:v>
      </x:c>
      <x:c r="E22" t="str">
        <x:v>Closeout</x:v>
      </x:c>
      <x:c r="F22" t="str">
        <x:v>Client acceptance and final handover</x:v>
      </x:c>
      <x:c r="G22" t="str">
        <x:v>ICW-ICG-LD-21</x:v>
      </x:c>
      <x:c r="H22" t="str">
        <x:v>FS</x:v>
      </x:c>
      <x:c r="I22" t="n">
        <x:v>300</x:v>
      </x:c>
      <x:c r="J22" t="n">
        <x:v>350</x:v>
      </x:c>
      <x:c r="K22" t="n">
        <x:v>51</x:v>
      </x:c>
      <x:c r="L22" t="str">
        <x:v>Project Director</x:v>
      </x:c>
      <x:c r="M22" t="str">
        <x:v>milestones</x:v>
      </x:c>
      <x:c r="N22"/>
      <x:c r="O22"/>
      <x:c r="P22"/>
      <x:c r="Q22" s="10" t="n">
        <x:v>0</x:v>
      </x:c>
      <x:c r="R22" t="str">
        <x:v>Not started</x:v>
      </x:c>
      <x:c r="S22" t="str">
        <x:v>Provisional</x:v>
      </x:c>
      <x:c r="T22" t="str">
        <x:v>Verify measured scope, resources and predecessor logic</x:v>
      </x:c>
    </x:row>
    <x:row r="23">
      <x:c r="A23" t="str">
        <x:v>ICG-ICP-LD-01</x:v>
      </x:c>
      <x:c r="B23" t="str">
        <x:v>ICG-ICP-LD</x:v>
      </x:c>
      <x:c r="C23" t="str">
        <x:v>Installation</x:v>
      </x:c>
      <x:c r="D23" t="str">
        <x:v>C</x:v>
      </x:c>
      <x:c r="E23" t="str">
        <x:v>Engineering</x:v>
      </x:c>
      <x:c r="F23" t="str">
        <x:v>Existing-condition survey</x:v>
      </x:c>
      <x:c r="G23" t="str"/>
      <x:c r="H23" t="str">
        <x:v>FS</x:v>
      </x:c>
      <x:c r="I23" t="n">
        <x:v>29</x:v>
      </x:c>
      <x:c r="J23" t="n">
        <x:v>56</x:v>
      </x:c>
      <x:c r="K23" t="n">
        <x:v>28</x:v>
      </x:c>
      <x:c r="L23" t="str">
        <x:v>Engineering Manager</x:v>
      </x:c>
      <x:c r="M23" t="str">
        <x:v>survey</x:v>
      </x:c>
      <x:c r="N23"/>
      <x:c r="O23"/>
      <x:c r="P23"/>
      <x:c r="Q23" s="10" t="n">
        <x:v>0</x:v>
      </x:c>
      <x:c r="R23" t="str">
        <x:v>Not started</x:v>
      </x:c>
      <x:c r="S23" t="str">
        <x:v>Provisional</x:v>
      </x:c>
      <x:c r="T23" t="str">
        <x:v>Verify measured scope, resources and predecessor logic</x:v>
      </x:c>
    </x:row>
    <x:row r="24">
      <x:c r="A24" t="str">
        <x:v>ICG-ICP-LD-02</x:v>
      </x:c>
      <x:c r="B24" t="str">
        <x:v>ICG-ICP-LD</x:v>
      </x:c>
      <x:c r="C24" t="str">
        <x:v>Installation</x:v>
      </x:c>
      <x:c r="D24" t="str">
        <x:v>C</x:v>
      </x:c>
      <x:c r="E24" t="str">
        <x:v>Engineering</x:v>
      </x:c>
      <x:c r="F24" t="str">
        <x:v>Design basis and interface verification</x:v>
      </x:c>
      <x:c r="G24" t="str">
        <x:v>ICG-ICP-LD-01</x:v>
      </x:c>
      <x:c r="H24" t="str">
        <x:v>FS</x:v>
      </x:c>
      <x:c r="I24" t="n">
        <x:v>43</x:v>
      </x:c>
      <x:c r="J24" t="n">
        <x:v>66</x:v>
      </x:c>
      <x:c r="K24" t="n">
        <x:v>24</x:v>
      </x:c>
      <x:c r="L24" t="str">
        <x:v>Engineering Manager</x:v>
      </x:c>
      <x:c r="M24" t="str">
        <x:v>design</x:v>
      </x:c>
      <x:c r="N24"/>
      <x:c r="O24"/>
      <x:c r="P24"/>
      <x:c r="Q24" s="10" t="n">
        <x:v>0</x:v>
      </x:c>
      <x:c r="R24" t="str">
        <x:v>Not started</x:v>
      </x:c>
      <x:c r="S24" t="str">
        <x:v>Provisional</x:v>
      </x:c>
      <x:c r="T24" t="str">
        <x:v>Verify measured scope, resources and predecessor logic</x:v>
      </x:c>
    </x:row>
    <x:row r="25">
      <x:c r="A25" t="str">
        <x:v>ICG-ICP-LD-03</x:v>
      </x:c>
      <x:c r="B25" t="str">
        <x:v>ICG-ICP-LD</x:v>
      </x:c>
      <x:c r="C25" t="str">
        <x:v>Installation</x:v>
      </x:c>
      <x:c r="D25" t="str">
        <x:v>C</x:v>
      </x:c>
      <x:c r="E25" t="str">
        <x:v>Engineering</x:v>
      </x:c>
      <x:c r="F25" t="str">
        <x:v>Detailed structural and temporary works engineering</x:v>
      </x:c>
      <x:c r="G25" t="str">
        <x:v>ICG-ICP-LD-02</x:v>
      </x:c>
      <x:c r="H25" t="str">
        <x:v>FS</x:v>
      </x:c>
      <x:c r="I25" t="n">
        <x:v>56</x:v>
      </x:c>
      <x:c r="J25" t="n">
        <x:v>120</x:v>
      </x:c>
      <x:c r="K25" t="n">
        <x:v>65</x:v>
      </x:c>
      <x:c r="L25" t="str">
        <x:v>Engineering Manager</x:v>
      </x:c>
      <x:c r="M25" t="str">
        <x:v>design</x:v>
      </x:c>
      <x:c r="N25"/>
      <x:c r="O25"/>
      <x:c r="P25"/>
      <x:c r="Q25" s="10" t="n">
        <x:v>0</x:v>
      </x:c>
      <x:c r="R25" t="str">
        <x:v>Not started</x:v>
      </x:c>
      <x:c r="S25" t="str">
        <x:v>Provisional</x:v>
      </x:c>
      <x:c r="T25" t="str">
        <x:v>Verify measured scope, resources and predecessor logic</x:v>
      </x:c>
    </x:row>
    <x:row r="26">
      <x:c r="A26" t="str">
        <x:v>ICG-ICP-LD-04</x:v>
      </x:c>
      <x:c r="B26" t="str">
        <x:v>ICG-ICP-LD</x:v>
      </x:c>
      <x:c r="C26" t="str">
        <x:v>Installation</x:v>
      </x:c>
      <x:c r="D26" t="str">
        <x:v>C</x:v>
      </x:c>
      <x:c r="E26" t="str">
        <x:v>Engineering</x:v>
      </x:c>
      <x:c r="F26" t="str">
        <x:v>Fabrication drawing release</x:v>
      </x:c>
      <x:c r="G26" t="str">
        <x:v>ICG-ICP-LD-03</x:v>
      </x:c>
      <x:c r="H26" t="str">
        <x:v>FS</x:v>
      </x:c>
      <x:c r="I26" t="n">
        <x:v>76</x:v>
      </x:c>
      <x:c r="J26" t="n">
        <x:v>133</x:v>
      </x:c>
      <x:c r="K26" t="n">
        <x:v>58</x:v>
      </x:c>
      <x:c r="L26" t="str">
        <x:v>Engineering Manager</x:v>
      </x:c>
      <x:c r="M26" t="str">
        <x:v>drawing</x:v>
      </x:c>
      <x:c r="N26"/>
      <x:c r="O26"/>
      <x:c r="P26"/>
      <x:c r="Q26" s="10" t="n">
        <x:v>0</x:v>
      </x:c>
      <x:c r="R26" t="str">
        <x:v>Not started</x:v>
      </x:c>
      <x:c r="S26" t="str">
        <x:v>Provisional</x:v>
      </x:c>
      <x:c r="T26" t="str">
        <x:v>Verify measured scope, resources and predecessor logic</x:v>
      </x:c>
    </x:row>
    <x:row r="27">
      <x:c r="A27" t="str">
        <x:v>ICG-ICP-LD-05</x:v>
      </x:c>
      <x:c r="B27" t="str">
        <x:v>ICG-ICP-LD</x:v>
      </x:c>
      <x:c r="C27" t="str">
        <x:v>Installation</x:v>
      </x:c>
      <x:c r="D27" t="str">
        <x:v>C</x:v>
      </x:c>
      <x:c r="E27" t="str">
        <x:v>Procurement</x:v>
      </x:c>
      <x:c r="F27" t="str">
        <x:v>Material requisitions and vendor approval</x:v>
      </x:c>
      <x:c r="G27" t="str"/>
      <x:c r="H27" t="str">
        <x:v>FS</x:v>
      </x:c>
      <x:c r="I27" t="n">
        <x:v>56</x:v>
      </x:c>
      <x:c r="J27" t="n">
        <x:v>83</x:v>
      </x:c>
      <x:c r="K27" t="n">
        <x:v>28</x:v>
      </x:c>
      <x:c r="L27" t="str">
        <x:v>Procurement Manager</x:v>
      </x:c>
      <x:c r="M27" t="str">
        <x:v>MR</x:v>
      </x:c>
      <x:c r="N27"/>
      <x:c r="O27"/>
      <x:c r="P27"/>
      <x:c r="Q27" s="10" t="n">
        <x:v>0</x:v>
      </x:c>
      <x:c r="R27" t="str">
        <x:v>Not started</x:v>
      </x:c>
      <x:c r="S27" t="str">
        <x:v>Provisional</x:v>
      </x:c>
      <x:c r="T27" t="str">
        <x:v>Verify measured scope, resources and predecessor logic</x:v>
      </x:c>
    </x:row>
    <x:row r="28">
      <x:c r="A28" t="str">
        <x:v>ICG-ICP-LD-06</x:v>
      </x:c>
      <x:c r="B28" t="str">
        <x:v>ICG-ICP-LD</x:v>
      </x:c>
      <x:c r="C28" t="str">
        <x:v>Installation</x:v>
      </x:c>
      <x:c r="D28" t="str">
        <x:v>C</x:v>
      </x:c>
      <x:c r="E28" t="str">
        <x:v>Procurement</x:v>
      </x:c>
      <x:c r="F28" t="str">
        <x:v>Steel purchasing and delivery</x:v>
      </x:c>
      <x:c r="G28" t="str">
        <x:v>ICG-ICP-LD-05</x:v>
      </x:c>
      <x:c r="H28" t="str">
        <x:v>FS</x:v>
      </x:c>
      <x:c r="I28" t="n">
        <x:v>76</x:v>
      </x:c>
      <x:c r="J28" t="n">
        <x:v>138</x:v>
      </x:c>
      <x:c r="K28" t="n">
        <x:v>63</x:v>
      </x:c>
      <x:c r="L28" t="str">
        <x:v>Procurement Manager</x:v>
      </x:c>
      <x:c r="M28" t="str">
        <x:v>MT</x:v>
      </x:c>
      <x:c r="N28"/>
      <x:c r="O28"/>
      <x:c r="P28"/>
      <x:c r="Q28" s="10" t="n">
        <x:v>0</x:v>
      </x:c>
      <x:c r="R28" t="str">
        <x:v>Not started</x:v>
      </x:c>
      <x:c r="S28" t="str">
        <x:v>Provisional</x:v>
      </x:c>
      <x:c r="T28" t="str">
        <x:v>Verify measured scope, resources and predecessor logic</x:v>
      </x:c>
    </x:row>
    <x:row r="29">
      <x:c r="A29" t="str">
        <x:v>ICG-ICP-LD-07</x:v>
      </x:c>
      <x:c r="B29" t="str">
        <x:v>ICG-ICP-LD</x:v>
      </x:c>
      <x:c r="C29" t="str">
        <x:v>Installation</x:v>
      </x:c>
      <x:c r="D29" t="str">
        <x:v>C</x:v>
      </x:c>
      <x:c r="E29" t="str">
        <x:v>Fabrication</x:v>
      </x:c>
      <x:c r="F29" t="str">
        <x:v>Cutting and material preparation</x:v>
      </x:c>
      <x:c r="G29" t="str"/>
      <x:c r="H29" t="str">
        <x:v>FS</x:v>
      </x:c>
      <x:c r="I29" t="n">
        <x:v>103</x:v>
      </x:c>
      <x:c r="J29" t="n">
        <x:v>133</x:v>
      </x:c>
      <x:c r="K29" t="n">
        <x:v>31</x:v>
      </x:c>
      <x:c r="L29" t="str">
        <x:v>Fabrication Manager</x:v>
      </x:c>
      <x:c r="M29" t="str">
        <x:v>pieces</x:v>
      </x:c>
      <x:c r="N29"/>
      <x:c r="O29"/>
      <x:c r="P29"/>
      <x:c r="Q29" s="10" t="n">
        <x:v>0</x:v>
      </x:c>
      <x:c r="R29" t="str">
        <x:v>Not started</x:v>
      </x:c>
      <x:c r="S29" t="str">
        <x:v>Provisional</x:v>
      </x:c>
      <x:c r="T29" t="str">
        <x:v>Verify measured scope, resources and predecessor logic</x:v>
      </x:c>
    </x:row>
    <x:row r="30">
      <x:c r="A30" t="str">
        <x:v>ICG-ICP-LD-08</x:v>
      </x:c>
      <x:c r="B30" t="str">
        <x:v>ICG-ICP-LD</x:v>
      </x:c>
      <x:c r="C30" t="str">
        <x:v>Installation</x:v>
      </x:c>
      <x:c r="D30" t="str">
        <x:v>C</x:v>
      </x:c>
      <x:c r="E30" t="str">
        <x:v>Fabrication</x:v>
      </x:c>
      <x:c r="F30" t="str">
        <x:v>Assembly and fit-up</x:v>
      </x:c>
      <x:c r="G30" t="str">
        <x:v>ICG-ICP-LD-07</x:v>
      </x:c>
      <x:c r="H30" t="str">
        <x:v>FS</x:v>
      </x:c>
      <x:c r="I30" t="n">
        <x:v>118</x:v>
      </x:c>
      <x:c r="J30" t="n">
        <x:v>163</x:v>
      </x:c>
      <x:c r="K30" t="n">
        <x:v>46</x:v>
      </x:c>
      <x:c r="L30" t="str">
        <x:v>Fabrication Manager</x:v>
      </x:c>
      <x:c r="M30" t="str">
        <x:v>assemblies</x:v>
      </x:c>
      <x:c r="N30"/>
      <x:c r="O30"/>
      <x:c r="P30"/>
      <x:c r="Q30" s="10" t="n">
        <x:v>0</x:v>
      </x:c>
      <x:c r="R30" t="str">
        <x:v>Not started</x:v>
      </x:c>
      <x:c r="S30" t="str">
        <x:v>Provisional</x:v>
      </x:c>
      <x:c r="T30" t="str">
        <x:v>Verify measured scope, resources and predecessor logic</x:v>
      </x:c>
    </x:row>
    <x:row r="31">
      <x:c r="A31" t="str">
        <x:v>ICG-ICP-LD-09</x:v>
      </x:c>
      <x:c r="B31" t="str">
        <x:v>ICG-ICP-LD</x:v>
      </x:c>
      <x:c r="C31" t="str">
        <x:v>Installation</x:v>
      </x:c>
      <x:c r="D31" t="str">
        <x:v>C</x:v>
      </x:c>
      <x:c r="E31" t="str">
        <x:v>Fabrication</x:v>
      </x:c>
      <x:c r="F31" t="str">
        <x:v>Shop welding</x:v>
      </x:c>
      <x:c r="G31" t="str">
        <x:v>ICG-ICP-LD-08</x:v>
      </x:c>
      <x:c r="H31" t="str">
        <x:v>FS</x:v>
      </x:c>
      <x:c r="I31" t="n">
        <x:v>131</x:v>
      </x:c>
      <x:c r="J31" t="n">
        <x:v>176</x:v>
      </x:c>
      <x:c r="K31" t="n">
        <x:v>46</x:v>
      </x:c>
      <x:c r="L31" t="str">
        <x:v>Fabrication Manager</x:v>
      </x:c>
      <x:c r="M31" t="str">
        <x:v>weld-m</x:v>
      </x:c>
      <x:c r="N31"/>
      <x:c r="O31"/>
      <x:c r="P31"/>
      <x:c r="Q31" s="10" t="n">
        <x:v>0</x:v>
      </x:c>
      <x:c r="R31" t="str">
        <x:v>Not started</x:v>
      </x:c>
      <x:c r="S31" t="str">
        <x:v>Provisional</x:v>
      </x:c>
      <x:c r="T31" t="str">
        <x:v>Verify measured scope, resources and predecessor logic</x:v>
      </x:c>
    </x:row>
    <x:row r="32">
      <x:c r="A32" t="str">
        <x:v>ICG-ICP-LD-10</x:v>
      </x:c>
      <x:c r="B32" t="str">
        <x:v>ICG-ICP-LD</x:v>
      </x:c>
      <x:c r="C32" t="str">
        <x:v>Installation</x:v>
      </x:c>
      <x:c r="D32" t="str">
        <x:v>C</x:v>
      </x:c>
      <x:c r="E32" t="str">
        <x:v>Quality</x:v>
      </x:c>
      <x:c r="F32" t="str">
        <x:v>NDT and dimensional acceptance</x:v>
      </x:c>
      <x:c r="G32" t="str"/>
      <x:c r="H32" t="str">
        <x:v>FS</x:v>
      </x:c>
      <x:c r="I32" t="n">
        <x:v>148</x:v>
      </x:c>
      <x:c r="J32" t="n">
        <x:v>185</x:v>
      </x:c>
      <x:c r="K32" t="n">
        <x:v>38</x:v>
      </x:c>
      <x:c r="L32" t="str">
        <x:v>QAQC Manager</x:v>
      </x:c>
      <x:c r="M32" t="str">
        <x:v>joints</x:v>
      </x:c>
      <x:c r="N32"/>
      <x:c r="O32"/>
      <x:c r="P32"/>
      <x:c r="Q32" s="10" t="n">
        <x:v>0</x:v>
      </x:c>
      <x:c r="R32" t="str">
        <x:v>Not started</x:v>
      </x:c>
      <x:c r="S32" t="str">
        <x:v>Provisional</x:v>
      </x:c>
      <x:c r="T32" t="str">
        <x:v>Verify measured scope, resources and predecessor logic</x:v>
      </x:c>
    </x:row>
    <x:row r="33">
      <x:c r="A33" t="str">
        <x:v>ICG-ICP-LD-11</x:v>
      </x:c>
      <x:c r="B33" t="str">
        <x:v>ICG-ICP-LD</x:v>
      </x:c>
      <x:c r="C33" t="str">
        <x:v>Installation</x:v>
      </x:c>
      <x:c r="D33" t="str">
        <x:v>C</x:v>
      </x:c>
      <x:c r="E33" t="str">
        <x:v>Quality</x:v>
      </x:c>
      <x:c r="F33" t="str">
        <x:v>Blast, coat and preserve</x:v>
      </x:c>
      <x:c r="G33" t="str">
        <x:v>ICG-ICP-LD-10</x:v>
      </x:c>
      <x:c r="H33" t="str">
        <x:v>FS</x:v>
      </x:c>
      <x:c r="I33" t="n">
        <x:v>163</x:v>
      </x:c>
      <x:c r="J33" t="n">
        <x:v>193</x:v>
      </x:c>
      <x:c r="K33" t="n">
        <x:v>31</x:v>
      </x:c>
      <x:c r="L33" t="str">
        <x:v>QAQC Manager</x:v>
      </x:c>
      <x:c r="M33" t="str">
        <x:v>m2</x:v>
      </x:c>
      <x:c r="N33"/>
      <x:c r="O33"/>
      <x:c r="P33"/>
      <x:c r="Q33" s="10" t="n">
        <x:v>0</x:v>
      </x:c>
      <x:c r="R33" t="str">
        <x:v>Not started</x:v>
      </x:c>
      <x:c r="S33" t="str">
        <x:v>Provisional</x:v>
      </x:c>
      <x:c r="T33" t="str">
        <x:v>Verify measured scope, resources and predecessor logic</x:v>
      </x:c>
    </x:row>
    <x:row r="34">
      <x:c r="A34" t="str">
        <x:v>ICG-ICP-LD-12</x:v>
      </x:c>
      <x:c r="B34" t="str">
        <x:v>ICG-ICP-LD</x:v>
      </x:c>
      <x:c r="C34" t="str">
        <x:v>Installation</x:v>
      </x:c>
      <x:c r="D34" t="str">
        <x:v>C</x:v>
      </x:c>
      <x:c r="E34" t="str">
        <x:v>Logistics</x:v>
      </x:c>
      <x:c r="F34" t="str">
        <x:v>Module weight COG and loadout engineering</x:v>
      </x:c>
      <x:c r="G34" t="str"/>
      <x:c r="H34" t="str">
        <x:v>FS</x:v>
      </x:c>
      <x:c r="I34" t="n">
        <x:v>118</x:v>
      </x:c>
      <x:c r="J34" t="n">
        <x:v>190</x:v>
      </x:c>
      <x:c r="K34" t="n">
        <x:v>73</x:v>
      </x:c>
      <x:c r="L34" t="str">
        <x:v>Marine Manager</x:v>
      </x:c>
      <x:c r="M34" t="str">
        <x:v>modules</x:v>
      </x:c>
      <x:c r="N34"/>
      <x:c r="O34"/>
      <x:c r="P34"/>
      <x:c r="Q34" s="10" t="n">
        <x:v>0</x:v>
      </x:c>
      <x:c r="R34" t="str">
        <x:v>Not started</x:v>
      </x:c>
      <x:c r="S34" t="str">
        <x:v>Provisional</x:v>
      </x:c>
      <x:c r="T34" t="str">
        <x:v>Verify measured scope, resources and predecessor logic</x:v>
      </x:c>
    </x:row>
    <x:row r="35">
      <x:c r="A35" t="str">
        <x:v>ICG-ICP-LD-13</x:v>
      </x:c>
      <x:c r="B35" t="str">
        <x:v>ICG-ICP-LD</x:v>
      </x:c>
      <x:c r="C35" t="str">
        <x:v>Installation</x:v>
      </x:c>
      <x:c r="D35" t="str">
        <x:v>C</x:v>
      </x:c>
      <x:c r="E35" t="str">
        <x:v>Logistics</x:v>
      </x:c>
      <x:c r="F35" t="str">
        <x:v>Cargo manifest and shore base transfer</x:v>
      </x:c>
      <x:c r="G35" t="str">
        <x:v>ICG-ICP-LD-12</x:v>
      </x:c>
      <x:c r="H35" t="str">
        <x:v>FS</x:v>
      </x:c>
      <x:c r="I35" t="n">
        <x:v>163</x:v>
      </x:c>
      <x:c r="J35" t="n">
        <x:v>203</x:v>
      </x:c>
      <x:c r="K35" t="n">
        <x:v>41</x:v>
      </x:c>
      <x:c r="L35" t="str">
        <x:v>Logistics Manager</x:v>
      </x:c>
      <x:c r="M35" t="str">
        <x:v>shipments</x:v>
      </x:c>
      <x:c r="N35"/>
      <x:c r="O35"/>
      <x:c r="P35"/>
      <x:c r="Q35" s="10" t="n">
        <x:v>0</x:v>
      </x:c>
      <x:c r="R35" t="str">
        <x:v>Not started</x:v>
      </x:c>
      <x:c r="S35" t="str">
        <x:v>Provisional</x:v>
      </x:c>
      <x:c r="T35" t="str">
        <x:v>Verify measured scope, resources and predecessor logic</x:v>
      </x:c>
    </x:row>
    <x:row r="36">
      <x:c r="A36" t="str">
        <x:v>ICG-ICP-LD-14</x:v>
      </x:c>
      <x:c r="B36" t="str">
        <x:v>ICG-ICP-LD</x:v>
      </x:c>
      <x:c r="C36" t="str">
        <x:v>Installation</x:v>
      </x:c>
      <x:c r="D36" t="str">
        <x:v>C</x:v>
      </x:c>
      <x:c r="E36" t="str">
        <x:v>Marine</x:v>
      </x:c>
      <x:c r="F36" t="str">
        <x:v>Vessel technical selection and assurance</x:v>
      </x:c>
      <x:c r="G36" t="str"/>
      <x:c r="H36" t="str">
        <x:v>FS</x:v>
      </x:c>
      <x:c r="I36" t="n">
        <x:v>73</x:v>
      </x:c>
      <x:c r="J36" t="n">
        <x:v>163</x:v>
      </x:c>
      <x:c r="K36" t="n">
        <x:v>91</x:v>
      </x:c>
      <x:c r="L36" t="str">
        <x:v>Marine Manager</x:v>
      </x:c>
      <x:c r="M36" t="str">
        <x:v>vessel</x:v>
      </x:c>
      <x:c r="N36"/>
      <x:c r="O36"/>
      <x:c r="P36"/>
      <x:c r="Q36" s="10" t="n">
        <x:v>0</x:v>
      </x:c>
      <x:c r="R36" t="str">
        <x:v>Not started</x:v>
      </x:c>
      <x:c r="S36" t="str">
        <x:v>Provisional</x:v>
      </x:c>
      <x:c r="T36" t="str">
        <x:v>Verify measured scope, resources and predecessor logic</x:v>
      </x:c>
    </x:row>
    <x:row r="37">
      <x:c r="A37" t="str">
        <x:v>ICG-ICP-LD-15</x:v>
      </x:c>
      <x:c r="B37" t="str">
        <x:v>ICG-ICP-LD</x:v>
      </x:c>
      <x:c r="C37" t="str">
        <x:v>Installation</x:v>
      </x:c>
      <x:c r="D37" t="str">
        <x:v>C</x:v>
      </x:c>
      <x:c r="E37" t="str">
        <x:v>Marine</x:v>
      </x:c>
      <x:c r="F37" t="str">
        <x:v>Marine mobilisation and readiness</x:v>
      </x:c>
      <x:c r="G37" t="str">
        <x:v>ICG-ICP-LD-14</x:v>
      </x:c>
      <x:c r="H37" t="str">
        <x:v>FS</x:v>
      </x:c>
      <x:c r="I37" t="n">
        <x:v>158</x:v>
      </x:c>
      <x:c r="J37" t="n">
        <x:v>198</x:v>
      </x:c>
      <x:c r="K37" t="n">
        <x:v>41</x:v>
      </x:c>
      <x:c r="L37" t="str">
        <x:v>Marine Manager</x:v>
      </x:c>
      <x:c r="M37" t="str">
        <x:v>days</x:v>
      </x:c>
      <x:c r="N37"/>
      <x:c r="O37"/>
      <x:c r="P37"/>
      <x:c r="Q37" s="10" t="n">
        <x:v>0</x:v>
      </x:c>
      <x:c r="R37" t="str">
        <x:v>Not started</x:v>
      </x:c>
      <x:c r="S37" t="str">
        <x:v>Provisional</x:v>
      </x:c>
      <x:c r="T37" t="str">
        <x:v>Verify measured scope, resources and predecessor logic</x:v>
      </x:c>
    </x:row>
    <x:row r="38">
      <x:c r="A38" t="str">
        <x:v>ICG-ICP-LD-16</x:v>
      </x:c>
      <x:c r="B38" t="str">
        <x:v>ICG-ICP-LD</x:v>
      </x:c>
      <x:c r="C38" t="str">
        <x:v>Installation</x:v>
      </x:c>
      <x:c r="D38" t="str">
        <x:v>C</x:v>
      </x:c>
      <x:c r="E38" t="str">
        <x:v>Offshore</x:v>
      </x:c>
      <x:c r="F38" t="str">
        <x:v>Access and permit readiness</x:v>
      </x:c>
      <x:c r="G38" t="str"/>
      <x:c r="H38" t="str">
        <x:v>FS</x:v>
      </x:c>
      <x:c r="I38" t="n">
        <x:v>103</x:v>
      </x:c>
      <x:c r="J38" t="n">
        <x:v>183</x:v>
      </x:c>
      <x:c r="K38" t="n">
        <x:v>81</x:v>
      </x:c>
      <x:c r="L38" t="str">
        <x:v>Offshore Manager</x:v>
      </x:c>
      <x:c r="M38" t="str">
        <x:v>fronts</x:v>
      </x:c>
      <x:c r="N38"/>
      <x:c r="O38"/>
      <x:c r="P38"/>
      <x:c r="Q38" s="10" t="n">
        <x:v>0</x:v>
      </x:c>
      <x:c r="R38" t="str">
        <x:v>Not started</x:v>
      </x:c>
      <x:c r="S38" t="str">
        <x:v>Provisional</x:v>
      </x:c>
      <x:c r="T38" t="str">
        <x:v>Verify measured scope, resources and predecessor logic</x:v>
      </x:c>
    </x:row>
    <x:row r="39">
      <x:c r="A39" t="str">
        <x:v>ICG-ICP-LD-18</x:v>
      </x:c>
      <x:c r="B39" t="str">
        <x:v>ICG-ICP-LD</x:v>
      </x:c>
      <x:c r="C39" t="str">
        <x:v>Installation</x:v>
      </x:c>
      <x:c r="D39" t="str">
        <x:v>C</x:v>
      </x:c>
      <x:c r="E39" t="str">
        <x:v>Offshore</x:v>
      </x:c>
      <x:c r="F39" t="str">
        <x:v>Structural fit-up or landing</x:v>
      </x:c>
      <x:c r="G39" t="str">
        <x:v>ICG-ICP-LD-16</x:v>
      </x:c>
      <x:c r="H39" t="str">
        <x:v>FS</x:v>
      </x:c>
      <x:c r="I39" t="n">
        <x:v>153</x:v>
      </x:c>
      <x:c r="J39" t="n">
        <x:v>243</x:v>
      </x:c>
      <x:c r="K39" t="n">
        <x:v>91</x:v>
      </x:c>
      <x:c r="L39" t="str">
        <x:v>Offshore Manager</x:v>
      </x:c>
      <x:c r="M39" t="str">
        <x:v>assemblies</x:v>
      </x:c>
      <x:c r="N39"/>
      <x:c r="O39"/>
      <x:c r="P39"/>
      <x:c r="Q39" s="10" t="n">
        <x:v>0</x:v>
      </x:c>
      <x:c r="R39" t="str">
        <x:v>Not started</x:v>
      </x:c>
      <x:c r="S39" t="str">
        <x:v>Provisional</x:v>
      </x:c>
      <x:c r="T39" t="str">
        <x:v>Verify measured scope, resources and predecessor logic</x:v>
      </x:c>
    </x:row>
    <x:row r="40">
      <x:c r="A40" t="str">
        <x:v>ICG-ICP-LD-19</x:v>
      </x:c>
      <x:c r="B40" t="str">
        <x:v>ICG-ICP-LD</x:v>
      </x:c>
      <x:c r="C40" t="str">
        <x:v>Installation</x:v>
      </x:c>
      <x:c r="D40" t="str">
        <x:v>C</x:v>
      </x:c>
      <x:c r="E40" t="str">
        <x:v>Offshore</x:v>
      </x:c>
      <x:c r="F40" t="str">
        <x:v>Connection welding and bolting</x:v>
      </x:c>
      <x:c r="G40" t="str">
        <x:v>ICG-ICP-LD-18</x:v>
      </x:c>
      <x:c r="H40" t="str">
        <x:v>FS</x:v>
      </x:c>
      <x:c r="I40" t="n">
        <x:v>168</x:v>
      </x:c>
      <x:c r="J40" t="n">
        <x:v>258</x:v>
      </x:c>
      <x:c r="K40" t="n">
        <x:v>91</x:v>
      </x:c>
      <x:c r="L40" t="str">
        <x:v>Offshore Manager</x:v>
      </x:c>
      <x:c r="M40" t="str">
        <x:v>joints</x:v>
      </x:c>
      <x:c r="N40"/>
      <x:c r="O40"/>
      <x:c r="P40"/>
      <x:c r="Q40" s="10" t="n">
        <x:v>0</x:v>
      </x:c>
      <x:c r="R40" t="str">
        <x:v>Not started</x:v>
      </x:c>
      <x:c r="S40" t="str">
        <x:v>Provisional</x:v>
      </x:c>
      <x:c r="T40" t="str">
        <x:v>Verify measured scope, resources and predecessor logic</x:v>
      </x:c>
    </x:row>
    <x:row r="41">
      <x:c r="A41" t="str">
        <x:v>ICG-ICP-LD-20</x:v>
      </x:c>
      <x:c r="B41" t="str">
        <x:v>ICG-ICP-LD</x:v>
      </x:c>
      <x:c r="C41" t="str">
        <x:v>Installation</x:v>
      </x:c>
      <x:c r="D41" t="str">
        <x:v>C</x:v>
      </x:c>
      <x:c r="E41" t="str">
        <x:v>Offshore</x:v>
      </x:c>
      <x:c r="F41" t="str">
        <x:v>Inspection and coating restoration</x:v>
      </x:c>
      <x:c r="G41" t="str">
        <x:v>ICG-ICP-LD-19</x:v>
      </x:c>
      <x:c r="H41" t="str">
        <x:v>FS</x:v>
      </x:c>
      <x:c r="I41" t="n">
        <x:v>188</x:v>
      </x:c>
      <x:c r="J41" t="n">
        <x:v>278</x:v>
      </x:c>
      <x:c r="K41" t="n">
        <x:v>91</x:v>
      </x:c>
      <x:c r="L41" t="str">
        <x:v>QAQC Manager</x:v>
      </x:c>
      <x:c r="M41" t="str">
        <x:v>joints</x:v>
      </x:c>
      <x:c r="N41"/>
      <x:c r="O41"/>
      <x:c r="P41"/>
      <x:c r="Q41" s="10" t="n">
        <x:v>0</x:v>
      </x:c>
      <x:c r="R41" t="str">
        <x:v>Not started</x:v>
      </x:c>
      <x:c r="S41" t="str">
        <x:v>Provisional</x:v>
      </x:c>
      <x:c r="T41" t="str">
        <x:v>Verify measured scope, resources and predecessor logic</x:v>
      </x:c>
    </x:row>
    <x:row r="42">
      <x:c r="A42" t="str">
        <x:v>ICG-ICP-LD-21</x:v>
      </x:c>
      <x:c r="B42" t="str">
        <x:v>ICG-ICP-LD</x:v>
      </x:c>
      <x:c r="C42" t="str">
        <x:v>Installation</x:v>
      </x:c>
      <x:c r="D42" t="str">
        <x:v>C</x:v>
      </x:c>
      <x:c r="E42" t="str">
        <x:v>Closeout</x:v>
      </x:c>
      <x:c r="F42" t="str">
        <x:v>Punch closure and dossier</x:v>
      </x:c>
      <x:c r="G42" t="str"/>
      <x:c r="H42" t="str">
        <x:v>FS</x:v>
      </x:c>
      <x:c r="I42" t="n">
        <x:v>263</x:v>
      </x:c>
      <x:c r="J42" t="n">
        <x:v>348</x:v>
      </x:c>
      <x:c r="K42" t="n">
        <x:v>86</x:v>
      </x:c>
      <x:c r="L42" t="str">
        <x:v>Completion Manager</x:v>
      </x:c>
      <x:c r="M42" t="str">
        <x:v>packs</x:v>
      </x:c>
      <x:c r="N42"/>
      <x:c r="O42"/>
      <x:c r="P42"/>
      <x:c r="Q42" s="10" t="n">
        <x:v>0</x:v>
      </x:c>
      <x:c r="R42" t="str">
        <x:v>Not started</x:v>
      </x:c>
      <x:c r="S42" t="str">
        <x:v>Provisional</x:v>
      </x:c>
      <x:c r="T42" t="str">
        <x:v>Verify measured scope, resources and predecessor logic</x:v>
      </x:c>
    </x:row>
    <x:row r="43">
      <x:c r="A43" t="str">
        <x:v>ICG-ICP-LD-22</x:v>
      </x:c>
      <x:c r="B43" t="str">
        <x:v>ICG-ICP-LD</x:v>
      </x:c>
      <x:c r="C43" t="str">
        <x:v>Installation</x:v>
      </x:c>
      <x:c r="D43" t="str">
        <x:v>C</x:v>
      </x:c>
      <x:c r="E43" t="str">
        <x:v>Closeout</x:v>
      </x:c>
      <x:c r="F43" t="str">
        <x:v>Client acceptance and final handover</x:v>
      </x:c>
      <x:c r="G43" t="str">
        <x:v>ICG-ICP-LD-21</x:v>
      </x:c>
      <x:c r="H43" t="str">
        <x:v>FS</x:v>
      </x:c>
      <x:c r="I43" t="n">
        <x:v>328</x:v>
      </x:c>
      <x:c r="J43" t="n">
        <x:v>355</x:v>
      </x:c>
      <x:c r="K43" t="n">
        <x:v>28</x:v>
      </x:c>
      <x:c r="L43" t="str">
        <x:v>Project Director</x:v>
      </x:c>
      <x:c r="M43" t="str">
        <x:v>milestones</x:v>
      </x:c>
      <x:c r="N43"/>
      <x:c r="O43"/>
      <x:c r="P43"/>
      <x:c r="Q43" s="10" t="n">
        <x:v>0</x:v>
      </x:c>
      <x:c r="R43" t="str">
        <x:v>Not started</x:v>
      </x:c>
      <x:c r="S43" t="str">
        <x:v>Provisional</x:v>
      </x:c>
      <x:c r="T43" t="str">
        <x:v>Verify measured scope, resources and predecessor logic</x:v>
      </x:c>
    </x:row>
    <x:row r="44">
      <x:c r="A44" t="str">
        <x:v>BHS-SLQ-01</x:v>
      </x:c>
      <x:c r="B44" t="str">
        <x:v>BHS-SLQ</x:v>
      </x:c>
      <x:c r="C44" t="str">
        <x:v>Replacement</x:v>
      </x:c>
      <x:c r="D44" t="str">
        <x:v>C</x:v>
      </x:c>
      <x:c r="E44" t="str">
        <x:v>Engineering</x:v>
      </x:c>
      <x:c r="F44" t="str">
        <x:v>Existing-condition survey</x:v>
      </x:c>
      <x:c r="G44" t="str"/>
      <x:c r="H44" t="str">
        <x:v>FS</x:v>
      </x:c>
      <x:c r="I44" t="n">
        <x:v>61</x:v>
      </x:c>
      <x:c r="J44" t="n">
        <x:v>88</x:v>
      </x:c>
      <x:c r="K44" t="n">
        <x:v>28</x:v>
      </x:c>
      <x:c r="L44" t="str">
        <x:v>Engineering Manager</x:v>
      </x:c>
      <x:c r="M44" t="str">
        <x:v>survey</x:v>
      </x:c>
      <x:c r="N44"/>
      <x:c r="O44"/>
      <x:c r="P44"/>
      <x:c r="Q44" s="10" t="n">
        <x:v>0</x:v>
      </x:c>
      <x:c r="R44" t="str">
        <x:v>Not started</x:v>
      </x:c>
      <x:c r="S44" t="str">
        <x:v>Provisional</x:v>
      </x:c>
      <x:c r="T44" t="str">
        <x:v>Verify measured scope, resources and predecessor logic</x:v>
      </x:c>
    </x:row>
    <x:row r="45">
      <x:c r="A45" t="str">
        <x:v>BHS-SLQ-02</x:v>
      </x:c>
      <x:c r="B45" t="str">
        <x:v>BHS-SLQ</x:v>
      </x:c>
      <x:c r="C45" t="str">
        <x:v>Replacement</x:v>
      </x:c>
      <x:c r="D45" t="str">
        <x:v>C</x:v>
      </x:c>
      <x:c r="E45" t="str">
        <x:v>Engineering</x:v>
      </x:c>
      <x:c r="F45" t="str">
        <x:v>Design basis and interface verification</x:v>
      </x:c>
      <x:c r="G45" t="str">
        <x:v>BHS-SLQ-01</x:v>
      </x:c>
      <x:c r="H45" t="str">
        <x:v>FS</x:v>
      </x:c>
      <x:c r="I45" t="n">
        <x:v>75</x:v>
      </x:c>
      <x:c r="J45" t="n">
        <x:v>98</x:v>
      </x:c>
      <x:c r="K45" t="n">
        <x:v>24</x:v>
      </x:c>
      <x:c r="L45" t="str">
        <x:v>Engineering Manager</x:v>
      </x:c>
      <x:c r="M45" t="str">
        <x:v>design</x:v>
      </x:c>
      <x:c r="N45"/>
      <x:c r="O45"/>
      <x:c r="P45"/>
      <x:c r="Q45" s="10" t="n">
        <x:v>0</x:v>
      </x:c>
      <x:c r="R45" t="str">
        <x:v>Not started</x:v>
      </x:c>
      <x:c r="S45" t="str">
        <x:v>Provisional</x:v>
      </x:c>
      <x:c r="T45" t="str">
        <x:v>Verify measured scope, resources and predecessor logic</x:v>
      </x:c>
    </x:row>
    <x:row r="46">
      <x:c r="A46" t="str">
        <x:v>BHS-SLQ-03</x:v>
      </x:c>
      <x:c r="B46" t="str">
        <x:v>BHS-SLQ</x:v>
      </x:c>
      <x:c r="C46" t="str">
        <x:v>Replacement</x:v>
      </x:c>
      <x:c r="D46" t="str">
        <x:v>C</x:v>
      </x:c>
      <x:c r="E46" t="str">
        <x:v>Engineering</x:v>
      </x:c>
      <x:c r="F46" t="str">
        <x:v>Detailed structural and temporary works engineering</x:v>
      </x:c>
      <x:c r="G46" t="str">
        <x:v>BHS-SLQ-02</x:v>
      </x:c>
      <x:c r="H46" t="str">
        <x:v>FS</x:v>
      </x:c>
      <x:c r="I46" t="n">
        <x:v>88</x:v>
      </x:c>
      <x:c r="J46" t="n">
        <x:v>152</x:v>
      </x:c>
      <x:c r="K46" t="n">
        <x:v>65</x:v>
      </x:c>
      <x:c r="L46" t="str">
        <x:v>Engineering Manager</x:v>
      </x:c>
      <x:c r="M46" t="str">
        <x:v>design</x:v>
      </x:c>
      <x:c r="N46"/>
      <x:c r="O46"/>
      <x:c r="P46"/>
      <x:c r="Q46" s="10" t="n">
        <x:v>0</x:v>
      </x:c>
      <x:c r="R46" t="str">
        <x:v>Not started</x:v>
      </x:c>
      <x:c r="S46" t="str">
        <x:v>Provisional</x:v>
      </x:c>
      <x:c r="T46" t="str">
        <x:v>Verify measured scope, resources and predecessor logic</x:v>
      </x:c>
    </x:row>
    <x:row r="47">
      <x:c r="A47" t="str">
        <x:v>BHS-SLQ-04</x:v>
      </x:c>
      <x:c r="B47" t="str">
        <x:v>BHS-SLQ</x:v>
      </x:c>
      <x:c r="C47" t="str">
        <x:v>Replacement</x:v>
      </x:c>
      <x:c r="D47" t="str">
        <x:v>C</x:v>
      </x:c>
      <x:c r="E47" t="str">
        <x:v>Engineering</x:v>
      </x:c>
      <x:c r="F47" t="str">
        <x:v>Fabrication drawing release</x:v>
      </x:c>
      <x:c r="G47" t="str">
        <x:v>BHS-SLQ-03</x:v>
      </x:c>
      <x:c r="H47" t="str">
        <x:v>FS</x:v>
      </x:c>
      <x:c r="I47" t="n">
        <x:v>108</x:v>
      </x:c>
      <x:c r="J47" t="n">
        <x:v>165</x:v>
      </x:c>
      <x:c r="K47" t="n">
        <x:v>58</x:v>
      </x:c>
      <x:c r="L47" t="str">
        <x:v>Engineering Manager</x:v>
      </x:c>
      <x:c r="M47" t="str">
        <x:v>drawing</x:v>
      </x:c>
      <x:c r="N47"/>
      <x:c r="O47"/>
      <x:c r="P47"/>
      <x:c r="Q47" s="10" t="n">
        <x:v>0</x:v>
      </x:c>
      <x:c r="R47" t="str">
        <x:v>Not started</x:v>
      </x:c>
      <x:c r="S47" t="str">
        <x:v>Provisional</x:v>
      </x:c>
      <x:c r="T47" t="str">
        <x:v>Verify measured scope, resources and predecessor logic</x:v>
      </x:c>
    </x:row>
    <x:row r="48">
      <x:c r="A48" t="str">
        <x:v>BHS-SLQ-05</x:v>
      </x:c>
      <x:c r="B48" t="str">
        <x:v>BHS-SLQ</x:v>
      </x:c>
      <x:c r="C48" t="str">
        <x:v>Replacement</x:v>
      </x:c>
      <x:c r="D48" t="str">
        <x:v>C</x:v>
      </x:c>
      <x:c r="E48" t="str">
        <x:v>Procurement</x:v>
      </x:c>
      <x:c r="F48" t="str">
        <x:v>Material requisitions and vendor approval</x:v>
      </x:c>
      <x:c r="G48" t="str"/>
      <x:c r="H48" t="str">
        <x:v>FS</x:v>
      </x:c>
      <x:c r="I48" t="n">
        <x:v>88</x:v>
      </x:c>
      <x:c r="J48" t="n">
        <x:v>115</x:v>
      </x:c>
      <x:c r="K48" t="n">
        <x:v>28</x:v>
      </x:c>
      <x:c r="L48" t="str">
        <x:v>Procurement Manager</x:v>
      </x:c>
      <x:c r="M48" t="str">
        <x:v>MR</x:v>
      </x:c>
      <x:c r="N48"/>
      <x:c r="O48"/>
      <x:c r="P48"/>
      <x:c r="Q48" s="10" t="n">
        <x:v>0</x:v>
      </x:c>
      <x:c r="R48" t="str">
        <x:v>Not started</x:v>
      </x:c>
      <x:c r="S48" t="str">
        <x:v>Provisional</x:v>
      </x:c>
      <x:c r="T48" t="str">
        <x:v>Verify measured scope, resources and predecessor logic</x:v>
      </x:c>
    </x:row>
    <x:row r="49">
      <x:c r="A49" t="str">
        <x:v>BHS-SLQ-06</x:v>
      </x:c>
      <x:c r="B49" t="str">
        <x:v>BHS-SLQ</x:v>
      </x:c>
      <x:c r="C49" t="str">
        <x:v>Replacement</x:v>
      </x:c>
      <x:c r="D49" t="str">
        <x:v>C</x:v>
      </x:c>
      <x:c r="E49" t="str">
        <x:v>Procurement</x:v>
      </x:c>
      <x:c r="F49" t="str">
        <x:v>Steel purchasing and delivery</x:v>
      </x:c>
      <x:c r="G49" t="str">
        <x:v>BHS-SLQ-05</x:v>
      </x:c>
      <x:c r="H49" t="str">
        <x:v>FS</x:v>
      </x:c>
      <x:c r="I49" t="n">
        <x:v>108</x:v>
      </x:c>
      <x:c r="J49" t="n">
        <x:v>170</x:v>
      </x:c>
      <x:c r="K49" t="n">
        <x:v>63</x:v>
      </x:c>
      <x:c r="L49" t="str">
        <x:v>Procurement Manager</x:v>
      </x:c>
      <x:c r="M49" t="str">
        <x:v>MT</x:v>
      </x:c>
      <x:c r="N49"/>
      <x:c r="O49"/>
      <x:c r="P49"/>
      <x:c r="Q49" s="10" t="n">
        <x:v>0</x:v>
      </x:c>
      <x:c r="R49" t="str">
        <x:v>Not started</x:v>
      </x:c>
      <x:c r="S49" t="str">
        <x:v>Provisional</x:v>
      </x:c>
      <x:c r="T49" t="str">
        <x:v>Verify measured scope, resources and predecessor logic</x:v>
      </x:c>
    </x:row>
    <x:row r="50">
      <x:c r="A50" t="str">
        <x:v>BHS-SLQ-07</x:v>
      </x:c>
      <x:c r="B50" t="str">
        <x:v>BHS-SLQ</x:v>
      </x:c>
      <x:c r="C50" t="str">
        <x:v>Replacement</x:v>
      </x:c>
      <x:c r="D50" t="str">
        <x:v>C</x:v>
      </x:c>
      <x:c r="E50" t="str">
        <x:v>Fabrication</x:v>
      </x:c>
      <x:c r="F50" t="str">
        <x:v>Cutting and material preparation</x:v>
      </x:c>
      <x:c r="G50" t="str"/>
      <x:c r="H50" t="str">
        <x:v>FS</x:v>
      </x:c>
      <x:c r="I50" t="n">
        <x:v>135</x:v>
      </x:c>
      <x:c r="J50" t="n">
        <x:v>165</x:v>
      </x:c>
      <x:c r="K50" t="n">
        <x:v>31</x:v>
      </x:c>
      <x:c r="L50" t="str">
        <x:v>Fabrication Manager</x:v>
      </x:c>
      <x:c r="M50" t="str">
        <x:v>pieces</x:v>
      </x:c>
      <x:c r="N50"/>
      <x:c r="O50"/>
      <x:c r="P50"/>
      <x:c r="Q50" s="10" t="n">
        <x:v>0</x:v>
      </x:c>
      <x:c r="R50" t="str">
        <x:v>Not started</x:v>
      </x:c>
      <x:c r="S50" t="str">
        <x:v>Provisional</x:v>
      </x:c>
      <x:c r="T50" t="str">
        <x:v>Verify measured scope, resources and predecessor logic</x:v>
      </x:c>
    </x:row>
    <x:row r="51">
      <x:c r="A51" t="str">
        <x:v>BHS-SLQ-08</x:v>
      </x:c>
      <x:c r="B51" t="str">
        <x:v>BHS-SLQ</x:v>
      </x:c>
      <x:c r="C51" t="str">
        <x:v>Replacement</x:v>
      </x:c>
      <x:c r="D51" t="str">
        <x:v>C</x:v>
      </x:c>
      <x:c r="E51" t="str">
        <x:v>Fabrication</x:v>
      </x:c>
      <x:c r="F51" t="str">
        <x:v>Assembly and fit-up</x:v>
      </x:c>
      <x:c r="G51" t="str">
        <x:v>BHS-SLQ-07</x:v>
      </x:c>
      <x:c r="H51" t="str">
        <x:v>FS</x:v>
      </x:c>
      <x:c r="I51" t="n">
        <x:v>150</x:v>
      </x:c>
      <x:c r="J51" t="n">
        <x:v>195</x:v>
      </x:c>
      <x:c r="K51" t="n">
        <x:v>46</x:v>
      </x:c>
      <x:c r="L51" t="str">
        <x:v>Fabrication Manager</x:v>
      </x:c>
      <x:c r="M51" t="str">
        <x:v>assemblies</x:v>
      </x:c>
      <x:c r="N51"/>
      <x:c r="O51"/>
      <x:c r="P51"/>
      <x:c r="Q51" s="10" t="n">
        <x:v>0</x:v>
      </x:c>
      <x:c r="R51" t="str">
        <x:v>Not started</x:v>
      </x:c>
      <x:c r="S51" t="str">
        <x:v>Provisional</x:v>
      </x:c>
      <x:c r="T51" t="str">
        <x:v>Verify measured scope, resources and predecessor logic</x:v>
      </x:c>
    </x:row>
    <x:row r="52">
      <x:c r="A52" t="str">
        <x:v>BHS-SLQ-09</x:v>
      </x:c>
      <x:c r="B52" t="str">
        <x:v>BHS-SLQ</x:v>
      </x:c>
      <x:c r="C52" t="str">
        <x:v>Replacement</x:v>
      </x:c>
      <x:c r="D52" t="str">
        <x:v>C</x:v>
      </x:c>
      <x:c r="E52" t="str">
        <x:v>Fabrication</x:v>
      </x:c>
      <x:c r="F52" t="str">
        <x:v>Shop welding</x:v>
      </x:c>
      <x:c r="G52" t="str">
        <x:v>BHS-SLQ-08</x:v>
      </x:c>
      <x:c r="H52" t="str">
        <x:v>FS</x:v>
      </x:c>
      <x:c r="I52" t="n">
        <x:v>163</x:v>
      </x:c>
      <x:c r="J52" t="n">
        <x:v>208</x:v>
      </x:c>
      <x:c r="K52" t="n">
        <x:v>46</x:v>
      </x:c>
      <x:c r="L52" t="str">
        <x:v>Fabrication Manager</x:v>
      </x:c>
      <x:c r="M52" t="str">
        <x:v>weld-m</x:v>
      </x:c>
      <x:c r="N52"/>
      <x:c r="O52"/>
      <x:c r="P52"/>
      <x:c r="Q52" s="10" t="n">
        <x:v>0</x:v>
      </x:c>
      <x:c r="R52" t="str">
        <x:v>Not started</x:v>
      </x:c>
      <x:c r="S52" t="str">
        <x:v>Provisional</x:v>
      </x:c>
      <x:c r="T52" t="str">
        <x:v>Verify measured scope, resources and predecessor logic</x:v>
      </x:c>
    </x:row>
    <x:row r="53">
      <x:c r="A53" t="str">
        <x:v>BHS-SLQ-10</x:v>
      </x:c>
      <x:c r="B53" t="str">
        <x:v>BHS-SLQ</x:v>
      </x:c>
      <x:c r="C53" t="str">
        <x:v>Replacement</x:v>
      </x:c>
      <x:c r="D53" t="str">
        <x:v>C</x:v>
      </x:c>
      <x:c r="E53" t="str">
        <x:v>Quality</x:v>
      </x:c>
      <x:c r="F53" t="str">
        <x:v>NDT and dimensional acceptance</x:v>
      </x:c>
      <x:c r="G53" t="str"/>
      <x:c r="H53" t="str">
        <x:v>FS</x:v>
      </x:c>
      <x:c r="I53" t="n">
        <x:v>180</x:v>
      </x:c>
      <x:c r="J53" t="n">
        <x:v>217</x:v>
      </x:c>
      <x:c r="K53" t="n">
        <x:v>38</x:v>
      </x:c>
      <x:c r="L53" t="str">
        <x:v>QAQC Manager</x:v>
      </x:c>
      <x:c r="M53" t="str">
        <x:v>joints</x:v>
      </x:c>
      <x:c r="N53"/>
      <x:c r="O53"/>
      <x:c r="P53"/>
      <x:c r="Q53" s="10" t="n">
        <x:v>0</x:v>
      </x:c>
      <x:c r="R53" t="str">
        <x:v>Not started</x:v>
      </x:c>
      <x:c r="S53" t="str">
        <x:v>Provisional</x:v>
      </x:c>
      <x:c r="T53" t="str">
        <x:v>Verify measured scope, resources and predecessor logic</x:v>
      </x:c>
    </x:row>
    <x:row r="54">
      <x:c r="A54" t="str">
        <x:v>BHS-SLQ-11</x:v>
      </x:c>
      <x:c r="B54" t="str">
        <x:v>BHS-SLQ</x:v>
      </x:c>
      <x:c r="C54" t="str">
        <x:v>Replacement</x:v>
      </x:c>
      <x:c r="D54" t="str">
        <x:v>C</x:v>
      </x:c>
      <x:c r="E54" t="str">
        <x:v>Quality</x:v>
      </x:c>
      <x:c r="F54" t="str">
        <x:v>Blast, coat and preserve</x:v>
      </x:c>
      <x:c r="G54" t="str">
        <x:v>BHS-SLQ-10</x:v>
      </x:c>
      <x:c r="H54" t="str">
        <x:v>FS</x:v>
      </x:c>
      <x:c r="I54" t="n">
        <x:v>195</x:v>
      </x:c>
      <x:c r="J54" t="n">
        <x:v>225</x:v>
      </x:c>
      <x:c r="K54" t="n">
        <x:v>31</x:v>
      </x:c>
      <x:c r="L54" t="str">
        <x:v>QAQC Manager</x:v>
      </x:c>
      <x:c r="M54" t="str">
        <x:v>m2</x:v>
      </x:c>
      <x:c r="N54"/>
      <x:c r="O54"/>
      <x:c r="P54"/>
      <x:c r="Q54" s="10" t="n">
        <x:v>0</x:v>
      </x:c>
      <x:c r="R54" t="str">
        <x:v>Not started</x:v>
      </x:c>
      <x:c r="S54" t="str">
        <x:v>Provisional</x:v>
      </x:c>
      <x:c r="T54" t="str">
        <x:v>Verify measured scope, resources and predecessor logic</x:v>
      </x:c>
    </x:row>
    <x:row r="55">
      <x:c r="A55" t="str">
        <x:v>BHS-SLQ-12</x:v>
      </x:c>
      <x:c r="B55" t="str">
        <x:v>BHS-SLQ</x:v>
      </x:c>
      <x:c r="C55" t="str">
        <x:v>Replacement</x:v>
      </x:c>
      <x:c r="D55" t="str">
        <x:v>C</x:v>
      </x:c>
      <x:c r="E55" t="str">
        <x:v>Logistics</x:v>
      </x:c>
      <x:c r="F55" t="str">
        <x:v>Module weight COG and loadout engineering</x:v>
      </x:c>
      <x:c r="G55" t="str"/>
      <x:c r="H55" t="str">
        <x:v>FS</x:v>
      </x:c>
      <x:c r="I55" t="n">
        <x:v>150</x:v>
      </x:c>
      <x:c r="J55" t="n">
        <x:v>222</x:v>
      </x:c>
      <x:c r="K55" t="n">
        <x:v>73</x:v>
      </x:c>
      <x:c r="L55" t="str">
        <x:v>Marine Manager</x:v>
      </x:c>
      <x:c r="M55" t="str">
        <x:v>modules</x:v>
      </x:c>
      <x:c r="N55"/>
      <x:c r="O55"/>
      <x:c r="P55"/>
      <x:c r="Q55" s="10" t="n">
        <x:v>0</x:v>
      </x:c>
      <x:c r="R55" t="str">
        <x:v>Not started</x:v>
      </x:c>
      <x:c r="S55" t="str">
        <x:v>Provisional</x:v>
      </x:c>
      <x:c r="T55" t="str">
        <x:v>Verify measured scope, resources and predecessor logic</x:v>
      </x:c>
    </x:row>
    <x:row r="56">
      <x:c r="A56" t="str">
        <x:v>BHS-SLQ-13</x:v>
      </x:c>
      <x:c r="B56" t="str">
        <x:v>BHS-SLQ</x:v>
      </x:c>
      <x:c r="C56" t="str">
        <x:v>Replacement</x:v>
      </x:c>
      <x:c r="D56" t="str">
        <x:v>C</x:v>
      </x:c>
      <x:c r="E56" t="str">
        <x:v>Logistics</x:v>
      </x:c>
      <x:c r="F56" t="str">
        <x:v>Cargo manifest and shore base transfer</x:v>
      </x:c>
      <x:c r="G56" t="str">
        <x:v>BHS-SLQ-12</x:v>
      </x:c>
      <x:c r="H56" t="str">
        <x:v>FS</x:v>
      </x:c>
      <x:c r="I56" t="n">
        <x:v>195</x:v>
      </x:c>
      <x:c r="J56" t="n">
        <x:v>235</x:v>
      </x:c>
      <x:c r="K56" t="n">
        <x:v>41</x:v>
      </x:c>
      <x:c r="L56" t="str">
        <x:v>Logistics Manager</x:v>
      </x:c>
      <x:c r="M56" t="str">
        <x:v>shipments</x:v>
      </x:c>
      <x:c r="N56"/>
      <x:c r="O56"/>
      <x:c r="P56"/>
      <x:c r="Q56" s="10" t="n">
        <x:v>0</x:v>
      </x:c>
      <x:c r="R56" t="str">
        <x:v>Not started</x:v>
      </x:c>
      <x:c r="S56" t="str">
        <x:v>Provisional</x:v>
      </x:c>
      <x:c r="T56" t="str">
        <x:v>Verify measured scope, resources and predecessor logic</x:v>
      </x:c>
    </x:row>
    <x:row r="57">
      <x:c r="A57" t="str">
        <x:v>BHS-SLQ-14</x:v>
      </x:c>
      <x:c r="B57" t="str">
        <x:v>BHS-SLQ</x:v>
      </x:c>
      <x:c r="C57" t="str">
        <x:v>Replacement</x:v>
      </x:c>
      <x:c r="D57" t="str">
        <x:v>C</x:v>
      </x:c>
      <x:c r="E57" t="str">
        <x:v>Marine</x:v>
      </x:c>
      <x:c r="F57" t="str">
        <x:v>Vessel technical selection and assurance</x:v>
      </x:c>
      <x:c r="G57" t="str"/>
      <x:c r="H57" t="str">
        <x:v>FS</x:v>
      </x:c>
      <x:c r="I57" t="n">
        <x:v>105</x:v>
      </x:c>
      <x:c r="J57" t="n">
        <x:v>195</x:v>
      </x:c>
      <x:c r="K57" t="n">
        <x:v>91</x:v>
      </x:c>
      <x:c r="L57" t="str">
        <x:v>Marine Manager</x:v>
      </x:c>
      <x:c r="M57" t="str">
        <x:v>vessel</x:v>
      </x:c>
      <x:c r="N57"/>
      <x:c r="O57"/>
      <x:c r="P57"/>
      <x:c r="Q57" s="10" t="n">
        <x:v>0</x:v>
      </x:c>
      <x:c r="R57" t="str">
        <x:v>Not started</x:v>
      </x:c>
      <x:c r="S57" t="str">
        <x:v>Provisional</x:v>
      </x:c>
      <x:c r="T57" t="str">
        <x:v>Verify measured scope, resources and predecessor logic</x:v>
      </x:c>
    </x:row>
    <x:row r="58">
      <x:c r="A58" t="str">
        <x:v>BHS-SLQ-15</x:v>
      </x:c>
      <x:c r="B58" t="str">
        <x:v>BHS-SLQ</x:v>
      </x:c>
      <x:c r="C58" t="str">
        <x:v>Replacement</x:v>
      </x:c>
      <x:c r="D58" t="str">
        <x:v>C</x:v>
      </x:c>
      <x:c r="E58" t="str">
        <x:v>Marine</x:v>
      </x:c>
      <x:c r="F58" t="str">
        <x:v>Marine mobilisation and readiness</x:v>
      </x:c>
      <x:c r="G58" t="str">
        <x:v>BHS-SLQ-14</x:v>
      </x:c>
      <x:c r="H58" t="str">
        <x:v>FS</x:v>
      </x:c>
      <x:c r="I58" t="n">
        <x:v>190</x:v>
      </x:c>
      <x:c r="J58" t="n">
        <x:v>230</x:v>
      </x:c>
      <x:c r="K58" t="n">
        <x:v>41</x:v>
      </x:c>
      <x:c r="L58" t="str">
        <x:v>Marine Manager</x:v>
      </x:c>
      <x:c r="M58" t="str">
        <x:v>days</x:v>
      </x:c>
      <x:c r="N58"/>
      <x:c r="O58"/>
      <x:c r="P58"/>
      <x:c r="Q58" s="10" t="n">
        <x:v>0</x:v>
      </x:c>
      <x:c r="R58" t="str">
        <x:v>Not started</x:v>
      </x:c>
      <x:c r="S58" t="str">
        <x:v>Provisional</x:v>
      </x:c>
      <x:c r="T58" t="str">
        <x:v>Verify measured scope, resources and predecessor logic</x:v>
      </x:c>
    </x:row>
    <x:row r="59">
      <x:c r="A59" t="str">
        <x:v>BHS-SLQ-16</x:v>
      </x:c>
      <x:c r="B59" t="str">
        <x:v>BHS-SLQ</x:v>
      </x:c>
      <x:c r="C59" t="str">
        <x:v>Replacement</x:v>
      </x:c>
      <x:c r="D59" t="str">
        <x:v>C</x:v>
      </x:c>
      <x:c r="E59" t="str">
        <x:v>Offshore</x:v>
      </x:c>
      <x:c r="F59" t="str">
        <x:v>Access and permit readiness</x:v>
      </x:c>
      <x:c r="G59" t="str"/>
      <x:c r="H59" t="str">
        <x:v>FS</x:v>
      </x:c>
      <x:c r="I59" t="n">
        <x:v>135</x:v>
      </x:c>
      <x:c r="J59" t="n">
        <x:v>215</x:v>
      </x:c>
      <x:c r="K59" t="n">
        <x:v>81</x:v>
      </x:c>
      <x:c r="L59" t="str">
        <x:v>Offshore Manager</x:v>
      </x:c>
      <x:c r="M59" t="str">
        <x:v>fronts</x:v>
      </x:c>
      <x:c r="N59"/>
      <x:c r="O59"/>
      <x:c r="P59"/>
      <x:c r="Q59" s="10" t="n">
        <x:v>0</x:v>
      </x:c>
      <x:c r="R59" t="str">
        <x:v>Not started</x:v>
      </x:c>
      <x:c r="S59" t="str">
        <x:v>Provisional</x:v>
      </x:c>
      <x:c r="T59" t="str">
        <x:v>Verify measured scope, resources and predecessor logic</x:v>
      </x:c>
    </x:row>
    <x:row r="60">
      <x:c r="A60" t="str">
        <x:v>BHS-SLQ-17</x:v>
      </x:c>
      <x:c r="B60" t="str">
        <x:v>BHS-SLQ</x:v>
      </x:c>
      <x:c r="C60" t="str">
        <x:v>Replacement</x:v>
      </x:c>
      <x:c r="D60" t="str">
        <x:v>C</x:v>
      </x:c>
      <x:c r="E60" t="str">
        <x:v>Offshore</x:v>
      </x:c>
      <x:c r="F60" t="str">
        <x:v>Temporary access and works</x:v>
      </x:c>
      <x:c r="G60" t="str">
        <x:v>BHS-SLQ-16</x:v>
      </x:c>
      <x:c r="H60" t="str">
        <x:v>FS</x:v>
      </x:c>
      <x:c r="I60" t="n">
        <x:v>160</x:v>
      </x:c>
      <x:c r="J60" t="n">
        <x:v>250</x:v>
      </x:c>
      <x:c r="K60" t="n">
        <x:v>91</x:v>
      </x:c>
      <x:c r="L60" t="str">
        <x:v>Offshore Manager</x:v>
      </x:c>
      <x:c r="M60" t="str">
        <x:v>workfronts</x:v>
      </x:c>
      <x:c r="N60"/>
      <x:c r="O60"/>
      <x:c r="P60"/>
      <x:c r="Q60" s="10" t="n">
        <x:v>0</x:v>
      </x:c>
      <x:c r="R60" t="str">
        <x:v>Not started</x:v>
      </x:c>
      <x:c r="S60" t="str">
        <x:v>Provisional</x:v>
      </x:c>
      <x:c r="T60" t="str">
        <x:v>Verify measured scope, resources and predecessor logic</x:v>
      </x:c>
    </x:row>
    <x:row r="61">
      <x:c r="A61" t="str">
        <x:v>BHS-SLQ-18</x:v>
      </x:c>
      <x:c r="B61" t="str">
        <x:v>BHS-SLQ</x:v>
      </x:c>
      <x:c r="C61" t="str">
        <x:v>Replacement</x:v>
      </x:c>
      <x:c r="D61" t="str">
        <x:v>C</x:v>
      </x:c>
      <x:c r="E61" t="str">
        <x:v>Offshore</x:v>
      </x:c>
      <x:c r="F61" t="str">
        <x:v>Structural fit-up or landing</x:v>
      </x:c>
      <x:c r="G61" t="str">
        <x:v>BHS-SLQ-17</x:v>
      </x:c>
      <x:c r="H61" t="str">
        <x:v>FS</x:v>
      </x:c>
      <x:c r="I61" t="n">
        <x:v>185</x:v>
      </x:c>
      <x:c r="J61" t="n">
        <x:v>275</x:v>
      </x:c>
      <x:c r="K61" t="n">
        <x:v>91</x:v>
      </x:c>
      <x:c r="L61" t="str">
        <x:v>Offshore Manager</x:v>
      </x:c>
      <x:c r="M61" t="str">
        <x:v>assemblies</x:v>
      </x:c>
      <x:c r="N61"/>
      <x:c r="O61"/>
      <x:c r="P61"/>
      <x:c r="Q61" s="10" t="n">
        <x:v>0</x:v>
      </x:c>
      <x:c r="R61" t="str">
        <x:v>Not started</x:v>
      </x:c>
      <x:c r="S61" t="str">
        <x:v>Provisional</x:v>
      </x:c>
      <x:c r="T61" t="str">
        <x:v>Verify measured scope, resources and predecessor logic</x:v>
      </x:c>
    </x:row>
    <x:row r="62">
      <x:c r="A62" t="str">
        <x:v>BHS-SLQ-19</x:v>
      </x:c>
      <x:c r="B62" t="str">
        <x:v>BHS-SLQ</x:v>
      </x:c>
      <x:c r="C62" t="str">
        <x:v>Replacement</x:v>
      </x:c>
      <x:c r="D62" t="str">
        <x:v>C</x:v>
      </x:c>
      <x:c r="E62" t="str">
        <x:v>Offshore</x:v>
      </x:c>
      <x:c r="F62" t="str">
        <x:v>Connection welding and bolting</x:v>
      </x:c>
      <x:c r="G62" t="str">
        <x:v>BHS-SLQ-18</x:v>
      </x:c>
      <x:c r="H62" t="str">
        <x:v>FS</x:v>
      </x:c>
      <x:c r="I62" t="n">
        <x:v>200</x:v>
      </x:c>
      <x:c r="J62" t="n">
        <x:v>290</x:v>
      </x:c>
      <x:c r="K62" t="n">
        <x:v>91</x:v>
      </x:c>
      <x:c r="L62" t="str">
        <x:v>Offshore Manager</x:v>
      </x:c>
      <x:c r="M62" t="str">
        <x:v>joints</x:v>
      </x:c>
      <x:c r="N62"/>
      <x:c r="O62"/>
      <x:c r="P62"/>
      <x:c r="Q62" s="10" t="n">
        <x:v>0</x:v>
      </x:c>
      <x:c r="R62" t="str">
        <x:v>Not started</x:v>
      </x:c>
      <x:c r="S62" t="str">
        <x:v>Provisional</x:v>
      </x:c>
      <x:c r="T62" t="str">
        <x:v>Verify measured scope, resources and predecessor logic</x:v>
      </x:c>
    </x:row>
    <x:row r="63">
      <x:c r="A63" t="str">
        <x:v>BHS-SLQ-20</x:v>
      </x:c>
      <x:c r="B63" t="str">
        <x:v>BHS-SLQ</x:v>
      </x:c>
      <x:c r="C63" t="str">
        <x:v>Replacement</x:v>
      </x:c>
      <x:c r="D63" t="str">
        <x:v>C</x:v>
      </x:c>
      <x:c r="E63" t="str">
        <x:v>Offshore</x:v>
      </x:c>
      <x:c r="F63" t="str">
        <x:v>Inspection and coating restoration</x:v>
      </x:c>
      <x:c r="G63" t="str">
        <x:v>BHS-SLQ-19</x:v>
      </x:c>
      <x:c r="H63" t="str">
        <x:v>FS</x:v>
      </x:c>
      <x:c r="I63" t="n">
        <x:v>220</x:v>
      </x:c>
      <x:c r="J63" t="n">
        <x:v>310</x:v>
      </x:c>
      <x:c r="K63" t="n">
        <x:v>91</x:v>
      </x:c>
      <x:c r="L63" t="str">
        <x:v>QAQC Manager</x:v>
      </x:c>
      <x:c r="M63" t="str">
        <x:v>joints</x:v>
      </x:c>
      <x:c r="N63"/>
      <x:c r="O63"/>
      <x:c r="P63"/>
      <x:c r="Q63" s="10" t="n">
        <x:v>0</x:v>
      </x:c>
      <x:c r="R63" t="str">
        <x:v>Not started</x:v>
      </x:c>
      <x:c r="S63" t="str">
        <x:v>Provisional</x:v>
      </x:c>
      <x:c r="T63" t="str">
        <x:v>Verify measured scope, resources and predecessor logic</x:v>
      </x:c>
    </x:row>
    <x:row r="64">
      <x:c r="A64" t="str">
        <x:v>BHS-SLQ-21</x:v>
      </x:c>
      <x:c r="B64" t="str">
        <x:v>BHS-SLQ</x:v>
      </x:c>
      <x:c r="C64" t="str">
        <x:v>Replacement</x:v>
      </x:c>
      <x:c r="D64" t="str">
        <x:v>C</x:v>
      </x:c>
      <x:c r="E64" t="str">
        <x:v>Closeout</x:v>
      </x:c>
      <x:c r="F64" t="str">
        <x:v>Punch closure and dossier</x:v>
      </x:c>
      <x:c r="G64" t="str"/>
      <x:c r="H64" t="str">
        <x:v>FS</x:v>
      </x:c>
      <x:c r="I64" t="n">
        <x:v>295</x:v>
      </x:c>
      <x:c r="J64" t="n">
        <x:v>355</x:v>
      </x:c>
      <x:c r="K64" t="n">
        <x:v>61</x:v>
      </x:c>
      <x:c r="L64" t="str">
        <x:v>Completion Manager</x:v>
      </x:c>
      <x:c r="M64" t="str">
        <x:v>packs</x:v>
      </x:c>
      <x:c r="N64"/>
      <x:c r="O64"/>
      <x:c r="P64"/>
      <x:c r="Q64" s="10" t="n">
        <x:v>0</x:v>
      </x:c>
      <x:c r="R64" t="str">
        <x:v>Not started</x:v>
      </x:c>
      <x:c r="S64" t="str">
        <x:v>Provisional</x:v>
      </x:c>
      <x:c r="T64" t="str">
        <x:v>Verify measured scope, resources and predecessor logic</x:v>
      </x:c>
    </x:row>
    <x:row r="65">
      <x:c r="A65" t="str">
        <x:v>BHS-SLQ-22</x:v>
      </x:c>
      <x:c r="B65" t="str">
        <x:v>BHS-SLQ</x:v>
      </x:c>
      <x:c r="C65" t="str">
        <x:v>Replacement</x:v>
      </x:c>
      <x:c r="D65" t="str">
        <x:v>C</x:v>
      </x:c>
      <x:c r="E65" t="str">
        <x:v>Closeout</x:v>
      </x:c>
      <x:c r="F65" t="str">
        <x:v>Client acceptance and final handover</x:v>
      </x:c>
      <x:c r="G65" t="str">
        <x:v>BHS-SLQ-21</x:v>
      </x:c>
      <x:c r="H65" t="str">
        <x:v>FS</x:v>
      </x:c>
      <x:c r="I65" t="n">
        <x:v>345</x:v>
      </x:c>
      <x:c r="J65" t="n">
        <x:v>355</x:v>
      </x:c>
      <x:c r="K65" t="n">
        <x:v>11</x:v>
      </x:c>
      <x:c r="L65" t="str">
        <x:v>Project Director</x:v>
      </x:c>
      <x:c r="M65" t="str">
        <x:v>milestones</x:v>
      </x:c>
      <x:c r="N65"/>
      <x:c r="O65"/>
      <x:c r="P65"/>
      <x:c r="Q65" s="10" t="n">
        <x:v>0</x:v>
      </x:c>
      <x:c r="R65" t="str">
        <x:v>Not started</x:v>
      </x:c>
      <x:c r="S65" t="str">
        <x:v>Provisional</x:v>
      </x:c>
      <x:c r="T65" t="str">
        <x:v>Verify measured scope, resources and predecessor logic</x:v>
      </x:c>
    </x:row>
    <x:row r="66">
      <x:c r="A66" t="str">
        <x:v>BHS-SLQ-SP64</x:v>
      </x:c>
      <x:c r="B66" t="str">
        <x:v>BHS-SLQ</x:v>
      </x:c>
      <x:c r="C66" t="str">
        <x:v>Replacement</x:v>
      </x:c>
      <x:c r="D66" t="str">
        <x:v>C</x:v>
      </x:c>
      <x:c r="E66" t="str">
        <x:v>Demolition</x:v>
      </x:c>
      <x:c r="F66" t="str">
        <x:v>Operational isolation and service transfer</x:v>
      </x:c>
      <x:c r="G66" t="str"/>
      <x:c r="H66" t="str">
        <x:v>FS</x:v>
      </x:c>
      <x:c r="I66" t="n">
        <x:v>165</x:v>
      </x:c>
      <x:c r="J66" t="n">
        <x:v>192</x:v>
      </x:c>
      <x:c r="K66" t="n">
        <x:v>28</x:v>
      </x:c>
      <x:c r="L66" t="str">
        <x:v>Marine / Offshore Manager</x:v>
      </x:c>
      <x:c r="M66" t="str">
        <x:v>pieces</x:v>
      </x:c>
      <x:c r="N66"/>
      <x:c r="O66"/>
      <x:c r="P66"/>
      <x:c r="Q66" s="10" t="n">
        <x:v>0</x:v>
      </x:c>
      <x:c r="R66" t="str">
        <x:v>Not started</x:v>
      </x:c>
      <x:c r="S66" t="str">
        <x:v>Provisional</x:v>
      </x:c>
      <x:c r="T66" t="str">
        <x:v>Requires approved structural and operational removal sequence</x:v>
      </x:c>
    </x:row>
    <x:row r="67">
      <x:c r="A67" t="str">
        <x:v>BHS-SLQ-SP65</x:v>
      </x:c>
      <x:c r="B67" t="str">
        <x:v>BHS-SLQ</x:v>
      </x:c>
      <x:c r="C67" t="str">
        <x:v>Replacement</x:v>
      </x:c>
      <x:c r="D67" t="str">
        <x:v>C</x:v>
      </x:c>
      <x:c r="E67" t="str">
        <x:v>Demolition</x:v>
      </x:c>
      <x:c r="F67" t="str">
        <x:v>Engineered demolition and removal</x:v>
      </x:c>
      <x:c r="G67" t="str"/>
      <x:c r="H67" t="str">
        <x:v>FS</x:v>
      </x:c>
      <x:c r="I67" t="n">
        <x:v>210</x:v>
      </x:c>
      <x:c r="J67" t="n">
        <x:v>240</x:v>
      </x:c>
      <x:c r="K67" t="n">
        <x:v>31</x:v>
      </x:c>
      <x:c r="L67" t="str">
        <x:v>Marine / Offshore Manager</x:v>
      </x:c>
      <x:c r="M67" t="str">
        <x:v>pieces</x:v>
      </x:c>
      <x:c r="N67"/>
      <x:c r="O67"/>
      <x:c r="P67"/>
      <x:c r="Q67" s="10" t="n">
        <x:v>0</x:v>
      </x:c>
      <x:c r="R67" t="str">
        <x:v>Not started</x:v>
      </x:c>
      <x:c r="S67" t="str">
        <x:v>Provisional</x:v>
      </x:c>
      <x:c r="T67" t="str">
        <x:v>Requires approved structural and operational removal sequence</x:v>
      </x:c>
    </x:row>
    <x:row r="68">
      <x:c r="A68" t="str">
        <x:v>BHS-SLQ-SP66</x:v>
      </x:c>
      <x:c r="B68" t="str">
        <x:v>BHS-SLQ</x:v>
      </x:c>
      <x:c r="C68" t="str">
        <x:v>Replacement</x:v>
      </x:c>
      <x:c r="D68" t="str">
        <x:v>C</x:v>
      </x:c>
      <x:c r="E68" t="str">
        <x:v>Demolition</x:v>
      </x:c>
      <x:c r="F68" t="str">
        <x:v>Backload and disposal</x:v>
      </x:c>
      <x:c r="G68" t="str"/>
      <x:c r="H68" t="str">
        <x:v>FS</x:v>
      </x:c>
      <x:c r="I68" t="n">
        <x:v>225</x:v>
      </x:c>
      <x:c r="J68" t="n">
        <x:v>260</x:v>
      </x:c>
      <x:c r="K68" t="n">
        <x:v>36</x:v>
      </x:c>
      <x:c r="L68" t="str">
        <x:v>Marine / Offshore Manager</x:v>
      </x:c>
      <x:c r="M68" t="str">
        <x:v>pieces</x:v>
      </x:c>
      <x:c r="N68"/>
      <x:c r="O68"/>
      <x:c r="P68"/>
      <x:c r="Q68" s="10" t="n">
        <x:v>0</x:v>
      </x:c>
      <x:c r="R68" t="str">
        <x:v>Not started</x:v>
      </x:c>
      <x:c r="S68" t="str">
        <x:v>Provisional</x:v>
      </x:c>
      <x:c r="T68" t="str">
        <x:v>Requires approved structural and operational removal sequence</x:v>
      </x:c>
    </x:row>
    <x:row r="69">
      <x:c r="A69" t="str">
        <x:v>ICW-ICG-UD-01</x:v>
      </x:c>
      <x:c r="B69" t="str">
        <x:v>ICW-ICG-UD</x:v>
      </x:c>
      <x:c r="C69" t="str">
        <x:v>Strengthening</x:v>
      </x:c>
      <x:c r="D69" t="str">
        <x:v>A</x:v>
      </x:c>
      <x:c r="E69" t="str">
        <x:v>Engineering</x:v>
      </x:c>
      <x:c r="F69" t="str">
        <x:v>Existing-condition survey</x:v>
      </x:c>
      <x:c r="G69" t="str"/>
      <x:c r="H69" t="str">
        <x:v>FS</x:v>
      </x:c>
      <x:c r="I69" t="n">
        <x:v>1</x:v>
      </x:c>
      <x:c r="J69" t="n">
        <x:v>28</x:v>
      </x:c>
      <x:c r="K69" t="n">
        <x:v>28</x:v>
      </x:c>
      <x:c r="L69" t="str">
        <x:v>Engineering Manager</x:v>
      </x:c>
      <x:c r="M69" t="str">
        <x:v>survey</x:v>
      </x:c>
      <x:c r="N69"/>
      <x:c r="O69"/>
      <x:c r="P69"/>
      <x:c r="Q69" s="10" t="n">
        <x:v>0</x:v>
      </x:c>
      <x:c r="R69" t="str">
        <x:v>Not started</x:v>
      </x:c>
      <x:c r="S69" t="str">
        <x:v>Provisional</x:v>
      </x:c>
      <x:c r="T69" t="str">
        <x:v>Verify measured scope, resources and predecessor logic</x:v>
      </x:c>
    </x:row>
    <x:row r="70">
      <x:c r="A70" t="str">
        <x:v>ICW-ICG-UD-02</x:v>
      </x:c>
      <x:c r="B70" t="str">
        <x:v>ICW-ICG-UD</x:v>
      </x:c>
      <x:c r="C70" t="str">
        <x:v>Strengthening</x:v>
      </x:c>
      <x:c r="D70" t="str">
        <x:v>A</x:v>
      </x:c>
      <x:c r="E70" t="str">
        <x:v>Engineering</x:v>
      </x:c>
      <x:c r="F70" t="str">
        <x:v>Design basis and interface verification</x:v>
      </x:c>
      <x:c r="G70" t="str">
        <x:v>ICW-ICG-UD-01</x:v>
      </x:c>
      <x:c r="H70" t="str">
        <x:v>FS</x:v>
      </x:c>
      <x:c r="I70" t="n">
        <x:v>15</x:v>
      </x:c>
      <x:c r="J70" t="n">
        <x:v>38</x:v>
      </x:c>
      <x:c r="K70" t="n">
        <x:v>24</x:v>
      </x:c>
      <x:c r="L70" t="str">
        <x:v>Engineering Manager</x:v>
      </x:c>
      <x:c r="M70" t="str">
        <x:v>design</x:v>
      </x:c>
      <x:c r="N70"/>
      <x:c r="O70"/>
      <x:c r="P70"/>
      <x:c r="Q70" s="10" t="n">
        <x:v>0</x:v>
      </x:c>
      <x:c r="R70" t="str">
        <x:v>Not started</x:v>
      </x:c>
      <x:c r="S70" t="str">
        <x:v>Provisional</x:v>
      </x:c>
      <x:c r="T70" t="str">
        <x:v>Verify measured scope, resources and predecessor logic</x:v>
      </x:c>
    </x:row>
    <x:row r="71">
      <x:c r="A71" t="str">
        <x:v>ICW-ICG-UD-03</x:v>
      </x:c>
      <x:c r="B71" t="str">
        <x:v>ICW-ICG-UD</x:v>
      </x:c>
      <x:c r="C71" t="str">
        <x:v>Strengthening</x:v>
      </x:c>
      <x:c r="D71" t="str">
        <x:v>A</x:v>
      </x:c>
      <x:c r="E71" t="str">
        <x:v>Engineering</x:v>
      </x:c>
      <x:c r="F71" t="str">
        <x:v>Detailed structural and temporary works engineering</x:v>
      </x:c>
      <x:c r="G71" t="str">
        <x:v>ICW-ICG-UD-02</x:v>
      </x:c>
      <x:c r="H71" t="str">
        <x:v>FS</x:v>
      </x:c>
      <x:c r="I71" t="n">
        <x:v>28</x:v>
      </x:c>
      <x:c r="J71" t="n">
        <x:v>92</x:v>
      </x:c>
      <x:c r="K71" t="n">
        <x:v>65</x:v>
      </x:c>
      <x:c r="L71" t="str">
        <x:v>Engineering Manager</x:v>
      </x:c>
      <x:c r="M71" t="str">
        <x:v>design</x:v>
      </x:c>
      <x:c r="N71"/>
      <x:c r="O71"/>
      <x:c r="P71"/>
      <x:c r="Q71" s="10" t="n">
        <x:v>0</x:v>
      </x:c>
      <x:c r="R71" t="str">
        <x:v>Not started</x:v>
      </x:c>
      <x:c r="S71" t="str">
        <x:v>Provisional</x:v>
      </x:c>
      <x:c r="T71" t="str">
        <x:v>Verify measured scope, resources and predecessor logic</x:v>
      </x:c>
    </x:row>
    <x:row r="72">
      <x:c r="A72" t="str">
        <x:v>ICW-ICG-UD-04</x:v>
      </x:c>
      <x:c r="B72" t="str">
        <x:v>ICW-ICG-UD</x:v>
      </x:c>
      <x:c r="C72" t="str">
        <x:v>Strengthening</x:v>
      </x:c>
      <x:c r="D72" t="str">
        <x:v>A</x:v>
      </x:c>
      <x:c r="E72" t="str">
        <x:v>Engineering</x:v>
      </x:c>
      <x:c r="F72" t="str">
        <x:v>Fabrication drawing release</x:v>
      </x:c>
      <x:c r="G72" t="str">
        <x:v>ICW-ICG-UD-03</x:v>
      </x:c>
      <x:c r="H72" t="str">
        <x:v>FS</x:v>
      </x:c>
      <x:c r="I72" t="n">
        <x:v>48</x:v>
      </x:c>
      <x:c r="J72" t="n">
        <x:v>105</x:v>
      </x:c>
      <x:c r="K72" t="n">
        <x:v>58</x:v>
      </x:c>
      <x:c r="L72" t="str">
        <x:v>Engineering Manager</x:v>
      </x:c>
      <x:c r="M72" t="str">
        <x:v>drawing</x:v>
      </x:c>
      <x:c r="N72"/>
      <x:c r="O72"/>
      <x:c r="P72"/>
      <x:c r="Q72" s="10" t="n">
        <x:v>0</x:v>
      </x:c>
      <x:c r="R72" t="str">
        <x:v>Not started</x:v>
      </x:c>
      <x:c r="S72" t="str">
        <x:v>Provisional</x:v>
      </x:c>
      <x:c r="T72" t="str">
        <x:v>Verify measured scope, resources and predecessor logic</x:v>
      </x:c>
    </x:row>
    <x:row r="73">
      <x:c r="A73" t="str">
        <x:v>ICW-ICG-UD-05</x:v>
      </x:c>
      <x:c r="B73" t="str">
        <x:v>ICW-ICG-UD</x:v>
      </x:c>
      <x:c r="C73" t="str">
        <x:v>Strengthening</x:v>
      </x:c>
      <x:c r="D73" t="str">
        <x:v>A</x:v>
      </x:c>
      <x:c r="E73" t="str">
        <x:v>Procurement</x:v>
      </x:c>
      <x:c r="F73" t="str">
        <x:v>Material requisitions and vendor approval</x:v>
      </x:c>
      <x:c r="G73" t="str"/>
      <x:c r="H73" t="str">
        <x:v>FS</x:v>
      </x:c>
      <x:c r="I73" t="n">
        <x:v>28</x:v>
      </x:c>
      <x:c r="J73" t="n">
        <x:v>55</x:v>
      </x:c>
      <x:c r="K73" t="n">
        <x:v>28</x:v>
      </x:c>
      <x:c r="L73" t="str">
        <x:v>Procurement Manager</x:v>
      </x:c>
      <x:c r="M73" t="str">
        <x:v>MR</x:v>
      </x:c>
      <x:c r="N73"/>
      <x:c r="O73"/>
      <x:c r="P73"/>
      <x:c r="Q73" s="10" t="n">
        <x:v>0</x:v>
      </x:c>
      <x:c r="R73" t="str">
        <x:v>Not started</x:v>
      </x:c>
      <x:c r="S73" t="str">
        <x:v>Provisional</x:v>
      </x:c>
      <x:c r="T73" t="str">
        <x:v>Verify measured scope, resources and predecessor logic</x:v>
      </x:c>
    </x:row>
    <x:row r="74">
      <x:c r="A74" t="str">
        <x:v>ICW-ICG-UD-06</x:v>
      </x:c>
      <x:c r="B74" t="str">
        <x:v>ICW-ICG-UD</x:v>
      </x:c>
      <x:c r="C74" t="str">
        <x:v>Strengthening</x:v>
      </x:c>
      <x:c r="D74" t="str">
        <x:v>A</x:v>
      </x:c>
      <x:c r="E74" t="str">
        <x:v>Procurement</x:v>
      </x:c>
      <x:c r="F74" t="str">
        <x:v>Steel purchasing and delivery</x:v>
      </x:c>
      <x:c r="G74" t="str">
        <x:v>ICW-ICG-UD-05</x:v>
      </x:c>
      <x:c r="H74" t="str">
        <x:v>FS</x:v>
      </x:c>
      <x:c r="I74" t="n">
        <x:v>48</x:v>
      </x:c>
      <x:c r="J74" t="n">
        <x:v>110</x:v>
      </x:c>
      <x:c r="K74" t="n">
        <x:v>63</x:v>
      </x:c>
      <x:c r="L74" t="str">
        <x:v>Procurement Manager</x:v>
      </x:c>
      <x:c r="M74" t="str">
        <x:v>MT</x:v>
      </x:c>
      <x:c r="N74"/>
      <x:c r="O74"/>
      <x:c r="P74"/>
      <x:c r="Q74" s="10" t="n">
        <x:v>0</x:v>
      </x:c>
      <x:c r="R74" t="str">
        <x:v>Not started</x:v>
      </x:c>
      <x:c r="S74" t="str">
        <x:v>Provisional</x:v>
      </x:c>
      <x:c r="T74" t="str">
        <x:v>Verify measured scope, resources and predecessor logic</x:v>
      </x:c>
    </x:row>
    <x:row r="75">
      <x:c r="A75" t="str">
        <x:v>ICW-ICG-UD-07</x:v>
      </x:c>
      <x:c r="B75" t="str">
        <x:v>ICW-ICG-UD</x:v>
      </x:c>
      <x:c r="C75" t="str">
        <x:v>Strengthening</x:v>
      </x:c>
      <x:c r="D75" t="str">
        <x:v>A</x:v>
      </x:c>
      <x:c r="E75" t="str">
        <x:v>Fabrication</x:v>
      </x:c>
      <x:c r="F75" t="str">
        <x:v>Cutting and material preparation</x:v>
      </x:c>
      <x:c r="G75" t="str"/>
      <x:c r="H75" t="str">
        <x:v>FS</x:v>
      </x:c>
      <x:c r="I75" t="n">
        <x:v>75</x:v>
      </x:c>
      <x:c r="J75" t="n">
        <x:v>105</x:v>
      </x:c>
      <x:c r="K75" t="n">
        <x:v>31</x:v>
      </x:c>
      <x:c r="L75" t="str">
        <x:v>Fabrication Manager</x:v>
      </x:c>
      <x:c r="M75" t="str">
        <x:v>pieces</x:v>
      </x:c>
      <x:c r="N75"/>
      <x:c r="O75"/>
      <x:c r="P75"/>
      <x:c r="Q75" s="10" t="n">
        <x:v>0</x:v>
      </x:c>
      <x:c r="R75" t="str">
        <x:v>Not started</x:v>
      </x:c>
      <x:c r="S75" t="str">
        <x:v>Provisional</x:v>
      </x:c>
      <x:c r="T75" t="str">
        <x:v>Verify measured scope, resources and predecessor logic</x:v>
      </x:c>
    </x:row>
    <x:row r="76">
      <x:c r="A76" t="str">
        <x:v>ICW-ICG-UD-08</x:v>
      </x:c>
      <x:c r="B76" t="str">
        <x:v>ICW-ICG-UD</x:v>
      </x:c>
      <x:c r="C76" t="str">
        <x:v>Strengthening</x:v>
      </x:c>
      <x:c r="D76" t="str">
        <x:v>A</x:v>
      </x:c>
      <x:c r="E76" t="str">
        <x:v>Fabrication</x:v>
      </x:c>
      <x:c r="F76" t="str">
        <x:v>Assembly and fit-up</x:v>
      </x:c>
      <x:c r="G76" t="str">
        <x:v>ICW-ICG-UD-07</x:v>
      </x:c>
      <x:c r="H76" t="str">
        <x:v>FS</x:v>
      </x:c>
      <x:c r="I76" t="n">
        <x:v>90</x:v>
      </x:c>
      <x:c r="J76" t="n">
        <x:v>135</x:v>
      </x:c>
      <x:c r="K76" t="n">
        <x:v>46</x:v>
      </x:c>
      <x:c r="L76" t="str">
        <x:v>Fabrication Manager</x:v>
      </x:c>
      <x:c r="M76" t="str">
        <x:v>assemblies</x:v>
      </x:c>
      <x:c r="N76"/>
      <x:c r="O76"/>
      <x:c r="P76"/>
      <x:c r="Q76" s="10" t="n">
        <x:v>0</x:v>
      </x:c>
      <x:c r="R76" t="str">
        <x:v>Not started</x:v>
      </x:c>
      <x:c r="S76" t="str">
        <x:v>Provisional</x:v>
      </x:c>
      <x:c r="T76" t="str">
        <x:v>Verify measured scope, resources and predecessor logic</x:v>
      </x:c>
    </x:row>
    <x:row r="77">
      <x:c r="A77" t="str">
        <x:v>ICW-ICG-UD-09</x:v>
      </x:c>
      <x:c r="B77" t="str">
        <x:v>ICW-ICG-UD</x:v>
      </x:c>
      <x:c r="C77" t="str">
        <x:v>Strengthening</x:v>
      </x:c>
      <x:c r="D77" t="str">
        <x:v>A</x:v>
      </x:c>
      <x:c r="E77" t="str">
        <x:v>Fabrication</x:v>
      </x:c>
      <x:c r="F77" t="str">
        <x:v>Shop welding</x:v>
      </x:c>
      <x:c r="G77" t="str">
        <x:v>ICW-ICG-UD-08</x:v>
      </x:c>
      <x:c r="H77" t="str">
        <x:v>FS</x:v>
      </x:c>
      <x:c r="I77" t="n">
        <x:v>103</x:v>
      </x:c>
      <x:c r="J77" t="n">
        <x:v>148</x:v>
      </x:c>
      <x:c r="K77" t="n">
        <x:v>46</x:v>
      </x:c>
      <x:c r="L77" t="str">
        <x:v>Fabrication Manager</x:v>
      </x:c>
      <x:c r="M77" t="str">
        <x:v>weld-m</x:v>
      </x:c>
      <x:c r="N77"/>
      <x:c r="O77"/>
      <x:c r="P77"/>
      <x:c r="Q77" s="10" t="n">
        <x:v>0</x:v>
      </x:c>
      <x:c r="R77" t="str">
        <x:v>Not started</x:v>
      </x:c>
      <x:c r="S77" t="str">
        <x:v>Provisional</x:v>
      </x:c>
      <x:c r="T77" t="str">
        <x:v>Verify measured scope, resources and predecessor logic</x:v>
      </x:c>
    </x:row>
    <x:row r="78">
      <x:c r="A78" t="str">
        <x:v>ICW-ICG-UD-10</x:v>
      </x:c>
      <x:c r="B78" t="str">
        <x:v>ICW-ICG-UD</x:v>
      </x:c>
      <x:c r="C78" t="str">
        <x:v>Strengthening</x:v>
      </x:c>
      <x:c r="D78" t="str">
        <x:v>A</x:v>
      </x:c>
      <x:c r="E78" t="str">
        <x:v>Quality</x:v>
      </x:c>
      <x:c r="F78" t="str">
        <x:v>NDT and dimensional acceptance</x:v>
      </x:c>
      <x:c r="G78" t="str"/>
      <x:c r="H78" t="str">
        <x:v>FS</x:v>
      </x:c>
      <x:c r="I78" t="n">
        <x:v>120</x:v>
      </x:c>
      <x:c r="J78" t="n">
        <x:v>157</x:v>
      </x:c>
      <x:c r="K78" t="n">
        <x:v>38</x:v>
      </x:c>
      <x:c r="L78" t="str">
        <x:v>QAQC Manager</x:v>
      </x:c>
      <x:c r="M78" t="str">
        <x:v>joints</x:v>
      </x:c>
      <x:c r="N78"/>
      <x:c r="O78"/>
      <x:c r="P78"/>
      <x:c r="Q78" s="10" t="n">
        <x:v>0</x:v>
      </x:c>
      <x:c r="R78" t="str">
        <x:v>Not started</x:v>
      </x:c>
      <x:c r="S78" t="str">
        <x:v>Provisional</x:v>
      </x:c>
      <x:c r="T78" t="str">
        <x:v>Verify measured scope, resources and predecessor logic</x:v>
      </x:c>
    </x:row>
    <x:row r="79">
      <x:c r="A79" t="str">
        <x:v>ICW-ICG-UD-11</x:v>
      </x:c>
      <x:c r="B79" t="str">
        <x:v>ICW-ICG-UD</x:v>
      </x:c>
      <x:c r="C79" t="str">
        <x:v>Strengthening</x:v>
      </x:c>
      <x:c r="D79" t="str">
        <x:v>A</x:v>
      </x:c>
      <x:c r="E79" t="str">
        <x:v>Quality</x:v>
      </x:c>
      <x:c r="F79" t="str">
        <x:v>Blast, coat and preserve</x:v>
      </x:c>
      <x:c r="G79" t="str">
        <x:v>ICW-ICG-UD-10</x:v>
      </x:c>
      <x:c r="H79" t="str">
        <x:v>FS</x:v>
      </x:c>
      <x:c r="I79" t="n">
        <x:v>135</x:v>
      </x:c>
      <x:c r="J79" t="n">
        <x:v>165</x:v>
      </x:c>
      <x:c r="K79" t="n">
        <x:v>31</x:v>
      </x:c>
      <x:c r="L79" t="str">
        <x:v>QAQC Manager</x:v>
      </x:c>
      <x:c r="M79" t="str">
        <x:v>m2</x:v>
      </x:c>
      <x:c r="N79"/>
      <x:c r="O79"/>
      <x:c r="P79"/>
      <x:c r="Q79" s="10" t="n">
        <x:v>0</x:v>
      </x:c>
      <x:c r="R79" t="str">
        <x:v>Not started</x:v>
      </x:c>
      <x:c r="S79" t="str">
        <x:v>Provisional</x:v>
      </x:c>
      <x:c r="T79" t="str">
        <x:v>Verify measured scope, resources and predecessor logic</x:v>
      </x:c>
    </x:row>
    <x:row r="80">
      <x:c r="A80" t="str">
        <x:v>ICW-ICG-UD-13</x:v>
      </x:c>
      <x:c r="B80" t="str">
        <x:v>ICW-ICG-UD</x:v>
      </x:c>
      <x:c r="C80" t="str">
        <x:v>Strengthening</x:v>
      </x:c>
      <x:c r="D80" t="str">
        <x:v>A</x:v>
      </x:c>
      <x:c r="E80" t="str">
        <x:v>Logistics</x:v>
      </x:c>
      <x:c r="F80" t="str">
        <x:v>Cargo manifest and shore base transfer</x:v>
      </x:c>
      <x:c r="G80" t="str"/>
      <x:c r="H80" t="str">
        <x:v>FS</x:v>
      </x:c>
      <x:c r="I80" t="n">
        <x:v>135</x:v>
      </x:c>
      <x:c r="J80" t="n">
        <x:v>175</x:v>
      </x:c>
      <x:c r="K80" t="n">
        <x:v>41</x:v>
      </x:c>
      <x:c r="L80" t="str">
        <x:v>Logistics Manager</x:v>
      </x:c>
      <x:c r="M80" t="str">
        <x:v>shipments</x:v>
      </x:c>
      <x:c r="N80"/>
      <x:c r="O80"/>
      <x:c r="P80"/>
      <x:c r="Q80" s="10" t="n">
        <x:v>0</x:v>
      </x:c>
      <x:c r="R80" t="str">
        <x:v>Not started</x:v>
      </x:c>
      <x:c r="S80" t="str">
        <x:v>Provisional</x:v>
      </x:c>
      <x:c r="T80" t="str">
        <x:v>Verify measured scope, resources and predecessor logic</x:v>
      </x:c>
    </x:row>
    <x:row r="81">
      <x:c r="A81" t="str">
        <x:v>ICW-ICG-UD-14</x:v>
      </x:c>
      <x:c r="B81" t="str">
        <x:v>ICW-ICG-UD</x:v>
      </x:c>
      <x:c r="C81" t="str">
        <x:v>Strengthening</x:v>
      </x:c>
      <x:c r="D81" t="str">
        <x:v>A</x:v>
      </x:c>
      <x:c r="E81" t="str">
        <x:v>Marine</x:v>
      </x:c>
      <x:c r="F81" t="str">
        <x:v>Vessel technical selection and assurance</x:v>
      </x:c>
      <x:c r="G81" t="str"/>
      <x:c r="H81" t="str">
        <x:v>FS</x:v>
      </x:c>
      <x:c r="I81" t="n">
        <x:v>45</x:v>
      </x:c>
      <x:c r="J81" t="n">
        <x:v>135</x:v>
      </x:c>
      <x:c r="K81" t="n">
        <x:v>91</x:v>
      </x:c>
      <x:c r="L81" t="str">
        <x:v>Marine Manager</x:v>
      </x:c>
      <x:c r="M81" t="str">
        <x:v>vessel</x:v>
      </x:c>
      <x:c r="N81"/>
      <x:c r="O81"/>
      <x:c r="P81"/>
      <x:c r="Q81" s="10" t="n">
        <x:v>0</x:v>
      </x:c>
      <x:c r="R81" t="str">
        <x:v>Not started</x:v>
      </x:c>
      <x:c r="S81" t="str">
        <x:v>Provisional</x:v>
      </x:c>
      <x:c r="T81" t="str">
        <x:v>Verify measured scope, resources and predecessor logic</x:v>
      </x:c>
    </x:row>
    <x:row r="82">
      <x:c r="A82" t="str">
        <x:v>ICW-ICG-UD-16</x:v>
      </x:c>
      <x:c r="B82" t="str">
        <x:v>ICW-ICG-UD</x:v>
      </x:c>
      <x:c r="C82" t="str">
        <x:v>Strengthening</x:v>
      </x:c>
      <x:c r="D82" t="str">
        <x:v>A</x:v>
      </x:c>
      <x:c r="E82" t="str">
        <x:v>Offshore</x:v>
      </x:c>
      <x:c r="F82" t="str">
        <x:v>Access and permit readiness</x:v>
      </x:c>
      <x:c r="G82" t="str"/>
      <x:c r="H82" t="str">
        <x:v>FS</x:v>
      </x:c>
      <x:c r="I82" t="n">
        <x:v>60</x:v>
      </x:c>
      <x:c r="J82" t="n">
        <x:v>140</x:v>
      </x:c>
      <x:c r="K82" t="n">
        <x:v>81</x:v>
      </x:c>
      <x:c r="L82" t="str">
        <x:v>Offshore Manager</x:v>
      </x:c>
      <x:c r="M82" t="str">
        <x:v>fronts</x:v>
      </x:c>
      <x:c r="N82"/>
      <x:c r="O82"/>
      <x:c r="P82"/>
      <x:c r="Q82" s="10" t="n">
        <x:v>0</x:v>
      </x:c>
      <x:c r="R82" t="str">
        <x:v>Not started</x:v>
      </x:c>
      <x:c r="S82" t="str">
        <x:v>Provisional</x:v>
      </x:c>
      <x:c r="T82" t="str">
        <x:v>Verify measured scope, resources and predecessor logic</x:v>
      </x:c>
    </x:row>
    <x:row r="83">
      <x:c r="A83" t="str">
        <x:v>ICW-ICG-UD-17</x:v>
      </x:c>
      <x:c r="B83" t="str">
        <x:v>ICW-ICG-UD</x:v>
      </x:c>
      <x:c r="C83" t="str">
        <x:v>Strengthening</x:v>
      </x:c>
      <x:c r="D83" t="str">
        <x:v>A</x:v>
      </x:c>
      <x:c r="E83" t="str">
        <x:v>Offshore</x:v>
      </x:c>
      <x:c r="F83" t="str">
        <x:v>Temporary access and works</x:v>
      </x:c>
      <x:c r="G83" t="str">
        <x:v>ICW-ICG-UD-16</x:v>
      </x:c>
      <x:c r="H83" t="str">
        <x:v>FS</x:v>
      </x:c>
      <x:c r="I83" t="n">
        <x:v>85</x:v>
      </x:c>
      <x:c r="J83" t="n">
        <x:v>175</x:v>
      </x:c>
      <x:c r="K83" t="n">
        <x:v>91</x:v>
      </x:c>
      <x:c r="L83" t="str">
        <x:v>Offshore Manager</x:v>
      </x:c>
      <x:c r="M83" t="str">
        <x:v>workfronts</x:v>
      </x:c>
      <x:c r="N83"/>
      <x:c r="O83"/>
      <x:c r="P83"/>
      <x:c r="Q83" s="10" t="n">
        <x:v>0</x:v>
      </x:c>
      <x:c r="R83" t="str">
        <x:v>Not started</x:v>
      </x:c>
      <x:c r="S83" t="str">
        <x:v>Provisional</x:v>
      </x:c>
      <x:c r="T83" t="str">
        <x:v>Verify measured scope, resources and predecessor logic</x:v>
      </x:c>
    </x:row>
    <x:row r="84">
      <x:c r="A84" t="str">
        <x:v>ICW-ICG-UD-18</x:v>
      </x:c>
      <x:c r="B84" t="str">
        <x:v>ICW-ICG-UD</x:v>
      </x:c>
      <x:c r="C84" t="str">
        <x:v>Strengthening</x:v>
      </x:c>
      <x:c r="D84" t="str">
        <x:v>A</x:v>
      </x:c>
      <x:c r="E84" t="str">
        <x:v>Offshore</x:v>
      </x:c>
      <x:c r="F84" t="str">
        <x:v>Structural fit-up or landing</x:v>
      </x:c>
      <x:c r="G84" t="str">
        <x:v>ICW-ICG-UD-17</x:v>
      </x:c>
      <x:c r="H84" t="str">
        <x:v>FS</x:v>
      </x:c>
      <x:c r="I84" t="n">
        <x:v>110</x:v>
      </x:c>
      <x:c r="J84" t="n">
        <x:v>200</x:v>
      </x:c>
      <x:c r="K84" t="n">
        <x:v>91</x:v>
      </x:c>
      <x:c r="L84" t="str">
        <x:v>Offshore Manager</x:v>
      </x:c>
      <x:c r="M84" t="str">
        <x:v>assemblies</x:v>
      </x:c>
      <x:c r="N84"/>
      <x:c r="O84"/>
      <x:c r="P84"/>
      <x:c r="Q84" s="10" t="n">
        <x:v>0</x:v>
      </x:c>
      <x:c r="R84" t="str">
        <x:v>Not started</x:v>
      </x:c>
      <x:c r="S84" t="str">
        <x:v>Provisional</x:v>
      </x:c>
      <x:c r="T84" t="str">
        <x:v>Verify measured scope, resources and predecessor logic</x:v>
      </x:c>
    </x:row>
    <x:row r="85">
      <x:c r="A85" t="str">
        <x:v>ICW-ICG-UD-19</x:v>
      </x:c>
      <x:c r="B85" t="str">
        <x:v>ICW-ICG-UD</x:v>
      </x:c>
      <x:c r="C85" t="str">
        <x:v>Strengthening</x:v>
      </x:c>
      <x:c r="D85" t="str">
        <x:v>A</x:v>
      </x:c>
      <x:c r="E85" t="str">
        <x:v>Offshore</x:v>
      </x:c>
      <x:c r="F85" t="str">
        <x:v>Connection welding and bolting</x:v>
      </x:c>
      <x:c r="G85" t="str">
        <x:v>ICW-ICG-UD-18</x:v>
      </x:c>
      <x:c r="H85" t="str">
        <x:v>FS</x:v>
      </x:c>
      <x:c r="I85" t="n">
        <x:v>125</x:v>
      </x:c>
      <x:c r="J85" t="n">
        <x:v>215</x:v>
      </x:c>
      <x:c r="K85" t="n">
        <x:v>91</x:v>
      </x:c>
      <x:c r="L85" t="str">
        <x:v>Offshore Manager</x:v>
      </x:c>
      <x:c r="M85" t="str">
        <x:v>joints</x:v>
      </x:c>
      <x:c r="N85"/>
      <x:c r="O85"/>
      <x:c r="P85"/>
      <x:c r="Q85" s="10" t="n">
        <x:v>0</x:v>
      </x:c>
      <x:c r="R85" t="str">
        <x:v>Not started</x:v>
      </x:c>
      <x:c r="S85" t="str">
        <x:v>Provisional</x:v>
      </x:c>
      <x:c r="T85" t="str">
        <x:v>Verify measured scope, resources and predecessor logic</x:v>
      </x:c>
    </x:row>
    <x:row r="86">
      <x:c r="A86" t="str">
        <x:v>ICW-ICG-UD-20</x:v>
      </x:c>
      <x:c r="B86" t="str">
        <x:v>ICW-ICG-UD</x:v>
      </x:c>
      <x:c r="C86" t="str">
        <x:v>Strengthening</x:v>
      </x:c>
      <x:c r="D86" t="str">
        <x:v>A</x:v>
      </x:c>
      <x:c r="E86" t="str">
        <x:v>Offshore</x:v>
      </x:c>
      <x:c r="F86" t="str">
        <x:v>Inspection and coating restoration</x:v>
      </x:c>
      <x:c r="G86" t="str">
        <x:v>ICW-ICG-UD-19</x:v>
      </x:c>
      <x:c r="H86" t="str">
        <x:v>FS</x:v>
      </x:c>
      <x:c r="I86" t="n">
        <x:v>145</x:v>
      </x:c>
      <x:c r="J86" t="n">
        <x:v>235</x:v>
      </x:c>
      <x:c r="K86" t="n">
        <x:v>91</x:v>
      </x:c>
      <x:c r="L86" t="str">
        <x:v>QAQC Manager</x:v>
      </x:c>
      <x:c r="M86" t="str">
        <x:v>joints</x:v>
      </x:c>
      <x:c r="N86"/>
      <x:c r="O86"/>
      <x:c r="P86"/>
      <x:c r="Q86" s="10" t="n">
        <x:v>0</x:v>
      </x:c>
      <x:c r="R86" t="str">
        <x:v>Not started</x:v>
      </x:c>
      <x:c r="S86" t="str">
        <x:v>Provisional</x:v>
      </x:c>
      <x:c r="T86" t="str">
        <x:v>Verify measured scope, resources and predecessor logic</x:v>
      </x:c>
    </x:row>
    <x:row r="87">
      <x:c r="A87" t="str">
        <x:v>ICW-ICG-UD-21</x:v>
      </x:c>
      <x:c r="B87" t="str">
        <x:v>ICW-ICG-UD</x:v>
      </x:c>
      <x:c r="C87" t="str">
        <x:v>Strengthening</x:v>
      </x:c>
      <x:c r="D87" t="str">
        <x:v>A</x:v>
      </x:c>
      <x:c r="E87" t="str">
        <x:v>Closeout</x:v>
      </x:c>
      <x:c r="F87" t="str">
        <x:v>Punch closure and dossier</x:v>
      </x:c>
      <x:c r="G87" t="str"/>
      <x:c r="H87" t="str">
        <x:v>FS</x:v>
      </x:c>
      <x:c r="I87" t="n">
        <x:v>235</x:v>
      </x:c>
      <x:c r="J87" t="n">
        <x:v>320</x:v>
      </x:c>
      <x:c r="K87" t="n">
        <x:v>86</x:v>
      </x:c>
      <x:c r="L87" t="str">
        <x:v>Completion Manager</x:v>
      </x:c>
      <x:c r="M87" t="str">
        <x:v>packs</x:v>
      </x:c>
      <x:c r="N87"/>
      <x:c r="O87"/>
      <x:c r="P87"/>
      <x:c r="Q87" s="10" t="n">
        <x:v>0</x:v>
      </x:c>
      <x:c r="R87" t="str">
        <x:v>Not started</x:v>
      </x:c>
      <x:c r="S87" t="str">
        <x:v>Provisional</x:v>
      </x:c>
      <x:c r="T87" t="str">
        <x:v>Verify measured scope, resources and predecessor logic</x:v>
      </x:c>
    </x:row>
    <x:row r="88">
      <x:c r="A88" t="str">
        <x:v>ICW-ICG-UD-22</x:v>
      </x:c>
      <x:c r="B88" t="str">
        <x:v>ICW-ICG-UD</x:v>
      </x:c>
      <x:c r="C88" t="str">
        <x:v>Strengthening</x:v>
      </x:c>
      <x:c r="D88" t="str">
        <x:v>A</x:v>
      </x:c>
      <x:c r="E88" t="str">
        <x:v>Closeout</x:v>
      </x:c>
      <x:c r="F88" t="str">
        <x:v>Client acceptance and final handover</x:v>
      </x:c>
      <x:c r="G88" t="str">
        <x:v>ICW-ICG-UD-21</x:v>
      </x:c>
      <x:c r="H88" t="str">
        <x:v>FS</x:v>
      </x:c>
      <x:c r="I88" t="n">
        <x:v>300</x:v>
      </x:c>
      <x:c r="J88" t="n">
        <x:v>350</x:v>
      </x:c>
      <x:c r="K88" t="n">
        <x:v>51</x:v>
      </x:c>
      <x:c r="L88" t="str">
        <x:v>Project Director</x:v>
      </x:c>
      <x:c r="M88" t="str">
        <x:v>milestones</x:v>
      </x:c>
      <x:c r="N88"/>
      <x:c r="O88"/>
      <x:c r="P88"/>
      <x:c r="Q88" s="10" t="n">
        <x:v>0</x:v>
      </x:c>
      <x:c r="R88" t="str">
        <x:v>Not started</x:v>
      </x:c>
      <x:c r="S88" t="str">
        <x:v>Provisional</x:v>
      </x:c>
      <x:c r="T88" t="str">
        <x:v>Verify measured scope, resources and predecessor logic</x:v>
      </x:c>
    </x:row>
    <x:row r="89">
      <x:c r="A89" t="str">
        <x:v>ICG-ICP-UD-01</x:v>
      </x:c>
      <x:c r="B89" t="str">
        <x:v>ICG-ICP-UD</x:v>
      </x:c>
      <x:c r="C89" t="str">
        <x:v>Strengthening</x:v>
      </x:c>
      <x:c r="D89" t="str">
        <x:v>A</x:v>
      </x:c>
      <x:c r="E89" t="str">
        <x:v>Engineering</x:v>
      </x:c>
      <x:c r="F89" t="str">
        <x:v>Existing-condition survey</x:v>
      </x:c>
      <x:c r="G89" t="str"/>
      <x:c r="H89" t="str">
        <x:v>FS</x:v>
      </x:c>
      <x:c r="I89" t="n">
        <x:v>13</x:v>
      </x:c>
      <x:c r="J89" t="n">
        <x:v>40</x:v>
      </x:c>
      <x:c r="K89" t="n">
        <x:v>28</x:v>
      </x:c>
      <x:c r="L89" t="str">
        <x:v>Engineering Manager</x:v>
      </x:c>
      <x:c r="M89" t="str">
        <x:v>survey</x:v>
      </x:c>
      <x:c r="N89"/>
      <x:c r="O89"/>
      <x:c r="P89"/>
      <x:c r="Q89" s="10" t="n">
        <x:v>0</x:v>
      </x:c>
      <x:c r="R89" t="str">
        <x:v>Not started</x:v>
      </x:c>
      <x:c r="S89" t="str">
        <x:v>Provisional</x:v>
      </x:c>
      <x:c r="T89" t="str">
        <x:v>Verify measured scope, resources and predecessor logic</x:v>
      </x:c>
    </x:row>
    <x:row r="90">
      <x:c r="A90" t="str">
        <x:v>ICG-ICP-UD-02</x:v>
      </x:c>
      <x:c r="B90" t="str">
        <x:v>ICG-ICP-UD</x:v>
      </x:c>
      <x:c r="C90" t="str">
        <x:v>Strengthening</x:v>
      </x:c>
      <x:c r="D90" t="str">
        <x:v>A</x:v>
      </x:c>
      <x:c r="E90" t="str">
        <x:v>Engineering</x:v>
      </x:c>
      <x:c r="F90" t="str">
        <x:v>Design basis and interface verification</x:v>
      </x:c>
      <x:c r="G90" t="str">
        <x:v>ICG-ICP-UD-01</x:v>
      </x:c>
      <x:c r="H90" t="str">
        <x:v>FS</x:v>
      </x:c>
      <x:c r="I90" t="n">
        <x:v>27</x:v>
      </x:c>
      <x:c r="J90" t="n">
        <x:v>50</x:v>
      </x:c>
      <x:c r="K90" t="n">
        <x:v>24</x:v>
      </x:c>
      <x:c r="L90" t="str">
        <x:v>Engineering Manager</x:v>
      </x:c>
      <x:c r="M90" t="str">
        <x:v>design</x:v>
      </x:c>
      <x:c r="N90"/>
      <x:c r="O90"/>
      <x:c r="P90"/>
      <x:c r="Q90" s="10" t="n">
        <x:v>0</x:v>
      </x:c>
      <x:c r="R90" t="str">
        <x:v>Not started</x:v>
      </x:c>
      <x:c r="S90" t="str">
        <x:v>Provisional</x:v>
      </x:c>
      <x:c r="T90" t="str">
        <x:v>Verify measured scope, resources and predecessor logic</x:v>
      </x:c>
    </x:row>
    <x:row r="91">
      <x:c r="A91" t="str">
        <x:v>ICG-ICP-UD-03</x:v>
      </x:c>
      <x:c r="B91" t="str">
        <x:v>ICG-ICP-UD</x:v>
      </x:c>
      <x:c r="C91" t="str">
        <x:v>Strengthening</x:v>
      </x:c>
      <x:c r="D91" t="str">
        <x:v>A</x:v>
      </x:c>
      <x:c r="E91" t="str">
        <x:v>Engineering</x:v>
      </x:c>
      <x:c r="F91" t="str">
        <x:v>Detailed structural and temporary works engineering</x:v>
      </x:c>
      <x:c r="G91" t="str">
        <x:v>ICG-ICP-UD-02</x:v>
      </x:c>
      <x:c r="H91" t="str">
        <x:v>FS</x:v>
      </x:c>
      <x:c r="I91" t="n">
        <x:v>40</x:v>
      </x:c>
      <x:c r="J91" t="n">
        <x:v>104</x:v>
      </x:c>
      <x:c r="K91" t="n">
        <x:v>65</x:v>
      </x:c>
      <x:c r="L91" t="str">
        <x:v>Engineering Manager</x:v>
      </x:c>
      <x:c r="M91" t="str">
        <x:v>design</x:v>
      </x:c>
      <x:c r="N91"/>
      <x:c r="O91"/>
      <x:c r="P91"/>
      <x:c r="Q91" s="10" t="n">
        <x:v>0</x:v>
      </x:c>
      <x:c r="R91" t="str">
        <x:v>Not started</x:v>
      </x:c>
      <x:c r="S91" t="str">
        <x:v>Provisional</x:v>
      </x:c>
      <x:c r="T91" t="str">
        <x:v>Verify measured scope, resources and predecessor logic</x:v>
      </x:c>
    </x:row>
    <x:row r="92">
      <x:c r="A92" t="str">
        <x:v>ICG-ICP-UD-04</x:v>
      </x:c>
      <x:c r="B92" t="str">
        <x:v>ICG-ICP-UD</x:v>
      </x:c>
      <x:c r="C92" t="str">
        <x:v>Strengthening</x:v>
      </x:c>
      <x:c r="D92" t="str">
        <x:v>A</x:v>
      </x:c>
      <x:c r="E92" t="str">
        <x:v>Engineering</x:v>
      </x:c>
      <x:c r="F92" t="str">
        <x:v>Fabrication drawing release</x:v>
      </x:c>
      <x:c r="G92" t="str">
        <x:v>ICG-ICP-UD-03</x:v>
      </x:c>
      <x:c r="H92" t="str">
        <x:v>FS</x:v>
      </x:c>
      <x:c r="I92" t="n">
        <x:v>60</x:v>
      </x:c>
      <x:c r="J92" t="n">
        <x:v>117</x:v>
      </x:c>
      <x:c r="K92" t="n">
        <x:v>58</x:v>
      </x:c>
      <x:c r="L92" t="str">
        <x:v>Engineering Manager</x:v>
      </x:c>
      <x:c r="M92" t="str">
        <x:v>drawing</x:v>
      </x:c>
      <x:c r="N92"/>
      <x:c r="O92"/>
      <x:c r="P92"/>
      <x:c r="Q92" s="10" t="n">
        <x:v>0</x:v>
      </x:c>
      <x:c r="R92" t="str">
        <x:v>Not started</x:v>
      </x:c>
      <x:c r="S92" t="str">
        <x:v>Provisional</x:v>
      </x:c>
      <x:c r="T92" t="str">
        <x:v>Verify measured scope, resources and predecessor logic</x:v>
      </x:c>
    </x:row>
    <x:row r="93">
      <x:c r="A93" t="str">
        <x:v>ICG-ICP-UD-05</x:v>
      </x:c>
      <x:c r="B93" t="str">
        <x:v>ICG-ICP-UD</x:v>
      </x:c>
      <x:c r="C93" t="str">
        <x:v>Strengthening</x:v>
      </x:c>
      <x:c r="D93" t="str">
        <x:v>A</x:v>
      </x:c>
      <x:c r="E93" t="str">
        <x:v>Procurement</x:v>
      </x:c>
      <x:c r="F93" t="str">
        <x:v>Material requisitions and vendor approval</x:v>
      </x:c>
      <x:c r="G93" t="str"/>
      <x:c r="H93" t="str">
        <x:v>FS</x:v>
      </x:c>
      <x:c r="I93" t="n">
        <x:v>40</x:v>
      </x:c>
      <x:c r="J93" t="n">
        <x:v>67</x:v>
      </x:c>
      <x:c r="K93" t="n">
        <x:v>28</x:v>
      </x:c>
      <x:c r="L93" t="str">
        <x:v>Procurement Manager</x:v>
      </x:c>
      <x:c r="M93" t="str">
        <x:v>MR</x:v>
      </x:c>
      <x:c r="N93"/>
      <x:c r="O93"/>
      <x:c r="P93"/>
      <x:c r="Q93" s="10" t="n">
        <x:v>0</x:v>
      </x:c>
      <x:c r="R93" t="str">
        <x:v>Not started</x:v>
      </x:c>
      <x:c r="S93" t="str">
        <x:v>Provisional</x:v>
      </x:c>
      <x:c r="T93" t="str">
        <x:v>Verify measured scope, resources and predecessor logic</x:v>
      </x:c>
    </x:row>
    <x:row r="94">
      <x:c r="A94" t="str">
        <x:v>ICG-ICP-UD-06</x:v>
      </x:c>
      <x:c r="B94" t="str">
        <x:v>ICG-ICP-UD</x:v>
      </x:c>
      <x:c r="C94" t="str">
        <x:v>Strengthening</x:v>
      </x:c>
      <x:c r="D94" t="str">
        <x:v>A</x:v>
      </x:c>
      <x:c r="E94" t="str">
        <x:v>Procurement</x:v>
      </x:c>
      <x:c r="F94" t="str">
        <x:v>Steel purchasing and delivery</x:v>
      </x:c>
      <x:c r="G94" t="str">
        <x:v>ICG-ICP-UD-05</x:v>
      </x:c>
      <x:c r="H94" t="str">
        <x:v>FS</x:v>
      </x:c>
      <x:c r="I94" t="n">
        <x:v>60</x:v>
      </x:c>
      <x:c r="J94" t="n">
        <x:v>122</x:v>
      </x:c>
      <x:c r="K94" t="n">
        <x:v>63</x:v>
      </x:c>
      <x:c r="L94" t="str">
        <x:v>Procurement Manager</x:v>
      </x:c>
      <x:c r="M94" t="str">
        <x:v>MT</x:v>
      </x:c>
      <x:c r="N94"/>
      <x:c r="O94"/>
      <x:c r="P94"/>
      <x:c r="Q94" s="10" t="n">
        <x:v>0</x:v>
      </x:c>
      <x:c r="R94" t="str">
        <x:v>Not started</x:v>
      </x:c>
      <x:c r="S94" t="str">
        <x:v>Provisional</x:v>
      </x:c>
      <x:c r="T94" t="str">
        <x:v>Verify measured scope, resources and predecessor logic</x:v>
      </x:c>
    </x:row>
    <x:row r="95">
      <x:c r="A95" t="str">
        <x:v>ICG-ICP-UD-07</x:v>
      </x:c>
      <x:c r="B95" t="str">
        <x:v>ICG-ICP-UD</x:v>
      </x:c>
      <x:c r="C95" t="str">
        <x:v>Strengthening</x:v>
      </x:c>
      <x:c r="D95" t="str">
        <x:v>A</x:v>
      </x:c>
      <x:c r="E95" t="str">
        <x:v>Fabrication</x:v>
      </x:c>
      <x:c r="F95" t="str">
        <x:v>Cutting and material preparation</x:v>
      </x:c>
      <x:c r="G95" t="str"/>
      <x:c r="H95" t="str">
        <x:v>FS</x:v>
      </x:c>
      <x:c r="I95" t="n">
        <x:v>87</x:v>
      </x:c>
      <x:c r="J95" t="n">
        <x:v>117</x:v>
      </x:c>
      <x:c r="K95" t="n">
        <x:v>31</x:v>
      </x:c>
      <x:c r="L95" t="str">
        <x:v>Fabrication Manager</x:v>
      </x:c>
      <x:c r="M95" t="str">
        <x:v>pieces</x:v>
      </x:c>
      <x:c r="N95"/>
      <x:c r="O95"/>
      <x:c r="P95"/>
      <x:c r="Q95" s="10" t="n">
        <x:v>0</x:v>
      </x:c>
      <x:c r="R95" t="str">
        <x:v>Not started</x:v>
      </x:c>
      <x:c r="S95" t="str">
        <x:v>Provisional</x:v>
      </x:c>
      <x:c r="T95" t="str">
        <x:v>Verify measured scope, resources and predecessor logic</x:v>
      </x:c>
    </x:row>
    <x:row r="96">
      <x:c r="A96" t="str">
        <x:v>ICG-ICP-UD-08</x:v>
      </x:c>
      <x:c r="B96" t="str">
        <x:v>ICG-ICP-UD</x:v>
      </x:c>
      <x:c r="C96" t="str">
        <x:v>Strengthening</x:v>
      </x:c>
      <x:c r="D96" t="str">
        <x:v>A</x:v>
      </x:c>
      <x:c r="E96" t="str">
        <x:v>Fabrication</x:v>
      </x:c>
      <x:c r="F96" t="str">
        <x:v>Assembly and fit-up</x:v>
      </x:c>
      <x:c r="G96" t="str">
        <x:v>ICG-ICP-UD-07</x:v>
      </x:c>
      <x:c r="H96" t="str">
        <x:v>FS</x:v>
      </x:c>
      <x:c r="I96" t="n">
        <x:v>102</x:v>
      </x:c>
      <x:c r="J96" t="n">
        <x:v>147</x:v>
      </x:c>
      <x:c r="K96" t="n">
        <x:v>46</x:v>
      </x:c>
      <x:c r="L96" t="str">
        <x:v>Fabrication Manager</x:v>
      </x:c>
      <x:c r="M96" t="str">
        <x:v>assemblies</x:v>
      </x:c>
      <x:c r="N96"/>
      <x:c r="O96"/>
      <x:c r="P96"/>
      <x:c r="Q96" s="10" t="n">
        <x:v>0</x:v>
      </x:c>
      <x:c r="R96" t="str">
        <x:v>Not started</x:v>
      </x:c>
      <x:c r="S96" t="str">
        <x:v>Provisional</x:v>
      </x:c>
      <x:c r="T96" t="str">
        <x:v>Verify measured scope, resources and predecessor logic</x:v>
      </x:c>
    </x:row>
    <x:row r="97">
      <x:c r="A97" t="str">
        <x:v>ICG-ICP-UD-09</x:v>
      </x:c>
      <x:c r="B97" t="str">
        <x:v>ICG-ICP-UD</x:v>
      </x:c>
      <x:c r="C97" t="str">
        <x:v>Strengthening</x:v>
      </x:c>
      <x:c r="D97" t="str">
        <x:v>A</x:v>
      </x:c>
      <x:c r="E97" t="str">
        <x:v>Fabrication</x:v>
      </x:c>
      <x:c r="F97" t="str">
        <x:v>Shop welding</x:v>
      </x:c>
      <x:c r="G97" t="str">
        <x:v>ICG-ICP-UD-08</x:v>
      </x:c>
      <x:c r="H97" t="str">
        <x:v>FS</x:v>
      </x:c>
      <x:c r="I97" t="n">
        <x:v>115</x:v>
      </x:c>
      <x:c r="J97" t="n">
        <x:v>160</x:v>
      </x:c>
      <x:c r="K97" t="n">
        <x:v>46</x:v>
      </x:c>
      <x:c r="L97" t="str">
        <x:v>Fabrication Manager</x:v>
      </x:c>
      <x:c r="M97" t="str">
        <x:v>weld-m</x:v>
      </x:c>
      <x:c r="N97"/>
      <x:c r="O97"/>
      <x:c r="P97"/>
      <x:c r="Q97" s="10" t="n">
        <x:v>0</x:v>
      </x:c>
      <x:c r="R97" t="str">
        <x:v>Not started</x:v>
      </x:c>
      <x:c r="S97" t="str">
        <x:v>Provisional</x:v>
      </x:c>
      <x:c r="T97" t="str">
        <x:v>Verify measured scope, resources and predecessor logic</x:v>
      </x:c>
    </x:row>
    <x:row r="98">
      <x:c r="A98" t="str">
        <x:v>ICG-ICP-UD-10</x:v>
      </x:c>
      <x:c r="B98" t="str">
        <x:v>ICG-ICP-UD</x:v>
      </x:c>
      <x:c r="C98" t="str">
        <x:v>Strengthening</x:v>
      </x:c>
      <x:c r="D98" t="str">
        <x:v>A</x:v>
      </x:c>
      <x:c r="E98" t="str">
        <x:v>Quality</x:v>
      </x:c>
      <x:c r="F98" t="str">
        <x:v>NDT and dimensional acceptance</x:v>
      </x:c>
      <x:c r="G98" t="str"/>
      <x:c r="H98" t="str">
        <x:v>FS</x:v>
      </x:c>
      <x:c r="I98" t="n">
        <x:v>132</x:v>
      </x:c>
      <x:c r="J98" t="n">
        <x:v>169</x:v>
      </x:c>
      <x:c r="K98" t="n">
        <x:v>38</x:v>
      </x:c>
      <x:c r="L98" t="str">
        <x:v>QAQC Manager</x:v>
      </x:c>
      <x:c r="M98" t="str">
        <x:v>joints</x:v>
      </x:c>
      <x:c r="N98"/>
      <x:c r="O98"/>
      <x:c r="P98"/>
      <x:c r="Q98" s="10" t="n">
        <x:v>0</x:v>
      </x:c>
      <x:c r="R98" t="str">
        <x:v>Not started</x:v>
      </x:c>
      <x:c r="S98" t="str">
        <x:v>Provisional</x:v>
      </x:c>
      <x:c r="T98" t="str">
        <x:v>Verify measured scope, resources and predecessor logic</x:v>
      </x:c>
    </x:row>
    <x:row r="99">
      <x:c r="A99" t="str">
        <x:v>ICG-ICP-UD-11</x:v>
      </x:c>
      <x:c r="B99" t="str">
        <x:v>ICG-ICP-UD</x:v>
      </x:c>
      <x:c r="C99" t="str">
        <x:v>Strengthening</x:v>
      </x:c>
      <x:c r="D99" t="str">
        <x:v>A</x:v>
      </x:c>
      <x:c r="E99" t="str">
        <x:v>Quality</x:v>
      </x:c>
      <x:c r="F99" t="str">
        <x:v>Blast, coat and preserve</x:v>
      </x:c>
      <x:c r="G99" t="str">
        <x:v>ICG-ICP-UD-10</x:v>
      </x:c>
      <x:c r="H99" t="str">
        <x:v>FS</x:v>
      </x:c>
      <x:c r="I99" t="n">
        <x:v>147</x:v>
      </x:c>
      <x:c r="J99" t="n">
        <x:v>177</x:v>
      </x:c>
      <x:c r="K99" t="n">
        <x:v>31</x:v>
      </x:c>
      <x:c r="L99" t="str">
        <x:v>QAQC Manager</x:v>
      </x:c>
      <x:c r="M99" t="str">
        <x:v>m2</x:v>
      </x:c>
      <x:c r="N99"/>
      <x:c r="O99"/>
      <x:c r="P99"/>
      <x:c r="Q99" s="10" t="n">
        <x:v>0</x:v>
      </x:c>
      <x:c r="R99" t="str">
        <x:v>Not started</x:v>
      </x:c>
      <x:c r="S99" t="str">
        <x:v>Provisional</x:v>
      </x:c>
      <x:c r="T99" t="str">
        <x:v>Verify measured scope, resources and predecessor logic</x:v>
      </x:c>
    </x:row>
    <x:row r="100">
      <x:c r="A100" t="str">
        <x:v>ICG-ICP-UD-13</x:v>
      </x:c>
      <x:c r="B100" t="str">
        <x:v>ICG-ICP-UD</x:v>
      </x:c>
      <x:c r="C100" t="str">
        <x:v>Strengthening</x:v>
      </x:c>
      <x:c r="D100" t="str">
        <x:v>A</x:v>
      </x:c>
      <x:c r="E100" t="str">
        <x:v>Logistics</x:v>
      </x:c>
      <x:c r="F100" t="str">
        <x:v>Cargo manifest and shore base transfer</x:v>
      </x:c>
      <x:c r="G100" t="str"/>
      <x:c r="H100" t="str">
        <x:v>FS</x:v>
      </x:c>
      <x:c r="I100" t="n">
        <x:v>147</x:v>
      </x:c>
      <x:c r="J100" t="n">
        <x:v>187</x:v>
      </x:c>
      <x:c r="K100" t="n">
        <x:v>41</x:v>
      </x:c>
      <x:c r="L100" t="str">
        <x:v>Logistics Manager</x:v>
      </x:c>
      <x:c r="M100" t="str">
        <x:v>shipments</x:v>
      </x:c>
      <x:c r="N100"/>
      <x:c r="O100"/>
      <x:c r="P100"/>
      <x:c r="Q100" s="10" t="n">
        <x:v>0</x:v>
      </x:c>
      <x:c r="R100" t="str">
        <x:v>Not started</x:v>
      </x:c>
      <x:c r="S100" t="str">
        <x:v>Provisional</x:v>
      </x:c>
      <x:c r="T100" t="str">
        <x:v>Verify measured scope, resources and predecessor logic</x:v>
      </x:c>
    </x:row>
    <x:row r="101">
      <x:c r="A101" t="str">
        <x:v>ICG-ICP-UD-14</x:v>
      </x:c>
      <x:c r="B101" t="str">
        <x:v>ICG-ICP-UD</x:v>
      </x:c>
      <x:c r="C101" t="str">
        <x:v>Strengthening</x:v>
      </x:c>
      <x:c r="D101" t="str">
        <x:v>A</x:v>
      </x:c>
      <x:c r="E101" t="str">
        <x:v>Marine</x:v>
      </x:c>
      <x:c r="F101" t="str">
        <x:v>Vessel technical selection and assurance</x:v>
      </x:c>
      <x:c r="G101" t="str"/>
      <x:c r="H101" t="str">
        <x:v>FS</x:v>
      </x:c>
      <x:c r="I101" t="n">
        <x:v>57</x:v>
      </x:c>
      <x:c r="J101" t="n">
        <x:v>147</x:v>
      </x:c>
      <x:c r="K101" t="n">
        <x:v>91</x:v>
      </x:c>
      <x:c r="L101" t="str">
        <x:v>Marine Manager</x:v>
      </x:c>
      <x:c r="M101" t="str">
        <x:v>vessel</x:v>
      </x:c>
      <x:c r="N101"/>
      <x:c r="O101"/>
      <x:c r="P101"/>
      <x:c r="Q101" s="10" t="n">
        <x:v>0</x:v>
      </x:c>
      <x:c r="R101" t="str">
        <x:v>Not started</x:v>
      </x:c>
      <x:c r="S101" t="str">
        <x:v>Provisional</x:v>
      </x:c>
      <x:c r="T101" t="str">
        <x:v>Verify measured scope, resources and predecessor logic</x:v>
      </x:c>
    </x:row>
    <x:row r="102">
      <x:c r="A102" t="str">
        <x:v>ICG-ICP-UD-16</x:v>
      </x:c>
      <x:c r="B102" t="str">
        <x:v>ICG-ICP-UD</x:v>
      </x:c>
      <x:c r="C102" t="str">
        <x:v>Strengthening</x:v>
      </x:c>
      <x:c r="D102" t="str">
        <x:v>A</x:v>
      </x:c>
      <x:c r="E102" t="str">
        <x:v>Offshore</x:v>
      </x:c>
      <x:c r="F102" t="str">
        <x:v>Access and permit readiness</x:v>
      </x:c>
      <x:c r="G102" t="str"/>
      <x:c r="H102" t="str">
        <x:v>FS</x:v>
      </x:c>
      <x:c r="I102" t="n">
        <x:v>72</x:v>
      </x:c>
      <x:c r="J102" t="n">
        <x:v>152</x:v>
      </x:c>
      <x:c r="K102" t="n">
        <x:v>81</x:v>
      </x:c>
      <x:c r="L102" t="str">
        <x:v>Offshore Manager</x:v>
      </x:c>
      <x:c r="M102" t="str">
        <x:v>fronts</x:v>
      </x:c>
      <x:c r="N102"/>
      <x:c r="O102"/>
      <x:c r="P102"/>
      <x:c r="Q102" s="10" t="n">
        <x:v>0</x:v>
      </x:c>
      <x:c r="R102" t="str">
        <x:v>Not started</x:v>
      </x:c>
      <x:c r="S102" t="str">
        <x:v>Provisional</x:v>
      </x:c>
      <x:c r="T102" t="str">
        <x:v>Verify measured scope, resources and predecessor logic</x:v>
      </x:c>
    </x:row>
    <x:row r="103">
      <x:c r="A103" t="str">
        <x:v>ICG-ICP-UD-17</x:v>
      </x:c>
      <x:c r="B103" t="str">
        <x:v>ICG-ICP-UD</x:v>
      </x:c>
      <x:c r="C103" t="str">
        <x:v>Strengthening</x:v>
      </x:c>
      <x:c r="D103" t="str">
        <x:v>A</x:v>
      </x:c>
      <x:c r="E103" t="str">
        <x:v>Offshore</x:v>
      </x:c>
      <x:c r="F103" t="str">
        <x:v>Temporary access and works</x:v>
      </x:c>
      <x:c r="G103" t="str">
        <x:v>ICG-ICP-UD-16</x:v>
      </x:c>
      <x:c r="H103" t="str">
        <x:v>FS</x:v>
      </x:c>
      <x:c r="I103" t="n">
        <x:v>97</x:v>
      </x:c>
      <x:c r="J103" t="n">
        <x:v>187</x:v>
      </x:c>
      <x:c r="K103" t="n">
        <x:v>91</x:v>
      </x:c>
      <x:c r="L103" t="str">
        <x:v>Offshore Manager</x:v>
      </x:c>
      <x:c r="M103" t="str">
        <x:v>workfronts</x:v>
      </x:c>
      <x:c r="N103"/>
      <x:c r="O103"/>
      <x:c r="P103"/>
      <x:c r="Q103" s="10" t="n">
        <x:v>0</x:v>
      </x:c>
      <x:c r="R103" t="str">
        <x:v>Not started</x:v>
      </x:c>
      <x:c r="S103" t="str">
        <x:v>Provisional</x:v>
      </x:c>
      <x:c r="T103" t="str">
        <x:v>Verify measured scope, resources and predecessor logic</x:v>
      </x:c>
    </x:row>
    <x:row r="104">
      <x:c r="A104" t="str">
        <x:v>ICG-ICP-UD-18</x:v>
      </x:c>
      <x:c r="B104" t="str">
        <x:v>ICG-ICP-UD</x:v>
      </x:c>
      <x:c r="C104" t="str">
        <x:v>Strengthening</x:v>
      </x:c>
      <x:c r="D104" t="str">
        <x:v>A</x:v>
      </x:c>
      <x:c r="E104" t="str">
        <x:v>Offshore</x:v>
      </x:c>
      <x:c r="F104" t="str">
        <x:v>Structural fit-up or landing</x:v>
      </x:c>
      <x:c r="G104" t="str">
        <x:v>ICG-ICP-UD-17</x:v>
      </x:c>
      <x:c r="H104" t="str">
        <x:v>FS</x:v>
      </x:c>
      <x:c r="I104" t="n">
        <x:v>122</x:v>
      </x:c>
      <x:c r="J104" t="n">
        <x:v>212</x:v>
      </x:c>
      <x:c r="K104" t="n">
        <x:v>91</x:v>
      </x:c>
      <x:c r="L104" t="str">
        <x:v>Offshore Manager</x:v>
      </x:c>
      <x:c r="M104" t="str">
        <x:v>assemblies</x:v>
      </x:c>
      <x:c r="N104"/>
      <x:c r="O104"/>
      <x:c r="P104"/>
      <x:c r="Q104" s="10" t="n">
        <x:v>0</x:v>
      </x:c>
      <x:c r="R104" t="str">
        <x:v>Not started</x:v>
      </x:c>
      <x:c r="S104" t="str">
        <x:v>Provisional</x:v>
      </x:c>
      <x:c r="T104" t="str">
        <x:v>Verify measured scope, resources and predecessor logic</x:v>
      </x:c>
    </x:row>
    <x:row r="105">
      <x:c r="A105" t="str">
        <x:v>ICG-ICP-UD-19</x:v>
      </x:c>
      <x:c r="B105" t="str">
        <x:v>ICG-ICP-UD</x:v>
      </x:c>
      <x:c r="C105" t="str">
        <x:v>Strengthening</x:v>
      </x:c>
      <x:c r="D105" t="str">
        <x:v>A</x:v>
      </x:c>
      <x:c r="E105" t="str">
        <x:v>Offshore</x:v>
      </x:c>
      <x:c r="F105" t="str">
        <x:v>Connection welding and bolting</x:v>
      </x:c>
      <x:c r="G105" t="str">
        <x:v>ICG-ICP-UD-18</x:v>
      </x:c>
      <x:c r="H105" t="str">
        <x:v>FS</x:v>
      </x:c>
      <x:c r="I105" t="n">
        <x:v>137</x:v>
      </x:c>
      <x:c r="J105" t="n">
        <x:v>227</x:v>
      </x:c>
      <x:c r="K105" t="n">
        <x:v>91</x:v>
      </x:c>
      <x:c r="L105" t="str">
        <x:v>Offshore Manager</x:v>
      </x:c>
      <x:c r="M105" t="str">
        <x:v>joints</x:v>
      </x:c>
      <x:c r="N105"/>
      <x:c r="O105"/>
      <x:c r="P105"/>
      <x:c r="Q105" s="10" t="n">
        <x:v>0</x:v>
      </x:c>
      <x:c r="R105" t="str">
        <x:v>Not started</x:v>
      </x:c>
      <x:c r="S105" t="str">
        <x:v>Provisional</x:v>
      </x:c>
      <x:c r="T105" t="str">
        <x:v>Verify measured scope, resources and predecessor logic</x:v>
      </x:c>
    </x:row>
    <x:row r="106">
      <x:c r="A106" t="str">
        <x:v>ICG-ICP-UD-20</x:v>
      </x:c>
      <x:c r="B106" t="str">
        <x:v>ICG-ICP-UD</x:v>
      </x:c>
      <x:c r="C106" t="str">
        <x:v>Strengthening</x:v>
      </x:c>
      <x:c r="D106" t="str">
        <x:v>A</x:v>
      </x:c>
      <x:c r="E106" t="str">
        <x:v>Offshore</x:v>
      </x:c>
      <x:c r="F106" t="str">
        <x:v>Inspection and coating restoration</x:v>
      </x:c>
      <x:c r="G106" t="str">
        <x:v>ICG-ICP-UD-19</x:v>
      </x:c>
      <x:c r="H106" t="str">
        <x:v>FS</x:v>
      </x:c>
      <x:c r="I106" t="n">
        <x:v>157</x:v>
      </x:c>
      <x:c r="J106" t="n">
        <x:v>247</x:v>
      </x:c>
      <x:c r="K106" t="n">
        <x:v>91</x:v>
      </x:c>
      <x:c r="L106" t="str">
        <x:v>QAQC Manager</x:v>
      </x:c>
      <x:c r="M106" t="str">
        <x:v>joints</x:v>
      </x:c>
      <x:c r="N106"/>
      <x:c r="O106"/>
      <x:c r="P106"/>
      <x:c r="Q106" s="10" t="n">
        <x:v>0</x:v>
      </x:c>
      <x:c r="R106" t="str">
        <x:v>Not started</x:v>
      </x:c>
      <x:c r="S106" t="str">
        <x:v>Provisional</x:v>
      </x:c>
      <x:c r="T106" t="str">
        <x:v>Verify measured scope, resources and predecessor logic</x:v>
      </x:c>
    </x:row>
    <x:row r="107">
      <x:c r="A107" t="str">
        <x:v>ICG-ICP-UD-21</x:v>
      </x:c>
      <x:c r="B107" t="str">
        <x:v>ICG-ICP-UD</x:v>
      </x:c>
      <x:c r="C107" t="str">
        <x:v>Strengthening</x:v>
      </x:c>
      <x:c r="D107" t="str">
        <x:v>A</x:v>
      </x:c>
      <x:c r="E107" t="str">
        <x:v>Closeout</x:v>
      </x:c>
      <x:c r="F107" t="str">
        <x:v>Punch closure and dossier</x:v>
      </x:c>
      <x:c r="G107" t="str"/>
      <x:c r="H107" t="str">
        <x:v>FS</x:v>
      </x:c>
      <x:c r="I107" t="n">
        <x:v>247</x:v>
      </x:c>
      <x:c r="J107" t="n">
        <x:v>332</x:v>
      </x:c>
      <x:c r="K107" t="n">
        <x:v>86</x:v>
      </x:c>
      <x:c r="L107" t="str">
        <x:v>Completion Manager</x:v>
      </x:c>
      <x:c r="M107" t="str">
        <x:v>packs</x:v>
      </x:c>
      <x:c r="N107"/>
      <x:c r="O107"/>
      <x:c r="P107"/>
      <x:c r="Q107" s="10" t="n">
        <x:v>0</x:v>
      </x:c>
      <x:c r="R107" t="str">
        <x:v>Not started</x:v>
      </x:c>
      <x:c r="S107" t="str">
        <x:v>Provisional</x:v>
      </x:c>
      <x:c r="T107" t="str">
        <x:v>Verify measured scope, resources and predecessor logic</x:v>
      </x:c>
    </x:row>
    <x:row r="108">
      <x:c r="A108" t="str">
        <x:v>ICG-ICP-UD-22</x:v>
      </x:c>
      <x:c r="B108" t="str">
        <x:v>ICG-ICP-UD</x:v>
      </x:c>
      <x:c r="C108" t="str">
        <x:v>Strengthening</x:v>
      </x:c>
      <x:c r="D108" t="str">
        <x:v>A</x:v>
      </x:c>
      <x:c r="E108" t="str">
        <x:v>Closeout</x:v>
      </x:c>
      <x:c r="F108" t="str">
        <x:v>Client acceptance and final handover</x:v>
      </x:c>
      <x:c r="G108" t="str">
        <x:v>ICG-ICP-UD-21</x:v>
      </x:c>
      <x:c r="H108" t="str">
        <x:v>FS</x:v>
      </x:c>
      <x:c r="I108" t="n">
        <x:v>312</x:v>
      </x:c>
      <x:c r="J108" t="n">
        <x:v>355</x:v>
      </x:c>
      <x:c r="K108" t="n">
        <x:v>44</x:v>
      </x:c>
      <x:c r="L108" t="str">
        <x:v>Project Director</x:v>
      </x:c>
      <x:c r="M108" t="str">
        <x:v>milestones</x:v>
      </x:c>
      <x:c r="N108"/>
      <x:c r="O108"/>
      <x:c r="P108"/>
      <x:c r="Q108" s="10" t="n">
        <x:v>0</x:v>
      </x:c>
      <x:c r="R108" t="str">
        <x:v>Not started</x:v>
      </x:c>
      <x:c r="S108" t="str">
        <x:v>Provisional</x:v>
      </x:c>
      <x:c r="T108" t="str">
        <x:v>Verify measured scope, resources and predecessor logic</x:v>
      </x:c>
    </x:row>
    <x:row r="109">
      <x:c r="A109" t="str">
        <x:v>SLQ-WIS-01</x:v>
      </x:c>
      <x:c r="B109" t="str">
        <x:v>SLQ-WIS</x:v>
      </x:c>
      <x:c r="C109" t="str">
        <x:v>Strengthening</x:v>
      </x:c>
      <x:c r="D109" t="str">
        <x:v>A</x:v>
      </x:c>
      <x:c r="E109" t="str">
        <x:v>Engineering</x:v>
      </x:c>
      <x:c r="F109" t="str">
        <x:v>Existing-condition survey</x:v>
      </x:c>
      <x:c r="G109" t="str"/>
      <x:c r="H109" t="str">
        <x:v>FS</x:v>
      </x:c>
      <x:c r="I109" t="n">
        <x:v>25</x:v>
      </x:c>
      <x:c r="J109" t="n">
        <x:v>52</x:v>
      </x:c>
      <x:c r="K109" t="n">
        <x:v>28</x:v>
      </x:c>
      <x:c r="L109" t="str">
        <x:v>Engineering Manager</x:v>
      </x:c>
      <x:c r="M109" t="str">
        <x:v>survey</x:v>
      </x:c>
      <x:c r="N109"/>
      <x:c r="O109"/>
      <x:c r="P109"/>
      <x:c r="Q109" s="10" t="n">
        <x:v>0</x:v>
      </x:c>
      <x:c r="R109" t="str">
        <x:v>Not started</x:v>
      </x:c>
      <x:c r="S109" t="str">
        <x:v>Provisional</x:v>
      </x:c>
      <x:c r="T109" t="str">
        <x:v>Verify measured scope, resources and predecessor logic</x:v>
      </x:c>
    </x:row>
    <x:row r="110">
      <x:c r="A110" t="str">
        <x:v>SLQ-WIS-02</x:v>
      </x:c>
      <x:c r="B110" t="str">
        <x:v>SLQ-WIS</x:v>
      </x:c>
      <x:c r="C110" t="str">
        <x:v>Strengthening</x:v>
      </x:c>
      <x:c r="D110" t="str">
        <x:v>A</x:v>
      </x:c>
      <x:c r="E110" t="str">
        <x:v>Engineering</x:v>
      </x:c>
      <x:c r="F110" t="str">
        <x:v>Design basis and interface verification</x:v>
      </x:c>
      <x:c r="G110" t="str">
        <x:v>SLQ-WIS-01</x:v>
      </x:c>
      <x:c r="H110" t="str">
        <x:v>FS</x:v>
      </x:c>
      <x:c r="I110" t="n">
        <x:v>39</x:v>
      </x:c>
      <x:c r="J110" t="n">
        <x:v>62</x:v>
      </x:c>
      <x:c r="K110" t="n">
        <x:v>24</x:v>
      </x:c>
      <x:c r="L110" t="str">
        <x:v>Engineering Manager</x:v>
      </x:c>
      <x:c r="M110" t="str">
        <x:v>design</x:v>
      </x:c>
      <x:c r="N110"/>
      <x:c r="O110"/>
      <x:c r="P110"/>
      <x:c r="Q110" s="10" t="n">
        <x:v>0</x:v>
      </x:c>
      <x:c r="R110" t="str">
        <x:v>Not started</x:v>
      </x:c>
      <x:c r="S110" t="str">
        <x:v>Provisional</x:v>
      </x:c>
      <x:c r="T110" t="str">
        <x:v>Verify measured scope, resources and predecessor logic</x:v>
      </x:c>
    </x:row>
    <x:row r="111">
      <x:c r="A111" t="str">
        <x:v>SLQ-WIS-03</x:v>
      </x:c>
      <x:c r="B111" t="str">
        <x:v>SLQ-WIS</x:v>
      </x:c>
      <x:c r="C111" t="str">
        <x:v>Strengthening</x:v>
      </x:c>
      <x:c r="D111" t="str">
        <x:v>A</x:v>
      </x:c>
      <x:c r="E111" t="str">
        <x:v>Engineering</x:v>
      </x:c>
      <x:c r="F111" t="str">
        <x:v>Detailed structural and temporary works engineering</x:v>
      </x:c>
      <x:c r="G111" t="str">
        <x:v>SLQ-WIS-02</x:v>
      </x:c>
      <x:c r="H111" t="str">
        <x:v>FS</x:v>
      </x:c>
      <x:c r="I111" t="n">
        <x:v>52</x:v>
      </x:c>
      <x:c r="J111" t="n">
        <x:v>116</x:v>
      </x:c>
      <x:c r="K111" t="n">
        <x:v>65</x:v>
      </x:c>
      <x:c r="L111" t="str">
        <x:v>Engineering Manager</x:v>
      </x:c>
      <x:c r="M111" t="str">
        <x:v>design</x:v>
      </x:c>
      <x:c r="N111"/>
      <x:c r="O111"/>
      <x:c r="P111"/>
      <x:c r="Q111" s="10" t="n">
        <x:v>0</x:v>
      </x:c>
      <x:c r="R111" t="str">
        <x:v>Not started</x:v>
      </x:c>
      <x:c r="S111" t="str">
        <x:v>Provisional</x:v>
      </x:c>
      <x:c r="T111" t="str">
        <x:v>Verify measured scope, resources and predecessor logic</x:v>
      </x:c>
    </x:row>
    <x:row r="112">
      <x:c r="A112" t="str">
        <x:v>SLQ-WIS-04</x:v>
      </x:c>
      <x:c r="B112" t="str">
        <x:v>SLQ-WIS</x:v>
      </x:c>
      <x:c r="C112" t="str">
        <x:v>Strengthening</x:v>
      </x:c>
      <x:c r="D112" t="str">
        <x:v>A</x:v>
      </x:c>
      <x:c r="E112" t="str">
        <x:v>Engineering</x:v>
      </x:c>
      <x:c r="F112" t="str">
        <x:v>Fabrication drawing release</x:v>
      </x:c>
      <x:c r="G112" t="str">
        <x:v>SLQ-WIS-03</x:v>
      </x:c>
      <x:c r="H112" t="str">
        <x:v>FS</x:v>
      </x:c>
      <x:c r="I112" t="n">
        <x:v>72</x:v>
      </x:c>
      <x:c r="J112" t="n">
        <x:v>129</x:v>
      </x:c>
      <x:c r="K112" t="n">
        <x:v>58</x:v>
      </x:c>
      <x:c r="L112" t="str">
        <x:v>Engineering Manager</x:v>
      </x:c>
      <x:c r="M112" t="str">
        <x:v>drawing</x:v>
      </x:c>
      <x:c r="N112"/>
      <x:c r="O112"/>
      <x:c r="P112"/>
      <x:c r="Q112" s="10" t="n">
        <x:v>0</x:v>
      </x:c>
      <x:c r="R112" t="str">
        <x:v>Not started</x:v>
      </x:c>
      <x:c r="S112" t="str">
        <x:v>Provisional</x:v>
      </x:c>
      <x:c r="T112" t="str">
        <x:v>Verify measured scope, resources and predecessor logic</x:v>
      </x:c>
    </x:row>
    <x:row r="113">
      <x:c r="A113" t="str">
        <x:v>SLQ-WIS-05</x:v>
      </x:c>
      <x:c r="B113" t="str">
        <x:v>SLQ-WIS</x:v>
      </x:c>
      <x:c r="C113" t="str">
        <x:v>Strengthening</x:v>
      </x:c>
      <x:c r="D113" t="str">
        <x:v>A</x:v>
      </x:c>
      <x:c r="E113" t="str">
        <x:v>Procurement</x:v>
      </x:c>
      <x:c r="F113" t="str">
        <x:v>Material requisitions and vendor approval</x:v>
      </x:c>
      <x:c r="G113" t="str"/>
      <x:c r="H113" t="str">
        <x:v>FS</x:v>
      </x:c>
      <x:c r="I113" t="n">
        <x:v>52</x:v>
      </x:c>
      <x:c r="J113" t="n">
        <x:v>79</x:v>
      </x:c>
      <x:c r="K113" t="n">
        <x:v>28</x:v>
      </x:c>
      <x:c r="L113" t="str">
        <x:v>Procurement Manager</x:v>
      </x:c>
      <x:c r="M113" t="str">
        <x:v>MR</x:v>
      </x:c>
      <x:c r="N113"/>
      <x:c r="O113"/>
      <x:c r="P113"/>
      <x:c r="Q113" s="10" t="n">
        <x:v>0</x:v>
      </x:c>
      <x:c r="R113" t="str">
        <x:v>Not started</x:v>
      </x:c>
      <x:c r="S113" t="str">
        <x:v>Provisional</x:v>
      </x:c>
      <x:c r="T113" t="str">
        <x:v>Verify measured scope, resources and predecessor logic</x:v>
      </x:c>
    </x:row>
    <x:row r="114">
      <x:c r="A114" t="str">
        <x:v>SLQ-WIS-06</x:v>
      </x:c>
      <x:c r="B114" t="str">
        <x:v>SLQ-WIS</x:v>
      </x:c>
      <x:c r="C114" t="str">
        <x:v>Strengthening</x:v>
      </x:c>
      <x:c r="D114" t="str">
        <x:v>A</x:v>
      </x:c>
      <x:c r="E114" t="str">
        <x:v>Procurement</x:v>
      </x:c>
      <x:c r="F114" t="str">
        <x:v>Steel purchasing and delivery</x:v>
      </x:c>
      <x:c r="G114" t="str">
        <x:v>SLQ-WIS-05</x:v>
      </x:c>
      <x:c r="H114" t="str">
        <x:v>FS</x:v>
      </x:c>
      <x:c r="I114" t="n">
        <x:v>72</x:v>
      </x:c>
      <x:c r="J114" t="n">
        <x:v>134</x:v>
      </x:c>
      <x:c r="K114" t="n">
        <x:v>63</x:v>
      </x:c>
      <x:c r="L114" t="str">
        <x:v>Procurement Manager</x:v>
      </x:c>
      <x:c r="M114" t="str">
        <x:v>MT</x:v>
      </x:c>
      <x:c r="N114"/>
      <x:c r="O114"/>
      <x:c r="P114"/>
      <x:c r="Q114" s="10" t="n">
        <x:v>0</x:v>
      </x:c>
      <x:c r="R114" t="str">
        <x:v>Not started</x:v>
      </x:c>
      <x:c r="S114" t="str">
        <x:v>Provisional</x:v>
      </x:c>
      <x:c r="T114" t="str">
        <x:v>Verify measured scope, resources and predecessor logic</x:v>
      </x:c>
    </x:row>
    <x:row r="115">
      <x:c r="A115" t="str">
        <x:v>SLQ-WIS-07</x:v>
      </x:c>
      <x:c r="B115" t="str">
        <x:v>SLQ-WIS</x:v>
      </x:c>
      <x:c r="C115" t="str">
        <x:v>Strengthening</x:v>
      </x:c>
      <x:c r="D115" t="str">
        <x:v>A</x:v>
      </x:c>
      <x:c r="E115" t="str">
        <x:v>Fabrication</x:v>
      </x:c>
      <x:c r="F115" t="str">
        <x:v>Cutting and material preparation</x:v>
      </x:c>
      <x:c r="G115" t="str"/>
      <x:c r="H115" t="str">
        <x:v>FS</x:v>
      </x:c>
      <x:c r="I115" t="n">
        <x:v>99</x:v>
      </x:c>
      <x:c r="J115" t="n">
        <x:v>129</x:v>
      </x:c>
      <x:c r="K115" t="n">
        <x:v>31</x:v>
      </x:c>
      <x:c r="L115" t="str">
        <x:v>Fabrication Manager</x:v>
      </x:c>
      <x:c r="M115" t="str">
        <x:v>pieces</x:v>
      </x:c>
      <x:c r="N115"/>
      <x:c r="O115"/>
      <x:c r="P115"/>
      <x:c r="Q115" s="10" t="n">
        <x:v>0</x:v>
      </x:c>
      <x:c r="R115" t="str">
        <x:v>Not started</x:v>
      </x:c>
      <x:c r="S115" t="str">
        <x:v>Provisional</x:v>
      </x:c>
      <x:c r="T115" t="str">
        <x:v>Verify measured scope, resources and predecessor logic</x:v>
      </x:c>
    </x:row>
    <x:row r="116">
      <x:c r="A116" t="str">
        <x:v>SLQ-WIS-08</x:v>
      </x:c>
      <x:c r="B116" t="str">
        <x:v>SLQ-WIS</x:v>
      </x:c>
      <x:c r="C116" t="str">
        <x:v>Strengthening</x:v>
      </x:c>
      <x:c r="D116" t="str">
        <x:v>A</x:v>
      </x:c>
      <x:c r="E116" t="str">
        <x:v>Fabrication</x:v>
      </x:c>
      <x:c r="F116" t="str">
        <x:v>Assembly and fit-up</x:v>
      </x:c>
      <x:c r="G116" t="str">
        <x:v>SLQ-WIS-07</x:v>
      </x:c>
      <x:c r="H116" t="str">
        <x:v>FS</x:v>
      </x:c>
      <x:c r="I116" t="n">
        <x:v>114</x:v>
      </x:c>
      <x:c r="J116" t="n">
        <x:v>159</x:v>
      </x:c>
      <x:c r="K116" t="n">
        <x:v>46</x:v>
      </x:c>
      <x:c r="L116" t="str">
        <x:v>Fabrication Manager</x:v>
      </x:c>
      <x:c r="M116" t="str">
        <x:v>assemblies</x:v>
      </x:c>
      <x:c r="N116"/>
      <x:c r="O116"/>
      <x:c r="P116"/>
      <x:c r="Q116" s="10" t="n">
        <x:v>0</x:v>
      </x:c>
      <x:c r="R116" t="str">
        <x:v>Not started</x:v>
      </x:c>
      <x:c r="S116" t="str">
        <x:v>Provisional</x:v>
      </x:c>
      <x:c r="T116" t="str">
        <x:v>Verify measured scope, resources and predecessor logic</x:v>
      </x:c>
    </x:row>
    <x:row r="117">
      <x:c r="A117" t="str">
        <x:v>SLQ-WIS-09</x:v>
      </x:c>
      <x:c r="B117" t="str">
        <x:v>SLQ-WIS</x:v>
      </x:c>
      <x:c r="C117" t="str">
        <x:v>Strengthening</x:v>
      </x:c>
      <x:c r="D117" t="str">
        <x:v>A</x:v>
      </x:c>
      <x:c r="E117" t="str">
        <x:v>Fabrication</x:v>
      </x:c>
      <x:c r="F117" t="str">
        <x:v>Shop welding</x:v>
      </x:c>
      <x:c r="G117" t="str">
        <x:v>SLQ-WIS-08</x:v>
      </x:c>
      <x:c r="H117" t="str">
        <x:v>FS</x:v>
      </x:c>
      <x:c r="I117" t="n">
        <x:v>127</x:v>
      </x:c>
      <x:c r="J117" t="n">
        <x:v>172</x:v>
      </x:c>
      <x:c r="K117" t="n">
        <x:v>46</x:v>
      </x:c>
      <x:c r="L117" t="str">
        <x:v>Fabrication Manager</x:v>
      </x:c>
      <x:c r="M117" t="str">
        <x:v>weld-m</x:v>
      </x:c>
      <x:c r="N117"/>
      <x:c r="O117"/>
      <x:c r="P117"/>
      <x:c r="Q117" s="10" t="n">
        <x:v>0</x:v>
      </x:c>
      <x:c r="R117" t="str">
        <x:v>Not started</x:v>
      </x:c>
      <x:c r="S117" t="str">
        <x:v>Provisional</x:v>
      </x:c>
      <x:c r="T117" t="str">
        <x:v>Verify measured scope, resources and predecessor logic</x:v>
      </x:c>
    </x:row>
    <x:row r="118">
      <x:c r="A118" t="str">
        <x:v>SLQ-WIS-10</x:v>
      </x:c>
      <x:c r="B118" t="str">
        <x:v>SLQ-WIS</x:v>
      </x:c>
      <x:c r="C118" t="str">
        <x:v>Strengthening</x:v>
      </x:c>
      <x:c r="D118" t="str">
        <x:v>A</x:v>
      </x:c>
      <x:c r="E118" t="str">
        <x:v>Quality</x:v>
      </x:c>
      <x:c r="F118" t="str">
        <x:v>NDT and dimensional acceptance</x:v>
      </x:c>
      <x:c r="G118" t="str"/>
      <x:c r="H118" t="str">
        <x:v>FS</x:v>
      </x:c>
      <x:c r="I118" t="n">
        <x:v>144</x:v>
      </x:c>
      <x:c r="J118" t="n">
        <x:v>181</x:v>
      </x:c>
      <x:c r="K118" t="n">
        <x:v>38</x:v>
      </x:c>
      <x:c r="L118" t="str">
        <x:v>QAQC Manager</x:v>
      </x:c>
      <x:c r="M118" t="str">
        <x:v>joints</x:v>
      </x:c>
      <x:c r="N118"/>
      <x:c r="O118"/>
      <x:c r="P118"/>
      <x:c r="Q118" s="10" t="n">
        <x:v>0</x:v>
      </x:c>
      <x:c r="R118" t="str">
        <x:v>Not started</x:v>
      </x:c>
      <x:c r="S118" t="str">
        <x:v>Provisional</x:v>
      </x:c>
      <x:c r="T118" t="str">
        <x:v>Verify measured scope, resources and predecessor logic</x:v>
      </x:c>
    </x:row>
    <x:row r="119">
      <x:c r="A119" t="str">
        <x:v>SLQ-WIS-11</x:v>
      </x:c>
      <x:c r="B119" t="str">
        <x:v>SLQ-WIS</x:v>
      </x:c>
      <x:c r="C119" t="str">
        <x:v>Strengthening</x:v>
      </x:c>
      <x:c r="D119" t="str">
        <x:v>A</x:v>
      </x:c>
      <x:c r="E119" t="str">
        <x:v>Quality</x:v>
      </x:c>
      <x:c r="F119" t="str">
        <x:v>Blast, coat and preserve</x:v>
      </x:c>
      <x:c r="G119" t="str">
        <x:v>SLQ-WIS-10</x:v>
      </x:c>
      <x:c r="H119" t="str">
        <x:v>FS</x:v>
      </x:c>
      <x:c r="I119" t="n">
        <x:v>159</x:v>
      </x:c>
      <x:c r="J119" t="n">
        <x:v>189</x:v>
      </x:c>
      <x:c r="K119" t="n">
        <x:v>31</x:v>
      </x:c>
      <x:c r="L119" t="str">
        <x:v>QAQC Manager</x:v>
      </x:c>
      <x:c r="M119" t="str">
        <x:v>m2</x:v>
      </x:c>
      <x:c r="N119"/>
      <x:c r="O119"/>
      <x:c r="P119"/>
      <x:c r="Q119" s="10" t="n">
        <x:v>0</x:v>
      </x:c>
      <x:c r="R119" t="str">
        <x:v>Not started</x:v>
      </x:c>
      <x:c r="S119" t="str">
        <x:v>Provisional</x:v>
      </x:c>
      <x:c r="T119" t="str">
        <x:v>Verify measured scope, resources and predecessor logic</x:v>
      </x:c>
    </x:row>
    <x:row r="120">
      <x:c r="A120" t="str">
        <x:v>SLQ-WIS-13</x:v>
      </x:c>
      <x:c r="B120" t="str">
        <x:v>SLQ-WIS</x:v>
      </x:c>
      <x:c r="C120" t="str">
        <x:v>Strengthening</x:v>
      </x:c>
      <x:c r="D120" t="str">
        <x:v>A</x:v>
      </x:c>
      <x:c r="E120" t="str">
        <x:v>Logistics</x:v>
      </x:c>
      <x:c r="F120" t="str">
        <x:v>Cargo manifest and shore base transfer</x:v>
      </x:c>
      <x:c r="G120" t="str"/>
      <x:c r="H120" t="str">
        <x:v>FS</x:v>
      </x:c>
      <x:c r="I120" t="n">
        <x:v>159</x:v>
      </x:c>
      <x:c r="J120" t="n">
        <x:v>199</x:v>
      </x:c>
      <x:c r="K120" t="n">
        <x:v>41</x:v>
      </x:c>
      <x:c r="L120" t="str">
        <x:v>Logistics Manager</x:v>
      </x:c>
      <x:c r="M120" t="str">
        <x:v>shipments</x:v>
      </x:c>
      <x:c r="N120"/>
      <x:c r="O120"/>
      <x:c r="P120"/>
      <x:c r="Q120" s="10" t="n">
        <x:v>0</x:v>
      </x:c>
      <x:c r="R120" t="str">
        <x:v>Not started</x:v>
      </x:c>
      <x:c r="S120" t="str">
        <x:v>Provisional</x:v>
      </x:c>
      <x:c r="T120" t="str">
        <x:v>Verify measured scope, resources and predecessor logic</x:v>
      </x:c>
    </x:row>
    <x:row r="121">
      <x:c r="A121" t="str">
        <x:v>SLQ-WIS-14</x:v>
      </x:c>
      <x:c r="B121" t="str">
        <x:v>SLQ-WIS</x:v>
      </x:c>
      <x:c r="C121" t="str">
        <x:v>Strengthening</x:v>
      </x:c>
      <x:c r="D121" t="str">
        <x:v>A</x:v>
      </x:c>
      <x:c r="E121" t="str">
        <x:v>Marine</x:v>
      </x:c>
      <x:c r="F121" t="str">
        <x:v>Vessel technical selection and assurance</x:v>
      </x:c>
      <x:c r="G121" t="str"/>
      <x:c r="H121" t="str">
        <x:v>FS</x:v>
      </x:c>
      <x:c r="I121" t="n">
        <x:v>69</x:v>
      </x:c>
      <x:c r="J121" t="n">
        <x:v>159</x:v>
      </x:c>
      <x:c r="K121" t="n">
        <x:v>91</x:v>
      </x:c>
      <x:c r="L121" t="str">
        <x:v>Marine Manager</x:v>
      </x:c>
      <x:c r="M121" t="str">
        <x:v>vessel</x:v>
      </x:c>
      <x:c r="N121"/>
      <x:c r="O121"/>
      <x:c r="P121"/>
      <x:c r="Q121" s="10" t="n">
        <x:v>0</x:v>
      </x:c>
      <x:c r="R121" t="str">
        <x:v>Not started</x:v>
      </x:c>
      <x:c r="S121" t="str">
        <x:v>Provisional</x:v>
      </x:c>
      <x:c r="T121" t="str">
        <x:v>Verify measured scope, resources and predecessor logic</x:v>
      </x:c>
    </x:row>
    <x:row r="122">
      <x:c r="A122" t="str">
        <x:v>SLQ-WIS-16</x:v>
      </x:c>
      <x:c r="B122" t="str">
        <x:v>SLQ-WIS</x:v>
      </x:c>
      <x:c r="C122" t="str">
        <x:v>Strengthening</x:v>
      </x:c>
      <x:c r="D122" t="str">
        <x:v>A</x:v>
      </x:c>
      <x:c r="E122" t="str">
        <x:v>Offshore</x:v>
      </x:c>
      <x:c r="F122" t="str">
        <x:v>Access and permit readiness</x:v>
      </x:c>
      <x:c r="G122" t="str"/>
      <x:c r="H122" t="str">
        <x:v>FS</x:v>
      </x:c>
      <x:c r="I122" t="n">
        <x:v>84</x:v>
      </x:c>
      <x:c r="J122" t="n">
        <x:v>164</x:v>
      </x:c>
      <x:c r="K122" t="n">
        <x:v>81</x:v>
      </x:c>
      <x:c r="L122" t="str">
        <x:v>Offshore Manager</x:v>
      </x:c>
      <x:c r="M122" t="str">
        <x:v>fronts</x:v>
      </x:c>
      <x:c r="N122"/>
      <x:c r="O122"/>
      <x:c r="P122"/>
      <x:c r="Q122" s="10" t="n">
        <x:v>0</x:v>
      </x:c>
      <x:c r="R122" t="str">
        <x:v>Not started</x:v>
      </x:c>
      <x:c r="S122" t="str">
        <x:v>Provisional</x:v>
      </x:c>
      <x:c r="T122" t="str">
        <x:v>Verify measured scope, resources and predecessor logic</x:v>
      </x:c>
    </x:row>
    <x:row r="123">
      <x:c r="A123" t="str">
        <x:v>SLQ-WIS-17</x:v>
      </x:c>
      <x:c r="B123" t="str">
        <x:v>SLQ-WIS</x:v>
      </x:c>
      <x:c r="C123" t="str">
        <x:v>Strengthening</x:v>
      </x:c>
      <x:c r="D123" t="str">
        <x:v>A</x:v>
      </x:c>
      <x:c r="E123" t="str">
        <x:v>Offshore</x:v>
      </x:c>
      <x:c r="F123" t="str">
        <x:v>Temporary access and works</x:v>
      </x:c>
      <x:c r="G123" t="str">
        <x:v>SLQ-WIS-16</x:v>
      </x:c>
      <x:c r="H123" t="str">
        <x:v>FS</x:v>
      </x:c>
      <x:c r="I123" t="n">
        <x:v>109</x:v>
      </x:c>
      <x:c r="J123" t="n">
        <x:v>199</x:v>
      </x:c>
      <x:c r="K123" t="n">
        <x:v>91</x:v>
      </x:c>
      <x:c r="L123" t="str">
        <x:v>Offshore Manager</x:v>
      </x:c>
      <x:c r="M123" t="str">
        <x:v>workfronts</x:v>
      </x:c>
      <x:c r="N123"/>
      <x:c r="O123"/>
      <x:c r="P123"/>
      <x:c r="Q123" s="10" t="n">
        <x:v>0</x:v>
      </x:c>
      <x:c r="R123" t="str">
        <x:v>Not started</x:v>
      </x:c>
      <x:c r="S123" t="str">
        <x:v>Provisional</x:v>
      </x:c>
      <x:c r="T123" t="str">
        <x:v>Verify measured scope, resources and predecessor logic</x:v>
      </x:c>
    </x:row>
    <x:row r="124">
      <x:c r="A124" t="str">
        <x:v>SLQ-WIS-18</x:v>
      </x:c>
      <x:c r="B124" t="str">
        <x:v>SLQ-WIS</x:v>
      </x:c>
      <x:c r="C124" t="str">
        <x:v>Strengthening</x:v>
      </x:c>
      <x:c r="D124" t="str">
        <x:v>A</x:v>
      </x:c>
      <x:c r="E124" t="str">
        <x:v>Offshore</x:v>
      </x:c>
      <x:c r="F124" t="str">
        <x:v>Structural fit-up or landing</x:v>
      </x:c>
      <x:c r="G124" t="str">
        <x:v>SLQ-WIS-17</x:v>
      </x:c>
      <x:c r="H124" t="str">
        <x:v>FS</x:v>
      </x:c>
      <x:c r="I124" t="n">
        <x:v>134</x:v>
      </x:c>
      <x:c r="J124" t="n">
        <x:v>224</x:v>
      </x:c>
      <x:c r="K124" t="n">
        <x:v>91</x:v>
      </x:c>
      <x:c r="L124" t="str">
        <x:v>Offshore Manager</x:v>
      </x:c>
      <x:c r="M124" t="str">
        <x:v>assemblies</x:v>
      </x:c>
      <x:c r="N124"/>
      <x:c r="O124"/>
      <x:c r="P124"/>
      <x:c r="Q124" s="10" t="n">
        <x:v>0</x:v>
      </x:c>
      <x:c r="R124" t="str">
        <x:v>Not started</x:v>
      </x:c>
      <x:c r="S124" t="str">
        <x:v>Provisional</x:v>
      </x:c>
      <x:c r="T124" t="str">
        <x:v>Verify measured scope, resources and predecessor logic</x:v>
      </x:c>
    </x:row>
    <x:row r="125">
      <x:c r="A125" t="str">
        <x:v>SLQ-WIS-19</x:v>
      </x:c>
      <x:c r="B125" t="str">
        <x:v>SLQ-WIS</x:v>
      </x:c>
      <x:c r="C125" t="str">
        <x:v>Strengthening</x:v>
      </x:c>
      <x:c r="D125" t="str">
        <x:v>A</x:v>
      </x:c>
      <x:c r="E125" t="str">
        <x:v>Offshore</x:v>
      </x:c>
      <x:c r="F125" t="str">
        <x:v>Connection welding and bolting</x:v>
      </x:c>
      <x:c r="G125" t="str">
        <x:v>SLQ-WIS-18</x:v>
      </x:c>
      <x:c r="H125" t="str">
        <x:v>FS</x:v>
      </x:c>
      <x:c r="I125" t="n">
        <x:v>149</x:v>
      </x:c>
      <x:c r="J125" t="n">
        <x:v>239</x:v>
      </x:c>
      <x:c r="K125" t="n">
        <x:v>91</x:v>
      </x:c>
      <x:c r="L125" t="str">
        <x:v>Offshore Manager</x:v>
      </x:c>
      <x:c r="M125" t="str">
        <x:v>joints</x:v>
      </x:c>
      <x:c r="N125"/>
      <x:c r="O125"/>
      <x:c r="P125"/>
      <x:c r="Q125" s="10" t="n">
        <x:v>0</x:v>
      </x:c>
      <x:c r="R125" t="str">
        <x:v>Not started</x:v>
      </x:c>
      <x:c r="S125" t="str">
        <x:v>Provisional</x:v>
      </x:c>
      <x:c r="T125" t="str">
        <x:v>Verify measured scope, resources and predecessor logic</x:v>
      </x:c>
    </x:row>
    <x:row r="126">
      <x:c r="A126" t="str">
        <x:v>SLQ-WIS-20</x:v>
      </x:c>
      <x:c r="B126" t="str">
        <x:v>SLQ-WIS</x:v>
      </x:c>
      <x:c r="C126" t="str">
        <x:v>Strengthening</x:v>
      </x:c>
      <x:c r="D126" t="str">
        <x:v>A</x:v>
      </x:c>
      <x:c r="E126" t="str">
        <x:v>Offshore</x:v>
      </x:c>
      <x:c r="F126" t="str">
        <x:v>Inspection and coating restoration</x:v>
      </x:c>
      <x:c r="G126" t="str">
        <x:v>SLQ-WIS-19</x:v>
      </x:c>
      <x:c r="H126" t="str">
        <x:v>FS</x:v>
      </x:c>
      <x:c r="I126" t="n">
        <x:v>169</x:v>
      </x:c>
      <x:c r="J126" t="n">
        <x:v>259</x:v>
      </x:c>
      <x:c r="K126" t="n">
        <x:v>91</x:v>
      </x:c>
      <x:c r="L126" t="str">
        <x:v>QAQC Manager</x:v>
      </x:c>
      <x:c r="M126" t="str">
        <x:v>joints</x:v>
      </x:c>
      <x:c r="N126"/>
      <x:c r="O126"/>
      <x:c r="P126"/>
      <x:c r="Q126" s="10" t="n">
        <x:v>0</x:v>
      </x:c>
      <x:c r="R126" t="str">
        <x:v>Not started</x:v>
      </x:c>
      <x:c r="S126" t="str">
        <x:v>Provisional</x:v>
      </x:c>
      <x:c r="T126" t="str">
        <x:v>Verify measured scope, resources and predecessor logic</x:v>
      </x:c>
    </x:row>
    <x:row r="127">
      <x:c r="A127" t="str">
        <x:v>SLQ-WIS-21</x:v>
      </x:c>
      <x:c r="B127" t="str">
        <x:v>SLQ-WIS</x:v>
      </x:c>
      <x:c r="C127" t="str">
        <x:v>Strengthening</x:v>
      </x:c>
      <x:c r="D127" t="str">
        <x:v>A</x:v>
      </x:c>
      <x:c r="E127" t="str">
        <x:v>Closeout</x:v>
      </x:c>
      <x:c r="F127" t="str">
        <x:v>Punch closure and dossier</x:v>
      </x:c>
      <x:c r="G127" t="str"/>
      <x:c r="H127" t="str">
        <x:v>FS</x:v>
      </x:c>
      <x:c r="I127" t="n">
        <x:v>259</x:v>
      </x:c>
      <x:c r="J127" t="n">
        <x:v>344</x:v>
      </x:c>
      <x:c r="K127" t="n">
        <x:v>86</x:v>
      </x:c>
      <x:c r="L127" t="str">
        <x:v>Completion Manager</x:v>
      </x:c>
      <x:c r="M127" t="str">
        <x:v>packs</x:v>
      </x:c>
      <x:c r="N127"/>
      <x:c r="O127"/>
      <x:c r="P127"/>
      <x:c r="Q127" s="10" t="n">
        <x:v>0</x:v>
      </x:c>
      <x:c r="R127" t="str">
        <x:v>Not started</x:v>
      </x:c>
      <x:c r="S127" t="str">
        <x:v>Provisional</x:v>
      </x:c>
      <x:c r="T127" t="str">
        <x:v>Verify measured scope, resources and predecessor logic</x:v>
      </x:c>
    </x:row>
    <x:row r="128">
      <x:c r="A128" t="str">
        <x:v>SLQ-WIS-22</x:v>
      </x:c>
      <x:c r="B128" t="str">
        <x:v>SLQ-WIS</x:v>
      </x:c>
      <x:c r="C128" t="str">
        <x:v>Strengthening</x:v>
      </x:c>
      <x:c r="D128" t="str">
        <x:v>A</x:v>
      </x:c>
      <x:c r="E128" t="str">
        <x:v>Closeout</x:v>
      </x:c>
      <x:c r="F128" t="str">
        <x:v>Client acceptance and final handover</x:v>
      </x:c>
      <x:c r="G128" t="str">
        <x:v>SLQ-WIS-21</x:v>
      </x:c>
      <x:c r="H128" t="str">
        <x:v>FS</x:v>
      </x:c>
      <x:c r="I128" t="n">
        <x:v>324</x:v>
      </x:c>
      <x:c r="J128" t="n">
        <x:v>355</x:v>
      </x:c>
      <x:c r="K128" t="n">
        <x:v>32</x:v>
      </x:c>
      <x:c r="L128" t="str">
        <x:v>Project Director</x:v>
      </x:c>
      <x:c r="M128" t="str">
        <x:v>milestones</x:v>
      </x:c>
      <x:c r="N128"/>
      <x:c r="O128"/>
      <x:c r="P128"/>
      <x:c r="Q128" s="10" t="n">
        <x:v>0</x:v>
      </x:c>
      <x:c r="R128" t="str">
        <x:v>Not started</x:v>
      </x:c>
      <x:c r="S128" t="str">
        <x:v>Provisional</x:v>
      </x:c>
      <x:c r="T128" t="str">
        <x:v>Verify measured scope, resources and predecessor logic</x:v>
      </x:c>
    </x:row>
    <x:row r="129">
      <x:c r="A129" t="str">
        <x:v>NQO-NQD-01</x:v>
      </x:c>
      <x:c r="B129" t="str">
        <x:v>NQO-NQD</x:v>
      </x:c>
      <x:c r="C129" t="str">
        <x:v>Strengthening</x:v>
      </x:c>
      <x:c r="D129" t="str">
        <x:v>B</x:v>
      </x:c>
      <x:c r="E129" t="str">
        <x:v>Engineering</x:v>
      </x:c>
      <x:c r="F129" t="str">
        <x:v>Existing-condition survey</x:v>
      </x:c>
      <x:c r="G129" t="str"/>
      <x:c r="H129" t="str">
        <x:v>FS</x:v>
      </x:c>
      <x:c r="I129" t="n">
        <x:v>37</x:v>
      </x:c>
      <x:c r="J129" t="n">
        <x:v>64</x:v>
      </x:c>
      <x:c r="K129" t="n">
        <x:v>28</x:v>
      </x:c>
      <x:c r="L129" t="str">
        <x:v>Engineering Manager</x:v>
      </x:c>
      <x:c r="M129" t="str">
        <x:v>survey</x:v>
      </x:c>
      <x:c r="N129"/>
      <x:c r="O129"/>
      <x:c r="P129"/>
      <x:c r="Q129" s="10" t="n">
        <x:v>0</x:v>
      </x:c>
      <x:c r="R129" t="str">
        <x:v>Not started</x:v>
      </x:c>
      <x:c r="S129" t="str">
        <x:v>Provisional</x:v>
      </x:c>
      <x:c r="T129" t="str">
        <x:v>Verify measured scope, resources and predecessor logic</x:v>
      </x:c>
    </x:row>
    <x:row r="130">
      <x:c r="A130" t="str">
        <x:v>NQO-NQD-02</x:v>
      </x:c>
      <x:c r="B130" t="str">
        <x:v>NQO-NQD</x:v>
      </x:c>
      <x:c r="C130" t="str">
        <x:v>Strengthening</x:v>
      </x:c>
      <x:c r="D130" t="str">
        <x:v>B</x:v>
      </x:c>
      <x:c r="E130" t="str">
        <x:v>Engineering</x:v>
      </x:c>
      <x:c r="F130" t="str">
        <x:v>Design basis and interface verification</x:v>
      </x:c>
      <x:c r="G130" t="str">
        <x:v>NQO-NQD-01</x:v>
      </x:c>
      <x:c r="H130" t="str">
        <x:v>FS</x:v>
      </x:c>
      <x:c r="I130" t="n">
        <x:v>51</x:v>
      </x:c>
      <x:c r="J130" t="n">
        <x:v>74</x:v>
      </x:c>
      <x:c r="K130" t="n">
        <x:v>24</x:v>
      </x:c>
      <x:c r="L130" t="str">
        <x:v>Engineering Manager</x:v>
      </x:c>
      <x:c r="M130" t="str">
        <x:v>design</x:v>
      </x:c>
      <x:c r="N130"/>
      <x:c r="O130"/>
      <x:c r="P130"/>
      <x:c r="Q130" s="10" t="n">
        <x:v>0</x:v>
      </x:c>
      <x:c r="R130" t="str">
        <x:v>Not started</x:v>
      </x:c>
      <x:c r="S130" t="str">
        <x:v>Provisional</x:v>
      </x:c>
      <x:c r="T130" t="str">
        <x:v>Verify measured scope, resources and predecessor logic</x:v>
      </x:c>
    </x:row>
    <x:row r="131">
      <x:c r="A131" t="str">
        <x:v>NQO-NQD-03</x:v>
      </x:c>
      <x:c r="B131" t="str">
        <x:v>NQO-NQD</x:v>
      </x:c>
      <x:c r="C131" t="str">
        <x:v>Strengthening</x:v>
      </x:c>
      <x:c r="D131" t="str">
        <x:v>B</x:v>
      </x:c>
      <x:c r="E131" t="str">
        <x:v>Engineering</x:v>
      </x:c>
      <x:c r="F131" t="str">
        <x:v>Detailed structural and temporary works engineering</x:v>
      </x:c>
      <x:c r="G131" t="str">
        <x:v>NQO-NQD-02</x:v>
      </x:c>
      <x:c r="H131" t="str">
        <x:v>FS</x:v>
      </x:c>
      <x:c r="I131" t="n">
        <x:v>64</x:v>
      </x:c>
      <x:c r="J131" t="n">
        <x:v>128</x:v>
      </x:c>
      <x:c r="K131" t="n">
        <x:v>65</x:v>
      </x:c>
      <x:c r="L131" t="str">
        <x:v>Engineering Manager</x:v>
      </x:c>
      <x:c r="M131" t="str">
        <x:v>design</x:v>
      </x:c>
      <x:c r="N131"/>
      <x:c r="O131"/>
      <x:c r="P131"/>
      <x:c r="Q131" s="10" t="n">
        <x:v>0</x:v>
      </x:c>
      <x:c r="R131" t="str">
        <x:v>Not started</x:v>
      </x:c>
      <x:c r="S131" t="str">
        <x:v>Provisional</x:v>
      </x:c>
      <x:c r="T131" t="str">
        <x:v>Verify measured scope, resources and predecessor logic</x:v>
      </x:c>
    </x:row>
    <x:row r="132">
      <x:c r="A132" t="str">
        <x:v>NQO-NQD-04</x:v>
      </x:c>
      <x:c r="B132" t="str">
        <x:v>NQO-NQD</x:v>
      </x:c>
      <x:c r="C132" t="str">
        <x:v>Strengthening</x:v>
      </x:c>
      <x:c r="D132" t="str">
        <x:v>B</x:v>
      </x:c>
      <x:c r="E132" t="str">
        <x:v>Engineering</x:v>
      </x:c>
      <x:c r="F132" t="str">
        <x:v>Fabrication drawing release</x:v>
      </x:c>
      <x:c r="G132" t="str">
        <x:v>NQO-NQD-03</x:v>
      </x:c>
      <x:c r="H132" t="str">
        <x:v>FS</x:v>
      </x:c>
      <x:c r="I132" t="n">
        <x:v>84</x:v>
      </x:c>
      <x:c r="J132" t="n">
        <x:v>141</x:v>
      </x:c>
      <x:c r="K132" t="n">
        <x:v>58</x:v>
      </x:c>
      <x:c r="L132" t="str">
        <x:v>Engineering Manager</x:v>
      </x:c>
      <x:c r="M132" t="str">
        <x:v>drawing</x:v>
      </x:c>
      <x:c r="N132"/>
      <x:c r="O132"/>
      <x:c r="P132"/>
      <x:c r="Q132" s="10" t="n">
        <x:v>0</x:v>
      </x:c>
      <x:c r="R132" t="str">
        <x:v>Not started</x:v>
      </x:c>
      <x:c r="S132" t="str">
        <x:v>Provisional</x:v>
      </x:c>
      <x:c r="T132" t="str">
        <x:v>Verify measured scope, resources and predecessor logic</x:v>
      </x:c>
    </x:row>
    <x:row r="133">
      <x:c r="A133" t="str">
        <x:v>NQO-NQD-05</x:v>
      </x:c>
      <x:c r="B133" t="str">
        <x:v>NQO-NQD</x:v>
      </x:c>
      <x:c r="C133" t="str">
        <x:v>Strengthening</x:v>
      </x:c>
      <x:c r="D133" t="str">
        <x:v>B</x:v>
      </x:c>
      <x:c r="E133" t="str">
        <x:v>Procurement</x:v>
      </x:c>
      <x:c r="F133" t="str">
        <x:v>Material requisitions and vendor approval</x:v>
      </x:c>
      <x:c r="G133" t="str"/>
      <x:c r="H133" t="str">
        <x:v>FS</x:v>
      </x:c>
      <x:c r="I133" t="n">
        <x:v>64</x:v>
      </x:c>
      <x:c r="J133" t="n">
        <x:v>91</x:v>
      </x:c>
      <x:c r="K133" t="n">
        <x:v>28</x:v>
      </x:c>
      <x:c r="L133" t="str">
        <x:v>Procurement Manager</x:v>
      </x:c>
      <x:c r="M133" t="str">
        <x:v>MR</x:v>
      </x:c>
      <x:c r="N133"/>
      <x:c r="O133"/>
      <x:c r="P133"/>
      <x:c r="Q133" s="10" t="n">
        <x:v>0</x:v>
      </x:c>
      <x:c r="R133" t="str">
        <x:v>Not started</x:v>
      </x:c>
      <x:c r="S133" t="str">
        <x:v>Provisional</x:v>
      </x:c>
      <x:c r="T133" t="str">
        <x:v>Verify measured scope, resources and predecessor logic</x:v>
      </x:c>
    </x:row>
    <x:row r="134">
      <x:c r="A134" t="str">
        <x:v>NQO-NQD-06</x:v>
      </x:c>
      <x:c r="B134" t="str">
        <x:v>NQO-NQD</x:v>
      </x:c>
      <x:c r="C134" t="str">
        <x:v>Strengthening</x:v>
      </x:c>
      <x:c r="D134" t="str">
        <x:v>B</x:v>
      </x:c>
      <x:c r="E134" t="str">
        <x:v>Procurement</x:v>
      </x:c>
      <x:c r="F134" t="str">
        <x:v>Steel purchasing and delivery</x:v>
      </x:c>
      <x:c r="G134" t="str">
        <x:v>NQO-NQD-05</x:v>
      </x:c>
      <x:c r="H134" t="str">
        <x:v>FS</x:v>
      </x:c>
      <x:c r="I134" t="n">
        <x:v>84</x:v>
      </x:c>
      <x:c r="J134" t="n">
        <x:v>146</x:v>
      </x:c>
      <x:c r="K134" t="n">
        <x:v>63</x:v>
      </x:c>
      <x:c r="L134" t="str">
        <x:v>Procurement Manager</x:v>
      </x:c>
      <x:c r="M134" t="str">
        <x:v>MT</x:v>
      </x:c>
      <x:c r="N134"/>
      <x:c r="O134"/>
      <x:c r="P134"/>
      <x:c r="Q134" s="10" t="n">
        <x:v>0</x:v>
      </x:c>
      <x:c r="R134" t="str">
        <x:v>Not started</x:v>
      </x:c>
      <x:c r="S134" t="str">
        <x:v>Provisional</x:v>
      </x:c>
      <x:c r="T134" t="str">
        <x:v>Verify measured scope, resources and predecessor logic</x:v>
      </x:c>
    </x:row>
    <x:row r="135">
      <x:c r="A135" t="str">
        <x:v>NQO-NQD-07</x:v>
      </x:c>
      <x:c r="B135" t="str">
        <x:v>NQO-NQD</x:v>
      </x:c>
      <x:c r="C135" t="str">
        <x:v>Strengthening</x:v>
      </x:c>
      <x:c r="D135" t="str">
        <x:v>B</x:v>
      </x:c>
      <x:c r="E135" t="str">
        <x:v>Fabrication</x:v>
      </x:c>
      <x:c r="F135" t="str">
        <x:v>Cutting and material preparation</x:v>
      </x:c>
      <x:c r="G135" t="str"/>
      <x:c r="H135" t="str">
        <x:v>FS</x:v>
      </x:c>
      <x:c r="I135" t="n">
        <x:v>111</x:v>
      </x:c>
      <x:c r="J135" t="n">
        <x:v>141</x:v>
      </x:c>
      <x:c r="K135" t="n">
        <x:v>31</x:v>
      </x:c>
      <x:c r="L135" t="str">
        <x:v>Fabrication Manager</x:v>
      </x:c>
      <x:c r="M135" t="str">
        <x:v>pieces</x:v>
      </x:c>
      <x:c r="N135"/>
      <x:c r="O135"/>
      <x:c r="P135"/>
      <x:c r="Q135" s="10" t="n">
        <x:v>0</x:v>
      </x:c>
      <x:c r="R135" t="str">
        <x:v>Not started</x:v>
      </x:c>
      <x:c r="S135" t="str">
        <x:v>Provisional</x:v>
      </x:c>
      <x:c r="T135" t="str">
        <x:v>Verify measured scope, resources and predecessor logic</x:v>
      </x:c>
    </x:row>
    <x:row r="136">
      <x:c r="A136" t="str">
        <x:v>NQO-NQD-08</x:v>
      </x:c>
      <x:c r="B136" t="str">
        <x:v>NQO-NQD</x:v>
      </x:c>
      <x:c r="C136" t="str">
        <x:v>Strengthening</x:v>
      </x:c>
      <x:c r="D136" t="str">
        <x:v>B</x:v>
      </x:c>
      <x:c r="E136" t="str">
        <x:v>Fabrication</x:v>
      </x:c>
      <x:c r="F136" t="str">
        <x:v>Assembly and fit-up</x:v>
      </x:c>
      <x:c r="G136" t="str">
        <x:v>NQO-NQD-07</x:v>
      </x:c>
      <x:c r="H136" t="str">
        <x:v>FS</x:v>
      </x:c>
      <x:c r="I136" t="n">
        <x:v>126</x:v>
      </x:c>
      <x:c r="J136" t="n">
        <x:v>171</x:v>
      </x:c>
      <x:c r="K136" t="n">
        <x:v>46</x:v>
      </x:c>
      <x:c r="L136" t="str">
        <x:v>Fabrication Manager</x:v>
      </x:c>
      <x:c r="M136" t="str">
        <x:v>assemblies</x:v>
      </x:c>
      <x:c r="N136"/>
      <x:c r="O136"/>
      <x:c r="P136"/>
      <x:c r="Q136" s="10" t="n">
        <x:v>0</x:v>
      </x:c>
      <x:c r="R136" t="str">
        <x:v>Not started</x:v>
      </x:c>
      <x:c r="S136" t="str">
        <x:v>Provisional</x:v>
      </x:c>
      <x:c r="T136" t="str">
        <x:v>Verify measured scope, resources and predecessor logic</x:v>
      </x:c>
    </x:row>
    <x:row r="137">
      <x:c r="A137" t="str">
        <x:v>NQO-NQD-09</x:v>
      </x:c>
      <x:c r="B137" t="str">
        <x:v>NQO-NQD</x:v>
      </x:c>
      <x:c r="C137" t="str">
        <x:v>Strengthening</x:v>
      </x:c>
      <x:c r="D137" t="str">
        <x:v>B</x:v>
      </x:c>
      <x:c r="E137" t="str">
        <x:v>Fabrication</x:v>
      </x:c>
      <x:c r="F137" t="str">
        <x:v>Shop welding</x:v>
      </x:c>
      <x:c r="G137" t="str">
        <x:v>NQO-NQD-08</x:v>
      </x:c>
      <x:c r="H137" t="str">
        <x:v>FS</x:v>
      </x:c>
      <x:c r="I137" t="n">
        <x:v>139</x:v>
      </x:c>
      <x:c r="J137" t="n">
        <x:v>184</x:v>
      </x:c>
      <x:c r="K137" t="n">
        <x:v>46</x:v>
      </x:c>
      <x:c r="L137" t="str">
        <x:v>Fabrication Manager</x:v>
      </x:c>
      <x:c r="M137" t="str">
        <x:v>weld-m</x:v>
      </x:c>
      <x:c r="N137"/>
      <x:c r="O137"/>
      <x:c r="P137"/>
      <x:c r="Q137" s="10" t="n">
        <x:v>0</x:v>
      </x:c>
      <x:c r="R137" t="str">
        <x:v>Not started</x:v>
      </x:c>
      <x:c r="S137" t="str">
        <x:v>Provisional</x:v>
      </x:c>
      <x:c r="T137" t="str">
        <x:v>Verify measured scope, resources and predecessor logic</x:v>
      </x:c>
    </x:row>
    <x:row r="138">
      <x:c r="A138" t="str">
        <x:v>NQO-NQD-10</x:v>
      </x:c>
      <x:c r="B138" t="str">
        <x:v>NQO-NQD</x:v>
      </x:c>
      <x:c r="C138" t="str">
        <x:v>Strengthening</x:v>
      </x:c>
      <x:c r="D138" t="str">
        <x:v>B</x:v>
      </x:c>
      <x:c r="E138" t="str">
        <x:v>Quality</x:v>
      </x:c>
      <x:c r="F138" t="str">
        <x:v>NDT and dimensional acceptance</x:v>
      </x:c>
      <x:c r="G138" t="str"/>
      <x:c r="H138" t="str">
        <x:v>FS</x:v>
      </x:c>
      <x:c r="I138" t="n">
        <x:v>156</x:v>
      </x:c>
      <x:c r="J138" t="n">
        <x:v>193</x:v>
      </x:c>
      <x:c r="K138" t="n">
        <x:v>38</x:v>
      </x:c>
      <x:c r="L138" t="str">
        <x:v>QAQC Manager</x:v>
      </x:c>
      <x:c r="M138" t="str">
        <x:v>joints</x:v>
      </x:c>
      <x:c r="N138"/>
      <x:c r="O138"/>
      <x:c r="P138"/>
      <x:c r="Q138" s="10" t="n">
        <x:v>0</x:v>
      </x:c>
      <x:c r="R138" t="str">
        <x:v>Not started</x:v>
      </x:c>
      <x:c r="S138" t="str">
        <x:v>Provisional</x:v>
      </x:c>
      <x:c r="T138" t="str">
        <x:v>Verify measured scope, resources and predecessor logic</x:v>
      </x:c>
    </x:row>
    <x:row r="139">
      <x:c r="A139" t="str">
        <x:v>NQO-NQD-11</x:v>
      </x:c>
      <x:c r="B139" t="str">
        <x:v>NQO-NQD</x:v>
      </x:c>
      <x:c r="C139" t="str">
        <x:v>Strengthening</x:v>
      </x:c>
      <x:c r="D139" t="str">
        <x:v>B</x:v>
      </x:c>
      <x:c r="E139" t="str">
        <x:v>Quality</x:v>
      </x:c>
      <x:c r="F139" t="str">
        <x:v>Blast, coat and preserve</x:v>
      </x:c>
      <x:c r="G139" t="str">
        <x:v>NQO-NQD-10</x:v>
      </x:c>
      <x:c r="H139" t="str">
        <x:v>FS</x:v>
      </x:c>
      <x:c r="I139" t="n">
        <x:v>171</x:v>
      </x:c>
      <x:c r="J139" t="n">
        <x:v>201</x:v>
      </x:c>
      <x:c r="K139" t="n">
        <x:v>31</x:v>
      </x:c>
      <x:c r="L139" t="str">
        <x:v>QAQC Manager</x:v>
      </x:c>
      <x:c r="M139" t="str">
        <x:v>m2</x:v>
      </x:c>
      <x:c r="N139"/>
      <x:c r="O139"/>
      <x:c r="P139"/>
      <x:c r="Q139" s="10" t="n">
        <x:v>0</x:v>
      </x:c>
      <x:c r="R139" t="str">
        <x:v>Not started</x:v>
      </x:c>
      <x:c r="S139" t="str">
        <x:v>Provisional</x:v>
      </x:c>
      <x:c r="T139" t="str">
        <x:v>Verify measured scope, resources and predecessor logic</x:v>
      </x:c>
    </x:row>
    <x:row r="140">
      <x:c r="A140" t="str">
        <x:v>NQO-NQD-13</x:v>
      </x:c>
      <x:c r="B140" t="str">
        <x:v>NQO-NQD</x:v>
      </x:c>
      <x:c r="C140" t="str">
        <x:v>Strengthening</x:v>
      </x:c>
      <x:c r="D140" t="str">
        <x:v>B</x:v>
      </x:c>
      <x:c r="E140" t="str">
        <x:v>Logistics</x:v>
      </x:c>
      <x:c r="F140" t="str">
        <x:v>Cargo manifest and shore base transfer</x:v>
      </x:c>
      <x:c r="G140" t="str"/>
      <x:c r="H140" t="str">
        <x:v>FS</x:v>
      </x:c>
      <x:c r="I140" t="n">
        <x:v>171</x:v>
      </x:c>
      <x:c r="J140" t="n">
        <x:v>211</x:v>
      </x:c>
      <x:c r="K140" t="n">
        <x:v>41</x:v>
      </x:c>
      <x:c r="L140" t="str">
        <x:v>Logistics Manager</x:v>
      </x:c>
      <x:c r="M140" t="str">
        <x:v>shipments</x:v>
      </x:c>
      <x:c r="N140"/>
      <x:c r="O140"/>
      <x:c r="P140"/>
      <x:c r="Q140" s="10" t="n">
        <x:v>0</x:v>
      </x:c>
      <x:c r="R140" t="str">
        <x:v>Not started</x:v>
      </x:c>
      <x:c r="S140" t="str">
        <x:v>Provisional</x:v>
      </x:c>
      <x:c r="T140" t="str">
        <x:v>Verify measured scope, resources and predecessor logic</x:v>
      </x:c>
    </x:row>
    <x:row r="141">
      <x:c r="A141" t="str">
        <x:v>NQO-NQD-14</x:v>
      </x:c>
      <x:c r="B141" t="str">
        <x:v>NQO-NQD</x:v>
      </x:c>
      <x:c r="C141" t="str">
        <x:v>Strengthening</x:v>
      </x:c>
      <x:c r="D141" t="str">
        <x:v>B</x:v>
      </x:c>
      <x:c r="E141" t="str">
        <x:v>Marine</x:v>
      </x:c>
      <x:c r="F141" t="str">
        <x:v>Vessel technical selection and assurance</x:v>
      </x:c>
      <x:c r="G141" t="str"/>
      <x:c r="H141" t="str">
        <x:v>FS</x:v>
      </x:c>
      <x:c r="I141" t="n">
        <x:v>81</x:v>
      </x:c>
      <x:c r="J141" t="n">
        <x:v>171</x:v>
      </x:c>
      <x:c r="K141" t="n">
        <x:v>91</x:v>
      </x:c>
      <x:c r="L141" t="str">
        <x:v>Marine Manager</x:v>
      </x:c>
      <x:c r="M141" t="str">
        <x:v>vessel</x:v>
      </x:c>
      <x:c r="N141"/>
      <x:c r="O141"/>
      <x:c r="P141"/>
      <x:c r="Q141" s="10" t="n">
        <x:v>0</x:v>
      </x:c>
      <x:c r="R141" t="str">
        <x:v>Not started</x:v>
      </x:c>
      <x:c r="S141" t="str">
        <x:v>Provisional</x:v>
      </x:c>
      <x:c r="T141" t="str">
        <x:v>Verify measured scope, resources and predecessor logic</x:v>
      </x:c>
    </x:row>
    <x:row r="142">
      <x:c r="A142" t="str">
        <x:v>NQO-NQD-16</x:v>
      </x:c>
      <x:c r="B142" t="str">
        <x:v>NQO-NQD</x:v>
      </x:c>
      <x:c r="C142" t="str">
        <x:v>Strengthening</x:v>
      </x:c>
      <x:c r="D142" t="str">
        <x:v>B</x:v>
      </x:c>
      <x:c r="E142" t="str">
        <x:v>Offshore</x:v>
      </x:c>
      <x:c r="F142" t="str">
        <x:v>Access and permit readiness</x:v>
      </x:c>
      <x:c r="G142" t="str"/>
      <x:c r="H142" t="str">
        <x:v>FS</x:v>
      </x:c>
      <x:c r="I142" t="n">
        <x:v>96</x:v>
      </x:c>
      <x:c r="J142" t="n">
        <x:v>176</x:v>
      </x:c>
      <x:c r="K142" t="n">
        <x:v>81</x:v>
      </x:c>
      <x:c r="L142" t="str">
        <x:v>Offshore Manager</x:v>
      </x:c>
      <x:c r="M142" t="str">
        <x:v>fronts</x:v>
      </x:c>
      <x:c r="N142"/>
      <x:c r="O142"/>
      <x:c r="P142"/>
      <x:c r="Q142" s="10" t="n">
        <x:v>0</x:v>
      </x:c>
      <x:c r="R142" t="str">
        <x:v>Not started</x:v>
      </x:c>
      <x:c r="S142" t="str">
        <x:v>Provisional</x:v>
      </x:c>
      <x:c r="T142" t="str">
        <x:v>Verify measured scope, resources and predecessor logic</x:v>
      </x:c>
    </x:row>
    <x:row r="143">
      <x:c r="A143" t="str">
        <x:v>NQO-NQD-17</x:v>
      </x:c>
      <x:c r="B143" t="str">
        <x:v>NQO-NQD</x:v>
      </x:c>
      <x:c r="C143" t="str">
        <x:v>Strengthening</x:v>
      </x:c>
      <x:c r="D143" t="str">
        <x:v>B</x:v>
      </x:c>
      <x:c r="E143" t="str">
        <x:v>Offshore</x:v>
      </x:c>
      <x:c r="F143" t="str">
        <x:v>Temporary access and works</x:v>
      </x:c>
      <x:c r="G143" t="str">
        <x:v>NQO-NQD-16</x:v>
      </x:c>
      <x:c r="H143" t="str">
        <x:v>FS</x:v>
      </x:c>
      <x:c r="I143" t="n">
        <x:v>121</x:v>
      </x:c>
      <x:c r="J143" t="n">
        <x:v>211</x:v>
      </x:c>
      <x:c r="K143" t="n">
        <x:v>91</x:v>
      </x:c>
      <x:c r="L143" t="str">
        <x:v>Offshore Manager</x:v>
      </x:c>
      <x:c r="M143" t="str">
        <x:v>workfronts</x:v>
      </x:c>
      <x:c r="N143"/>
      <x:c r="O143"/>
      <x:c r="P143"/>
      <x:c r="Q143" s="10" t="n">
        <x:v>0</x:v>
      </x:c>
      <x:c r="R143" t="str">
        <x:v>Not started</x:v>
      </x:c>
      <x:c r="S143" t="str">
        <x:v>Provisional</x:v>
      </x:c>
      <x:c r="T143" t="str">
        <x:v>Verify measured scope, resources and predecessor logic</x:v>
      </x:c>
    </x:row>
    <x:row r="144">
      <x:c r="A144" t="str">
        <x:v>NQO-NQD-18</x:v>
      </x:c>
      <x:c r="B144" t="str">
        <x:v>NQO-NQD</x:v>
      </x:c>
      <x:c r="C144" t="str">
        <x:v>Strengthening</x:v>
      </x:c>
      <x:c r="D144" t="str">
        <x:v>B</x:v>
      </x:c>
      <x:c r="E144" t="str">
        <x:v>Offshore</x:v>
      </x:c>
      <x:c r="F144" t="str">
        <x:v>Structural fit-up or landing</x:v>
      </x:c>
      <x:c r="G144" t="str">
        <x:v>NQO-NQD-17</x:v>
      </x:c>
      <x:c r="H144" t="str">
        <x:v>FS</x:v>
      </x:c>
      <x:c r="I144" t="n">
        <x:v>146</x:v>
      </x:c>
      <x:c r="J144" t="n">
        <x:v>236</x:v>
      </x:c>
      <x:c r="K144" t="n">
        <x:v>91</x:v>
      </x:c>
      <x:c r="L144" t="str">
        <x:v>Offshore Manager</x:v>
      </x:c>
      <x:c r="M144" t="str">
        <x:v>assemblies</x:v>
      </x:c>
      <x:c r="N144"/>
      <x:c r="O144"/>
      <x:c r="P144"/>
      <x:c r="Q144" s="10" t="n">
        <x:v>0</x:v>
      </x:c>
      <x:c r="R144" t="str">
        <x:v>Not started</x:v>
      </x:c>
      <x:c r="S144" t="str">
        <x:v>Provisional</x:v>
      </x:c>
      <x:c r="T144" t="str">
        <x:v>Verify measured scope, resources and predecessor logic</x:v>
      </x:c>
    </x:row>
    <x:row r="145">
      <x:c r="A145" t="str">
        <x:v>NQO-NQD-19</x:v>
      </x:c>
      <x:c r="B145" t="str">
        <x:v>NQO-NQD</x:v>
      </x:c>
      <x:c r="C145" t="str">
        <x:v>Strengthening</x:v>
      </x:c>
      <x:c r="D145" t="str">
        <x:v>B</x:v>
      </x:c>
      <x:c r="E145" t="str">
        <x:v>Offshore</x:v>
      </x:c>
      <x:c r="F145" t="str">
        <x:v>Connection welding and bolting</x:v>
      </x:c>
      <x:c r="G145" t="str">
        <x:v>NQO-NQD-18</x:v>
      </x:c>
      <x:c r="H145" t="str">
        <x:v>FS</x:v>
      </x:c>
      <x:c r="I145" t="n">
        <x:v>161</x:v>
      </x:c>
      <x:c r="J145" t="n">
        <x:v>251</x:v>
      </x:c>
      <x:c r="K145" t="n">
        <x:v>91</x:v>
      </x:c>
      <x:c r="L145" t="str">
        <x:v>Offshore Manager</x:v>
      </x:c>
      <x:c r="M145" t="str">
        <x:v>joints</x:v>
      </x:c>
      <x:c r="N145"/>
      <x:c r="O145"/>
      <x:c r="P145"/>
      <x:c r="Q145" s="10" t="n">
        <x:v>0</x:v>
      </x:c>
      <x:c r="R145" t="str">
        <x:v>Not started</x:v>
      </x:c>
      <x:c r="S145" t="str">
        <x:v>Provisional</x:v>
      </x:c>
      <x:c r="T145" t="str">
        <x:v>Verify measured scope, resources and predecessor logic</x:v>
      </x:c>
    </x:row>
    <x:row r="146">
      <x:c r="A146" t="str">
        <x:v>NQO-NQD-20</x:v>
      </x:c>
      <x:c r="B146" t="str">
        <x:v>NQO-NQD</x:v>
      </x:c>
      <x:c r="C146" t="str">
        <x:v>Strengthening</x:v>
      </x:c>
      <x:c r="D146" t="str">
        <x:v>B</x:v>
      </x:c>
      <x:c r="E146" t="str">
        <x:v>Offshore</x:v>
      </x:c>
      <x:c r="F146" t="str">
        <x:v>Inspection and coating restoration</x:v>
      </x:c>
      <x:c r="G146" t="str">
        <x:v>NQO-NQD-19</x:v>
      </x:c>
      <x:c r="H146" t="str">
        <x:v>FS</x:v>
      </x:c>
      <x:c r="I146" t="n">
        <x:v>181</x:v>
      </x:c>
      <x:c r="J146" t="n">
        <x:v>271</x:v>
      </x:c>
      <x:c r="K146" t="n">
        <x:v>91</x:v>
      </x:c>
      <x:c r="L146" t="str">
        <x:v>QAQC Manager</x:v>
      </x:c>
      <x:c r="M146" t="str">
        <x:v>joints</x:v>
      </x:c>
      <x:c r="N146"/>
      <x:c r="O146"/>
      <x:c r="P146"/>
      <x:c r="Q146" s="10" t="n">
        <x:v>0</x:v>
      </x:c>
      <x:c r="R146" t="str">
        <x:v>Not started</x:v>
      </x:c>
      <x:c r="S146" t="str">
        <x:v>Provisional</x:v>
      </x:c>
      <x:c r="T146" t="str">
        <x:v>Verify measured scope, resources and predecessor logic</x:v>
      </x:c>
    </x:row>
    <x:row r="147">
      <x:c r="A147" t="str">
        <x:v>NQO-NQD-21</x:v>
      </x:c>
      <x:c r="B147" t="str">
        <x:v>NQO-NQD</x:v>
      </x:c>
      <x:c r="C147" t="str">
        <x:v>Strengthening</x:v>
      </x:c>
      <x:c r="D147" t="str">
        <x:v>B</x:v>
      </x:c>
      <x:c r="E147" t="str">
        <x:v>Closeout</x:v>
      </x:c>
      <x:c r="F147" t="str">
        <x:v>Punch closure and dossier</x:v>
      </x:c>
      <x:c r="G147" t="str"/>
      <x:c r="H147" t="str">
        <x:v>FS</x:v>
      </x:c>
      <x:c r="I147" t="n">
        <x:v>271</x:v>
      </x:c>
      <x:c r="J147" t="n">
        <x:v>355</x:v>
      </x:c>
      <x:c r="K147" t="n">
        <x:v>85</x:v>
      </x:c>
      <x:c r="L147" t="str">
        <x:v>Completion Manager</x:v>
      </x:c>
      <x:c r="M147" t="str">
        <x:v>packs</x:v>
      </x:c>
      <x:c r="N147"/>
      <x:c r="O147"/>
      <x:c r="P147"/>
      <x:c r="Q147" s="10" t="n">
        <x:v>0</x:v>
      </x:c>
      <x:c r="R147" t="str">
        <x:v>Not started</x:v>
      </x:c>
      <x:c r="S147" t="str">
        <x:v>Provisional</x:v>
      </x:c>
      <x:c r="T147" t="str">
        <x:v>Verify measured scope, resources and predecessor logic</x:v>
      </x:c>
    </x:row>
    <x:row r="148">
      <x:c r="A148" t="str">
        <x:v>NQO-NQD-22</x:v>
      </x:c>
      <x:c r="B148" t="str">
        <x:v>NQO-NQD</x:v>
      </x:c>
      <x:c r="C148" t="str">
        <x:v>Strengthening</x:v>
      </x:c>
      <x:c r="D148" t="str">
        <x:v>B</x:v>
      </x:c>
      <x:c r="E148" t="str">
        <x:v>Closeout</x:v>
      </x:c>
      <x:c r="F148" t="str">
        <x:v>Client acceptance and final handover</x:v>
      </x:c>
      <x:c r="G148" t="str">
        <x:v>NQO-NQD-21</x:v>
      </x:c>
      <x:c r="H148" t="str">
        <x:v>FS</x:v>
      </x:c>
      <x:c r="I148" t="n">
        <x:v>336</x:v>
      </x:c>
      <x:c r="J148" t="n">
        <x:v>355</x:v>
      </x:c>
      <x:c r="K148" t="n">
        <x:v>20</x:v>
      </x:c>
      <x:c r="L148" t="str">
        <x:v>Project Director</x:v>
      </x:c>
      <x:c r="M148" t="str">
        <x:v>milestones</x:v>
      </x:c>
      <x:c r="N148"/>
      <x:c r="O148"/>
      <x:c r="P148"/>
      <x:c r="Q148" s="10" t="n">
        <x:v>0</x:v>
      </x:c>
      <x:c r="R148" t="str">
        <x:v>Not started</x:v>
      </x:c>
      <x:c r="S148" t="str">
        <x:v>Provisional</x:v>
      </x:c>
      <x:c r="T148" t="str">
        <x:v>Verify measured scope, resources and predecessor logic</x:v>
      </x:c>
    </x:row>
    <x:row r="149">
      <x:c r="A149" t="str">
        <x:v>WIN-NC-01</x:v>
      </x:c>
      <x:c r="B149" t="str">
        <x:v>WIN-NC</x:v>
      </x:c>
      <x:c r="C149" t="str">
        <x:v>Strengthening</x:v>
      </x:c>
      <x:c r="D149" t="str">
        <x:v>B</x:v>
      </x:c>
      <x:c r="E149" t="str">
        <x:v>Engineering</x:v>
      </x:c>
      <x:c r="F149" t="str">
        <x:v>Existing-condition survey</x:v>
      </x:c>
      <x:c r="G149" t="str"/>
      <x:c r="H149" t="str">
        <x:v>FS</x:v>
      </x:c>
      <x:c r="I149" t="n">
        <x:v>49</x:v>
      </x:c>
      <x:c r="J149" t="n">
        <x:v>76</x:v>
      </x:c>
      <x:c r="K149" t="n">
        <x:v>28</x:v>
      </x:c>
      <x:c r="L149" t="str">
        <x:v>Engineering Manager</x:v>
      </x:c>
      <x:c r="M149" t="str">
        <x:v>survey</x:v>
      </x:c>
      <x:c r="N149"/>
      <x:c r="O149"/>
      <x:c r="P149"/>
      <x:c r="Q149" s="10" t="n">
        <x:v>0</x:v>
      </x:c>
      <x:c r="R149" t="str">
        <x:v>Not started</x:v>
      </x:c>
      <x:c r="S149" t="str">
        <x:v>Provisional</x:v>
      </x:c>
      <x:c r="T149" t="str">
        <x:v>Verify measured scope, resources and predecessor logic</x:v>
      </x:c>
    </x:row>
    <x:row r="150">
      <x:c r="A150" t="str">
        <x:v>WIN-NC-02</x:v>
      </x:c>
      <x:c r="B150" t="str">
        <x:v>WIN-NC</x:v>
      </x:c>
      <x:c r="C150" t="str">
        <x:v>Strengthening</x:v>
      </x:c>
      <x:c r="D150" t="str">
        <x:v>B</x:v>
      </x:c>
      <x:c r="E150" t="str">
        <x:v>Engineering</x:v>
      </x:c>
      <x:c r="F150" t="str">
        <x:v>Design basis and interface verification</x:v>
      </x:c>
      <x:c r="G150" t="str">
        <x:v>WIN-NC-01</x:v>
      </x:c>
      <x:c r="H150" t="str">
        <x:v>FS</x:v>
      </x:c>
      <x:c r="I150" t="n">
        <x:v>63</x:v>
      </x:c>
      <x:c r="J150" t="n">
        <x:v>86</x:v>
      </x:c>
      <x:c r="K150" t="n">
        <x:v>24</x:v>
      </x:c>
      <x:c r="L150" t="str">
        <x:v>Engineering Manager</x:v>
      </x:c>
      <x:c r="M150" t="str">
        <x:v>design</x:v>
      </x:c>
      <x:c r="N150"/>
      <x:c r="O150"/>
      <x:c r="P150"/>
      <x:c r="Q150" s="10" t="n">
        <x:v>0</x:v>
      </x:c>
      <x:c r="R150" t="str">
        <x:v>Not started</x:v>
      </x:c>
      <x:c r="S150" t="str">
        <x:v>Provisional</x:v>
      </x:c>
      <x:c r="T150" t="str">
        <x:v>Verify measured scope, resources and predecessor logic</x:v>
      </x:c>
    </x:row>
    <x:row r="151">
      <x:c r="A151" t="str">
        <x:v>WIN-NC-03</x:v>
      </x:c>
      <x:c r="B151" t="str">
        <x:v>WIN-NC</x:v>
      </x:c>
      <x:c r="C151" t="str">
        <x:v>Strengthening</x:v>
      </x:c>
      <x:c r="D151" t="str">
        <x:v>B</x:v>
      </x:c>
      <x:c r="E151" t="str">
        <x:v>Engineering</x:v>
      </x:c>
      <x:c r="F151" t="str">
        <x:v>Detailed structural and temporary works engineering</x:v>
      </x:c>
      <x:c r="G151" t="str">
        <x:v>WIN-NC-02</x:v>
      </x:c>
      <x:c r="H151" t="str">
        <x:v>FS</x:v>
      </x:c>
      <x:c r="I151" t="n">
        <x:v>76</x:v>
      </x:c>
      <x:c r="J151" t="n">
        <x:v>140</x:v>
      </x:c>
      <x:c r="K151" t="n">
        <x:v>65</x:v>
      </x:c>
      <x:c r="L151" t="str">
        <x:v>Engineering Manager</x:v>
      </x:c>
      <x:c r="M151" t="str">
        <x:v>design</x:v>
      </x:c>
      <x:c r="N151"/>
      <x:c r="O151"/>
      <x:c r="P151"/>
      <x:c r="Q151" s="10" t="n">
        <x:v>0</x:v>
      </x:c>
      <x:c r="R151" t="str">
        <x:v>Not started</x:v>
      </x:c>
      <x:c r="S151" t="str">
        <x:v>Provisional</x:v>
      </x:c>
      <x:c r="T151" t="str">
        <x:v>Verify measured scope, resources and predecessor logic</x:v>
      </x:c>
    </x:row>
    <x:row r="152">
      <x:c r="A152" t="str">
        <x:v>WIN-NC-04</x:v>
      </x:c>
      <x:c r="B152" t="str">
        <x:v>WIN-NC</x:v>
      </x:c>
      <x:c r="C152" t="str">
        <x:v>Strengthening</x:v>
      </x:c>
      <x:c r="D152" t="str">
        <x:v>B</x:v>
      </x:c>
      <x:c r="E152" t="str">
        <x:v>Engineering</x:v>
      </x:c>
      <x:c r="F152" t="str">
        <x:v>Fabrication drawing release</x:v>
      </x:c>
      <x:c r="G152" t="str">
        <x:v>WIN-NC-03</x:v>
      </x:c>
      <x:c r="H152" t="str">
        <x:v>FS</x:v>
      </x:c>
      <x:c r="I152" t="n">
        <x:v>96</x:v>
      </x:c>
      <x:c r="J152" t="n">
        <x:v>153</x:v>
      </x:c>
      <x:c r="K152" t="n">
        <x:v>58</x:v>
      </x:c>
      <x:c r="L152" t="str">
        <x:v>Engineering Manager</x:v>
      </x:c>
      <x:c r="M152" t="str">
        <x:v>drawing</x:v>
      </x:c>
      <x:c r="N152"/>
      <x:c r="O152"/>
      <x:c r="P152"/>
      <x:c r="Q152" s="10" t="n">
        <x:v>0</x:v>
      </x:c>
      <x:c r="R152" t="str">
        <x:v>Not started</x:v>
      </x:c>
      <x:c r="S152" t="str">
        <x:v>Provisional</x:v>
      </x:c>
      <x:c r="T152" t="str">
        <x:v>Verify measured scope, resources and predecessor logic</x:v>
      </x:c>
    </x:row>
    <x:row r="153">
      <x:c r="A153" t="str">
        <x:v>WIN-NC-05</x:v>
      </x:c>
      <x:c r="B153" t="str">
        <x:v>WIN-NC</x:v>
      </x:c>
      <x:c r="C153" t="str">
        <x:v>Strengthening</x:v>
      </x:c>
      <x:c r="D153" t="str">
        <x:v>B</x:v>
      </x:c>
      <x:c r="E153" t="str">
        <x:v>Procurement</x:v>
      </x:c>
      <x:c r="F153" t="str">
        <x:v>Material requisitions and vendor approval</x:v>
      </x:c>
      <x:c r="G153" t="str"/>
      <x:c r="H153" t="str">
        <x:v>FS</x:v>
      </x:c>
      <x:c r="I153" t="n">
        <x:v>76</x:v>
      </x:c>
      <x:c r="J153" t="n">
        <x:v>103</x:v>
      </x:c>
      <x:c r="K153" t="n">
        <x:v>28</x:v>
      </x:c>
      <x:c r="L153" t="str">
        <x:v>Procurement Manager</x:v>
      </x:c>
      <x:c r="M153" t="str">
        <x:v>MR</x:v>
      </x:c>
      <x:c r="N153"/>
      <x:c r="O153"/>
      <x:c r="P153"/>
      <x:c r="Q153" s="10" t="n">
        <x:v>0</x:v>
      </x:c>
      <x:c r="R153" t="str">
        <x:v>Not started</x:v>
      </x:c>
      <x:c r="S153" t="str">
        <x:v>Provisional</x:v>
      </x:c>
      <x:c r="T153" t="str">
        <x:v>Verify measured scope, resources and predecessor logic</x:v>
      </x:c>
    </x:row>
    <x:row r="154">
      <x:c r="A154" t="str">
        <x:v>WIN-NC-06</x:v>
      </x:c>
      <x:c r="B154" t="str">
        <x:v>WIN-NC</x:v>
      </x:c>
      <x:c r="C154" t="str">
        <x:v>Strengthening</x:v>
      </x:c>
      <x:c r="D154" t="str">
        <x:v>B</x:v>
      </x:c>
      <x:c r="E154" t="str">
        <x:v>Procurement</x:v>
      </x:c>
      <x:c r="F154" t="str">
        <x:v>Steel purchasing and delivery</x:v>
      </x:c>
      <x:c r="G154" t="str">
        <x:v>WIN-NC-05</x:v>
      </x:c>
      <x:c r="H154" t="str">
        <x:v>FS</x:v>
      </x:c>
      <x:c r="I154" t="n">
        <x:v>96</x:v>
      </x:c>
      <x:c r="J154" t="n">
        <x:v>158</x:v>
      </x:c>
      <x:c r="K154" t="n">
        <x:v>63</x:v>
      </x:c>
      <x:c r="L154" t="str">
        <x:v>Procurement Manager</x:v>
      </x:c>
      <x:c r="M154" t="str">
        <x:v>MT</x:v>
      </x:c>
      <x:c r="N154"/>
      <x:c r="O154"/>
      <x:c r="P154"/>
      <x:c r="Q154" s="10" t="n">
        <x:v>0</x:v>
      </x:c>
      <x:c r="R154" t="str">
        <x:v>Not started</x:v>
      </x:c>
      <x:c r="S154" t="str">
        <x:v>Provisional</x:v>
      </x:c>
      <x:c r="T154" t="str">
        <x:v>Verify measured scope, resources and predecessor logic</x:v>
      </x:c>
    </x:row>
    <x:row r="155">
      <x:c r="A155" t="str">
        <x:v>WIN-NC-07</x:v>
      </x:c>
      <x:c r="B155" t="str">
        <x:v>WIN-NC</x:v>
      </x:c>
      <x:c r="C155" t="str">
        <x:v>Strengthening</x:v>
      </x:c>
      <x:c r="D155" t="str">
        <x:v>B</x:v>
      </x:c>
      <x:c r="E155" t="str">
        <x:v>Fabrication</x:v>
      </x:c>
      <x:c r="F155" t="str">
        <x:v>Cutting and material preparation</x:v>
      </x:c>
      <x:c r="G155" t="str"/>
      <x:c r="H155" t="str">
        <x:v>FS</x:v>
      </x:c>
      <x:c r="I155" t="n">
        <x:v>123</x:v>
      </x:c>
      <x:c r="J155" t="n">
        <x:v>153</x:v>
      </x:c>
      <x:c r="K155" t="n">
        <x:v>31</x:v>
      </x:c>
      <x:c r="L155" t="str">
        <x:v>Fabrication Manager</x:v>
      </x:c>
      <x:c r="M155" t="str">
        <x:v>pieces</x:v>
      </x:c>
      <x:c r="N155"/>
      <x:c r="O155"/>
      <x:c r="P155"/>
      <x:c r="Q155" s="10" t="n">
        <x:v>0</x:v>
      </x:c>
      <x:c r="R155" t="str">
        <x:v>Not started</x:v>
      </x:c>
      <x:c r="S155" t="str">
        <x:v>Provisional</x:v>
      </x:c>
      <x:c r="T155" t="str">
        <x:v>Verify measured scope, resources and predecessor logic</x:v>
      </x:c>
    </x:row>
    <x:row r="156">
      <x:c r="A156" t="str">
        <x:v>WIN-NC-08</x:v>
      </x:c>
      <x:c r="B156" t="str">
        <x:v>WIN-NC</x:v>
      </x:c>
      <x:c r="C156" t="str">
        <x:v>Strengthening</x:v>
      </x:c>
      <x:c r="D156" t="str">
        <x:v>B</x:v>
      </x:c>
      <x:c r="E156" t="str">
        <x:v>Fabrication</x:v>
      </x:c>
      <x:c r="F156" t="str">
        <x:v>Assembly and fit-up</x:v>
      </x:c>
      <x:c r="G156" t="str">
        <x:v>WIN-NC-07</x:v>
      </x:c>
      <x:c r="H156" t="str">
        <x:v>FS</x:v>
      </x:c>
      <x:c r="I156" t="n">
        <x:v>138</x:v>
      </x:c>
      <x:c r="J156" t="n">
        <x:v>183</x:v>
      </x:c>
      <x:c r="K156" t="n">
        <x:v>46</x:v>
      </x:c>
      <x:c r="L156" t="str">
        <x:v>Fabrication Manager</x:v>
      </x:c>
      <x:c r="M156" t="str">
        <x:v>assemblies</x:v>
      </x:c>
      <x:c r="N156"/>
      <x:c r="O156"/>
      <x:c r="P156"/>
      <x:c r="Q156" s="10" t="n">
        <x:v>0</x:v>
      </x:c>
      <x:c r="R156" t="str">
        <x:v>Not started</x:v>
      </x:c>
      <x:c r="S156" t="str">
        <x:v>Provisional</x:v>
      </x:c>
      <x:c r="T156" t="str">
        <x:v>Verify measured scope, resources and predecessor logic</x:v>
      </x:c>
    </x:row>
    <x:row r="157">
      <x:c r="A157" t="str">
        <x:v>WIN-NC-09</x:v>
      </x:c>
      <x:c r="B157" t="str">
        <x:v>WIN-NC</x:v>
      </x:c>
      <x:c r="C157" t="str">
        <x:v>Strengthening</x:v>
      </x:c>
      <x:c r="D157" t="str">
        <x:v>B</x:v>
      </x:c>
      <x:c r="E157" t="str">
        <x:v>Fabrication</x:v>
      </x:c>
      <x:c r="F157" t="str">
        <x:v>Shop welding</x:v>
      </x:c>
      <x:c r="G157" t="str">
        <x:v>WIN-NC-08</x:v>
      </x:c>
      <x:c r="H157" t="str">
        <x:v>FS</x:v>
      </x:c>
      <x:c r="I157" t="n">
        <x:v>151</x:v>
      </x:c>
      <x:c r="J157" t="n">
        <x:v>196</x:v>
      </x:c>
      <x:c r="K157" t="n">
        <x:v>46</x:v>
      </x:c>
      <x:c r="L157" t="str">
        <x:v>Fabrication Manager</x:v>
      </x:c>
      <x:c r="M157" t="str">
        <x:v>weld-m</x:v>
      </x:c>
      <x:c r="N157"/>
      <x:c r="O157"/>
      <x:c r="P157"/>
      <x:c r="Q157" s="10" t="n">
        <x:v>0</x:v>
      </x:c>
      <x:c r="R157" t="str">
        <x:v>Not started</x:v>
      </x:c>
      <x:c r="S157" t="str">
        <x:v>Provisional</x:v>
      </x:c>
      <x:c r="T157" t="str">
        <x:v>Verify measured scope, resources and predecessor logic</x:v>
      </x:c>
    </x:row>
    <x:row r="158">
      <x:c r="A158" t="str">
        <x:v>WIN-NC-10</x:v>
      </x:c>
      <x:c r="B158" t="str">
        <x:v>WIN-NC</x:v>
      </x:c>
      <x:c r="C158" t="str">
        <x:v>Strengthening</x:v>
      </x:c>
      <x:c r="D158" t="str">
        <x:v>B</x:v>
      </x:c>
      <x:c r="E158" t="str">
        <x:v>Quality</x:v>
      </x:c>
      <x:c r="F158" t="str">
        <x:v>NDT and dimensional acceptance</x:v>
      </x:c>
      <x:c r="G158" t="str"/>
      <x:c r="H158" t="str">
        <x:v>FS</x:v>
      </x:c>
      <x:c r="I158" t="n">
        <x:v>168</x:v>
      </x:c>
      <x:c r="J158" t="n">
        <x:v>205</x:v>
      </x:c>
      <x:c r="K158" t="n">
        <x:v>38</x:v>
      </x:c>
      <x:c r="L158" t="str">
        <x:v>QAQC Manager</x:v>
      </x:c>
      <x:c r="M158" t="str">
        <x:v>joints</x:v>
      </x:c>
      <x:c r="N158"/>
      <x:c r="O158"/>
      <x:c r="P158"/>
      <x:c r="Q158" s="10" t="n">
        <x:v>0</x:v>
      </x:c>
      <x:c r="R158" t="str">
        <x:v>Not started</x:v>
      </x:c>
      <x:c r="S158" t="str">
        <x:v>Provisional</x:v>
      </x:c>
      <x:c r="T158" t="str">
        <x:v>Verify measured scope, resources and predecessor logic</x:v>
      </x:c>
    </x:row>
    <x:row r="159">
      <x:c r="A159" t="str">
        <x:v>WIN-NC-11</x:v>
      </x:c>
      <x:c r="B159" t="str">
        <x:v>WIN-NC</x:v>
      </x:c>
      <x:c r="C159" t="str">
        <x:v>Strengthening</x:v>
      </x:c>
      <x:c r="D159" t="str">
        <x:v>B</x:v>
      </x:c>
      <x:c r="E159" t="str">
        <x:v>Quality</x:v>
      </x:c>
      <x:c r="F159" t="str">
        <x:v>Blast, coat and preserve</x:v>
      </x:c>
      <x:c r="G159" t="str">
        <x:v>WIN-NC-10</x:v>
      </x:c>
      <x:c r="H159" t="str">
        <x:v>FS</x:v>
      </x:c>
      <x:c r="I159" t="n">
        <x:v>183</x:v>
      </x:c>
      <x:c r="J159" t="n">
        <x:v>213</x:v>
      </x:c>
      <x:c r="K159" t="n">
        <x:v>31</x:v>
      </x:c>
      <x:c r="L159" t="str">
        <x:v>QAQC Manager</x:v>
      </x:c>
      <x:c r="M159" t="str">
        <x:v>m2</x:v>
      </x:c>
      <x:c r="N159"/>
      <x:c r="O159"/>
      <x:c r="P159"/>
      <x:c r="Q159" s="10" t="n">
        <x:v>0</x:v>
      </x:c>
      <x:c r="R159" t="str">
        <x:v>Not started</x:v>
      </x:c>
      <x:c r="S159" t="str">
        <x:v>Provisional</x:v>
      </x:c>
      <x:c r="T159" t="str">
        <x:v>Verify measured scope, resources and predecessor logic</x:v>
      </x:c>
    </x:row>
    <x:row r="160">
      <x:c r="A160" t="str">
        <x:v>WIN-NC-13</x:v>
      </x:c>
      <x:c r="B160" t="str">
        <x:v>WIN-NC</x:v>
      </x:c>
      <x:c r="C160" t="str">
        <x:v>Strengthening</x:v>
      </x:c>
      <x:c r="D160" t="str">
        <x:v>B</x:v>
      </x:c>
      <x:c r="E160" t="str">
        <x:v>Logistics</x:v>
      </x:c>
      <x:c r="F160" t="str">
        <x:v>Cargo manifest and shore base transfer</x:v>
      </x:c>
      <x:c r="G160" t="str"/>
      <x:c r="H160" t="str">
        <x:v>FS</x:v>
      </x:c>
      <x:c r="I160" t="n">
        <x:v>183</x:v>
      </x:c>
      <x:c r="J160" t="n">
        <x:v>223</x:v>
      </x:c>
      <x:c r="K160" t="n">
        <x:v>41</x:v>
      </x:c>
      <x:c r="L160" t="str">
        <x:v>Logistics Manager</x:v>
      </x:c>
      <x:c r="M160" t="str">
        <x:v>shipments</x:v>
      </x:c>
      <x:c r="N160"/>
      <x:c r="O160"/>
      <x:c r="P160"/>
      <x:c r="Q160" s="10" t="n">
        <x:v>0</x:v>
      </x:c>
      <x:c r="R160" t="str">
        <x:v>Not started</x:v>
      </x:c>
      <x:c r="S160" t="str">
        <x:v>Provisional</x:v>
      </x:c>
      <x:c r="T160" t="str">
        <x:v>Verify measured scope, resources and predecessor logic</x:v>
      </x:c>
    </x:row>
    <x:row r="161">
      <x:c r="A161" t="str">
        <x:v>WIN-NC-14</x:v>
      </x:c>
      <x:c r="B161" t="str">
        <x:v>WIN-NC</x:v>
      </x:c>
      <x:c r="C161" t="str">
        <x:v>Strengthening</x:v>
      </x:c>
      <x:c r="D161" t="str">
        <x:v>B</x:v>
      </x:c>
      <x:c r="E161" t="str">
        <x:v>Marine</x:v>
      </x:c>
      <x:c r="F161" t="str">
        <x:v>Vessel technical selection and assurance</x:v>
      </x:c>
      <x:c r="G161" t="str"/>
      <x:c r="H161" t="str">
        <x:v>FS</x:v>
      </x:c>
      <x:c r="I161" t="n">
        <x:v>93</x:v>
      </x:c>
      <x:c r="J161" t="n">
        <x:v>183</x:v>
      </x:c>
      <x:c r="K161" t="n">
        <x:v>91</x:v>
      </x:c>
      <x:c r="L161" t="str">
        <x:v>Marine Manager</x:v>
      </x:c>
      <x:c r="M161" t="str">
        <x:v>vessel</x:v>
      </x:c>
      <x:c r="N161"/>
      <x:c r="O161"/>
      <x:c r="P161"/>
      <x:c r="Q161" s="10" t="n">
        <x:v>0</x:v>
      </x:c>
      <x:c r="R161" t="str">
        <x:v>Not started</x:v>
      </x:c>
      <x:c r="S161" t="str">
        <x:v>Provisional</x:v>
      </x:c>
      <x:c r="T161" t="str">
        <x:v>Verify measured scope, resources and predecessor logic</x:v>
      </x:c>
    </x:row>
    <x:row r="162">
      <x:c r="A162" t="str">
        <x:v>WIN-NC-16</x:v>
      </x:c>
      <x:c r="B162" t="str">
        <x:v>WIN-NC</x:v>
      </x:c>
      <x:c r="C162" t="str">
        <x:v>Strengthening</x:v>
      </x:c>
      <x:c r="D162" t="str">
        <x:v>B</x:v>
      </x:c>
      <x:c r="E162" t="str">
        <x:v>Offshore</x:v>
      </x:c>
      <x:c r="F162" t="str">
        <x:v>Access and permit readiness</x:v>
      </x:c>
      <x:c r="G162" t="str"/>
      <x:c r="H162" t="str">
        <x:v>FS</x:v>
      </x:c>
      <x:c r="I162" t="n">
        <x:v>108</x:v>
      </x:c>
      <x:c r="J162" t="n">
        <x:v>188</x:v>
      </x:c>
      <x:c r="K162" t="n">
        <x:v>81</x:v>
      </x:c>
      <x:c r="L162" t="str">
        <x:v>Offshore Manager</x:v>
      </x:c>
      <x:c r="M162" t="str">
        <x:v>fronts</x:v>
      </x:c>
      <x:c r="N162"/>
      <x:c r="O162"/>
      <x:c r="P162"/>
      <x:c r="Q162" s="10" t="n">
        <x:v>0</x:v>
      </x:c>
      <x:c r="R162" t="str">
        <x:v>Not started</x:v>
      </x:c>
      <x:c r="S162" t="str">
        <x:v>Provisional</x:v>
      </x:c>
      <x:c r="T162" t="str">
        <x:v>Verify measured scope, resources and predecessor logic</x:v>
      </x:c>
    </x:row>
    <x:row r="163">
      <x:c r="A163" t="str">
        <x:v>WIN-NC-17</x:v>
      </x:c>
      <x:c r="B163" t="str">
        <x:v>WIN-NC</x:v>
      </x:c>
      <x:c r="C163" t="str">
        <x:v>Strengthening</x:v>
      </x:c>
      <x:c r="D163" t="str">
        <x:v>B</x:v>
      </x:c>
      <x:c r="E163" t="str">
        <x:v>Offshore</x:v>
      </x:c>
      <x:c r="F163" t="str">
        <x:v>Temporary access and works</x:v>
      </x:c>
      <x:c r="G163" t="str">
        <x:v>WIN-NC-16</x:v>
      </x:c>
      <x:c r="H163" t="str">
        <x:v>FS</x:v>
      </x:c>
      <x:c r="I163" t="n">
        <x:v>133</x:v>
      </x:c>
      <x:c r="J163" t="n">
        <x:v>223</x:v>
      </x:c>
      <x:c r="K163" t="n">
        <x:v>91</x:v>
      </x:c>
      <x:c r="L163" t="str">
        <x:v>Offshore Manager</x:v>
      </x:c>
      <x:c r="M163" t="str">
        <x:v>workfronts</x:v>
      </x:c>
      <x:c r="N163"/>
      <x:c r="O163"/>
      <x:c r="P163"/>
      <x:c r="Q163" s="10" t="n">
        <x:v>0</x:v>
      </x:c>
      <x:c r="R163" t="str">
        <x:v>Not started</x:v>
      </x:c>
      <x:c r="S163" t="str">
        <x:v>Provisional</x:v>
      </x:c>
      <x:c r="T163" t="str">
        <x:v>Verify measured scope, resources and predecessor logic</x:v>
      </x:c>
    </x:row>
    <x:row r="164">
      <x:c r="A164" t="str">
        <x:v>WIN-NC-18</x:v>
      </x:c>
      <x:c r="B164" t="str">
        <x:v>WIN-NC</x:v>
      </x:c>
      <x:c r="C164" t="str">
        <x:v>Strengthening</x:v>
      </x:c>
      <x:c r="D164" t="str">
        <x:v>B</x:v>
      </x:c>
      <x:c r="E164" t="str">
        <x:v>Offshore</x:v>
      </x:c>
      <x:c r="F164" t="str">
        <x:v>Structural fit-up or landing</x:v>
      </x:c>
      <x:c r="G164" t="str">
        <x:v>WIN-NC-17</x:v>
      </x:c>
      <x:c r="H164" t="str">
        <x:v>FS</x:v>
      </x:c>
      <x:c r="I164" t="n">
        <x:v>158</x:v>
      </x:c>
      <x:c r="J164" t="n">
        <x:v>248</x:v>
      </x:c>
      <x:c r="K164" t="n">
        <x:v>91</x:v>
      </x:c>
      <x:c r="L164" t="str">
        <x:v>Offshore Manager</x:v>
      </x:c>
      <x:c r="M164" t="str">
        <x:v>assemblies</x:v>
      </x:c>
      <x:c r="N164"/>
      <x:c r="O164"/>
      <x:c r="P164"/>
      <x:c r="Q164" s="10" t="n">
        <x:v>0</x:v>
      </x:c>
      <x:c r="R164" t="str">
        <x:v>Not started</x:v>
      </x:c>
      <x:c r="S164" t="str">
        <x:v>Provisional</x:v>
      </x:c>
      <x:c r="T164" t="str">
        <x:v>Verify measured scope, resources and predecessor logic</x:v>
      </x:c>
    </x:row>
    <x:row r="165">
      <x:c r="A165" t="str">
        <x:v>WIN-NC-19</x:v>
      </x:c>
      <x:c r="B165" t="str">
        <x:v>WIN-NC</x:v>
      </x:c>
      <x:c r="C165" t="str">
        <x:v>Strengthening</x:v>
      </x:c>
      <x:c r="D165" t="str">
        <x:v>B</x:v>
      </x:c>
      <x:c r="E165" t="str">
        <x:v>Offshore</x:v>
      </x:c>
      <x:c r="F165" t="str">
        <x:v>Connection welding and bolting</x:v>
      </x:c>
      <x:c r="G165" t="str">
        <x:v>WIN-NC-18</x:v>
      </x:c>
      <x:c r="H165" t="str">
        <x:v>FS</x:v>
      </x:c>
      <x:c r="I165" t="n">
        <x:v>173</x:v>
      </x:c>
      <x:c r="J165" t="n">
        <x:v>263</x:v>
      </x:c>
      <x:c r="K165" t="n">
        <x:v>91</x:v>
      </x:c>
      <x:c r="L165" t="str">
        <x:v>Offshore Manager</x:v>
      </x:c>
      <x:c r="M165" t="str">
        <x:v>joints</x:v>
      </x:c>
      <x:c r="N165"/>
      <x:c r="O165"/>
      <x:c r="P165"/>
      <x:c r="Q165" s="10" t="n">
        <x:v>0</x:v>
      </x:c>
      <x:c r="R165" t="str">
        <x:v>Not started</x:v>
      </x:c>
      <x:c r="S165" t="str">
        <x:v>Provisional</x:v>
      </x:c>
      <x:c r="T165" t="str">
        <x:v>Verify measured scope, resources and predecessor logic</x:v>
      </x:c>
    </x:row>
    <x:row r="166">
      <x:c r="A166" t="str">
        <x:v>WIN-NC-20</x:v>
      </x:c>
      <x:c r="B166" t="str">
        <x:v>WIN-NC</x:v>
      </x:c>
      <x:c r="C166" t="str">
        <x:v>Strengthening</x:v>
      </x:c>
      <x:c r="D166" t="str">
        <x:v>B</x:v>
      </x:c>
      <x:c r="E166" t="str">
        <x:v>Offshore</x:v>
      </x:c>
      <x:c r="F166" t="str">
        <x:v>Inspection and coating restoration</x:v>
      </x:c>
      <x:c r="G166" t="str">
        <x:v>WIN-NC-19</x:v>
      </x:c>
      <x:c r="H166" t="str">
        <x:v>FS</x:v>
      </x:c>
      <x:c r="I166" t="n">
        <x:v>193</x:v>
      </x:c>
      <x:c r="J166" t="n">
        <x:v>283</x:v>
      </x:c>
      <x:c r="K166" t="n">
        <x:v>91</x:v>
      </x:c>
      <x:c r="L166" t="str">
        <x:v>QAQC Manager</x:v>
      </x:c>
      <x:c r="M166" t="str">
        <x:v>joints</x:v>
      </x:c>
      <x:c r="N166"/>
      <x:c r="O166"/>
      <x:c r="P166"/>
      <x:c r="Q166" s="10" t="n">
        <x:v>0</x:v>
      </x:c>
      <x:c r="R166" t="str">
        <x:v>Not started</x:v>
      </x:c>
      <x:c r="S166" t="str">
        <x:v>Provisional</x:v>
      </x:c>
      <x:c r="T166" t="str">
        <x:v>Verify measured scope, resources and predecessor logic</x:v>
      </x:c>
    </x:row>
    <x:row r="167">
      <x:c r="A167" t="str">
        <x:v>WIN-NC-21</x:v>
      </x:c>
      <x:c r="B167" t="str">
        <x:v>WIN-NC</x:v>
      </x:c>
      <x:c r="C167" t="str">
        <x:v>Strengthening</x:v>
      </x:c>
      <x:c r="D167" t="str">
        <x:v>B</x:v>
      </x:c>
      <x:c r="E167" t="str">
        <x:v>Closeout</x:v>
      </x:c>
      <x:c r="F167" t="str">
        <x:v>Punch closure and dossier</x:v>
      </x:c>
      <x:c r="G167" t="str"/>
      <x:c r="H167" t="str">
        <x:v>FS</x:v>
      </x:c>
      <x:c r="I167" t="n">
        <x:v>283</x:v>
      </x:c>
      <x:c r="J167" t="n">
        <x:v>355</x:v>
      </x:c>
      <x:c r="K167" t="n">
        <x:v>73</x:v>
      </x:c>
      <x:c r="L167" t="str">
        <x:v>Completion Manager</x:v>
      </x:c>
      <x:c r="M167" t="str">
        <x:v>packs</x:v>
      </x:c>
      <x:c r="N167"/>
      <x:c r="O167"/>
      <x:c r="P167"/>
      <x:c r="Q167" s="10" t="n">
        <x:v>0</x:v>
      </x:c>
      <x:c r="R167" t="str">
        <x:v>Not started</x:v>
      </x:c>
      <x:c r="S167" t="str">
        <x:v>Provisional</x:v>
      </x:c>
      <x:c r="T167" t="str">
        <x:v>Verify measured scope, resources and predecessor logic</x:v>
      </x:c>
    </x:row>
    <x:row r="168">
      <x:c r="A168" t="str">
        <x:v>WIN-NC-22</x:v>
      </x:c>
      <x:c r="B168" t="str">
        <x:v>WIN-NC</x:v>
      </x:c>
      <x:c r="C168" t="str">
        <x:v>Strengthening</x:v>
      </x:c>
      <x:c r="D168" t="str">
        <x:v>B</x:v>
      </x:c>
      <x:c r="E168" t="str">
        <x:v>Closeout</x:v>
      </x:c>
      <x:c r="F168" t="str">
        <x:v>Client acceptance and final handover</x:v>
      </x:c>
      <x:c r="G168" t="str">
        <x:v>WIN-NC-21</x:v>
      </x:c>
      <x:c r="H168" t="str">
        <x:v>FS</x:v>
      </x:c>
      <x:c r="I168" t="n">
        <x:v>345</x:v>
      </x:c>
      <x:c r="J168" t="n">
        <x:v>355</x:v>
      </x:c>
      <x:c r="K168" t="n">
        <x:v>11</x:v>
      </x:c>
      <x:c r="L168" t="str">
        <x:v>Project Director</x:v>
      </x:c>
      <x:c r="M168" t="str">
        <x:v>milestones</x:v>
      </x:c>
      <x:c r="N168"/>
      <x:c r="O168"/>
      <x:c r="P168"/>
      <x:c r="Q168" s="10" t="n">
        <x:v>0</x:v>
      </x:c>
      <x:c r="R168" t="str">
        <x:v>Not started</x:v>
      </x:c>
      <x:c r="S168" t="str">
        <x:v>Provisional</x:v>
      </x:c>
      <x:c r="T168" t="str">
        <x:v>Verify measured scope, resources and predecessor logic</x:v>
      </x:c>
    </x:row>
    <x:row r="169">
      <x:c r="A169" t="str">
        <x:v>SCA-SC1-01</x:v>
      </x:c>
      <x:c r="B169" t="str">
        <x:v>SCA-SC1</x:v>
      </x:c>
      <x:c r="C169" t="str">
        <x:v>Strengthening</x:v>
      </x:c>
      <x:c r="D169" t="str">
        <x:v>B</x:v>
      </x:c>
      <x:c r="E169" t="str">
        <x:v>Engineering</x:v>
      </x:c>
      <x:c r="F169" t="str">
        <x:v>Existing-condition survey</x:v>
      </x:c>
      <x:c r="G169" t="str"/>
      <x:c r="H169" t="str">
        <x:v>FS</x:v>
      </x:c>
      <x:c r="I169" t="n">
        <x:v>61</x:v>
      </x:c>
      <x:c r="J169" t="n">
        <x:v>88</x:v>
      </x:c>
      <x:c r="K169" t="n">
        <x:v>28</x:v>
      </x:c>
      <x:c r="L169" t="str">
        <x:v>Engineering Manager</x:v>
      </x:c>
      <x:c r="M169" t="str">
        <x:v>survey</x:v>
      </x:c>
      <x:c r="N169"/>
      <x:c r="O169"/>
      <x:c r="P169"/>
      <x:c r="Q169" s="10" t="n">
        <x:v>0</x:v>
      </x:c>
      <x:c r="R169" t="str">
        <x:v>Not started</x:v>
      </x:c>
      <x:c r="S169" t="str">
        <x:v>Provisional</x:v>
      </x:c>
      <x:c r="T169" t="str">
        <x:v>Verify measured scope, resources and predecessor logic</x:v>
      </x:c>
    </x:row>
    <x:row r="170">
      <x:c r="A170" t="str">
        <x:v>SCA-SC1-02</x:v>
      </x:c>
      <x:c r="B170" t="str">
        <x:v>SCA-SC1</x:v>
      </x:c>
      <x:c r="C170" t="str">
        <x:v>Strengthening</x:v>
      </x:c>
      <x:c r="D170" t="str">
        <x:v>B</x:v>
      </x:c>
      <x:c r="E170" t="str">
        <x:v>Engineering</x:v>
      </x:c>
      <x:c r="F170" t="str">
        <x:v>Design basis and interface verification</x:v>
      </x:c>
      <x:c r="G170" t="str">
        <x:v>SCA-SC1-01</x:v>
      </x:c>
      <x:c r="H170" t="str">
        <x:v>FS</x:v>
      </x:c>
      <x:c r="I170" t="n">
        <x:v>75</x:v>
      </x:c>
      <x:c r="J170" t="n">
        <x:v>98</x:v>
      </x:c>
      <x:c r="K170" t="n">
        <x:v>24</x:v>
      </x:c>
      <x:c r="L170" t="str">
        <x:v>Engineering Manager</x:v>
      </x:c>
      <x:c r="M170" t="str">
        <x:v>design</x:v>
      </x:c>
      <x:c r="N170"/>
      <x:c r="O170"/>
      <x:c r="P170"/>
      <x:c r="Q170" s="10" t="n">
        <x:v>0</x:v>
      </x:c>
      <x:c r="R170" t="str">
        <x:v>Not started</x:v>
      </x:c>
      <x:c r="S170" t="str">
        <x:v>Provisional</x:v>
      </x:c>
      <x:c r="T170" t="str">
        <x:v>Verify measured scope, resources and predecessor logic</x:v>
      </x:c>
    </x:row>
    <x:row r="171">
      <x:c r="A171" t="str">
        <x:v>SCA-SC1-03</x:v>
      </x:c>
      <x:c r="B171" t="str">
        <x:v>SCA-SC1</x:v>
      </x:c>
      <x:c r="C171" t="str">
        <x:v>Strengthening</x:v>
      </x:c>
      <x:c r="D171" t="str">
        <x:v>B</x:v>
      </x:c>
      <x:c r="E171" t="str">
        <x:v>Engineering</x:v>
      </x:c>
      <x:c r="F171" t="str">
        <x:v>Detailed structural and temporary works engineering</x:v>
      </x:c>
      <x:c r="G171" t="str">
        <x:v>SCA-SC1-02</x:v>
      </x:c>
      <x:c r="H171" t="str">
        <x:v>FS</x:v>
      </x:c>
      <x:c r="I171" t="n">
        <x:v>88</x:v>
      </x:c>
      <x:c r="J171" t="n">
        <x:v>152</x:v>
      </x:c>
      <x:c r="K171" t="n">
        <x:v>65</x:v>
      </x:c>
      <x:c r="L171" t="str">
        <x:v>Engineering Manager</x:v>
      </x:c>
      <x:c r="M171" t="str">
        <x:v>design</x:v>
      </x:c>
      <x:c r="N171"/>
      <x:c r="O171"/>
      <x:c r="P171"/>
      <x:c r="Q171" s="10" t="n">
        <x:v>0</x:v>
      </x:c>
      <x:c r="R171" t="str">
        <x:v>Not started</x:v>
      </x:c>
      <x:c r="S171" t="str">
        <x:v>Provisional</x:v>
      </x:c>
      <x:c r="T171" t="str">
        <x:v>Verify measured scope, resources and predecessor logic</x:v>
      </x:c>
    </x:row>
    <x:row r="172">
      <x:c r="A172" t="str">
        <x:v>SCA-SC1-04</x:v>
      </x:c>
      <x:c r="B172" t="str">
        <x:v>SCA-SC1</x:v>
      </x:c>
      <x:c r="C172" t="str">
        <x:v>Strengthening</x:v>
      </x:c>
      <x:c r="D172" t="str">
        <x:v>B</x:v>
      </x:c>
      <x:c r="E172" t="str">
        <x:v>Engineering</x:v>
      </x:c>
      <x:c r="F172" t="str">
        <x:v>Fabrication drawing release</x:v>
      </x:c>
      <x:c r="G172" t="str">
        <x:v>SCA-SC1-03</x:v>
      </x:c>
      <x:c r="H172" t="str">
        <x:v>FS</x:v>
      </x:c>
      <x:c r="I172" t="n">
        <x:v>108</x:v>
      </x:c>
      <x:c r="J172" t="n">
        <x:v>165</x:v>
      </x:c>
      <x:c r="K172" t="n">
        <x:v>58</x:v>
      </x:c>
      <x:c r="L172" t="str">
        <x:v>Engineering Manager</x:v>
      </x:c>
      <x:c r="M172" t="str">
        <x:v>drawing</x:v>
      </x:c>
      <x:c r="N172"/>
      <x:c r="O172"/>
      <x:c r="P172"/>
      <x:c r="Q172" s="10" t="n">
        <x:v>0</x:v>
      </x:c>
      <x:c r="R172" t="str">
        <x:v>Not started</x:v>
      </x:c>
      <x:c r="S172" t="str">
        <x:v>Provisional</x:v>
      </x:c>
      <x:c r="T172" t="str">
        <x:v>Verify measured scope, resources and predecessor logic</x:v>
      </x:c>
    </x:row>
    <x:row r="173">
      <x:c r="A173" t="str">
        <x:v>SCA-SC1-05</x:v>
      </x:c>
      <x:c r="B173" t="str">
        <x:v>SCA-SC1</x:v>
      </x:c>
      <x:c r="C173" t="str">
        <x:v>Strengthening</x:v>
      </x:c>
      <x:c r="D173" t="str">
        <x:v>B</x:v>
      </x:c>
      <x:c r="E173" t="str">
        <x:v>Procurement</x:v>
      </x:c>
      <x:c r="F173" t="str">
        <x:v>Material requisitions and vendor approval</x:v>
      </x:c>
      <x:c r="G173" t="str"/>
      <x:c r="H173" t="str">
        <x:v>FS</x:v>
      </x:c>
      <x:c r="I173" t="n">
        <x:v>88</x:v>
      </x:c>
      <x:c r="J173" t="n">
        <x:v>115</x:v>
      </x:c>
      <x:c r="K173" t="n">
        <x:v>28</x:v>
      </x:c>
      <x:c r="L173" t="str">
        <x:v>Procurement Manager</x:v>
      </x:c>
      <x:c r="M173" t="str">
        <x:v>MR</x:v>
      </x:c>
      <x:c r="N173"/>
      <x:c r="O173"/>
      <x:c r="P173"/>
      <x:c r="Q173" s="10" t="n">
        <x:v>0</x:v>
      </x:c>
      <x:c r="R173" t="str">
        <x:v>Not started</x:v>
      </x:c>
      <x:c r="S173" t="str">
        <x:v>Provisional</x:v>
      </x:c>
      <x:c r="T173" t="str">
        <x:v>Verify measured scope, resources and predecessor logic</x:v>
      </x:c>
    </x:row>
    <x:row r="174">
      <x:c r="A174" t="str">
        <x:v>SCA-SC1-06</x:v>
      </x:c>
      <x:c r="B174" t="str">
        <x:v>SCA-SC1</x:v>
      </x:c>
      <x:c r="C174" t="str">
        <x:v>Strengthening</x:v>
      </x:c>
      <x:c r="D174" t="str">
        <x:v>B</x:v>
      </x:c>
      <x:c r="E174" t="str">
        <x:v>Procurement</x:v>
      </x:c>
      <x:c r="F174" t="str">
        <x:v>Steel purchasing and delivery</x:v>
      </x:c>
      <x:c r="G174" t="str">
        <x:v>SCA-SC1-05</x:v>
      </x:c>
      <x:c r="H174" t="str">
        <x:v>FS</x:v>
      </x:c>
      <x:c r="I174" t="n">
        <x:v>108</x:v>
      </x:c>
      <x:c r="J174" t="n">
        <x:v>170</x:v>
      </x:c>
      <x:c r="K174" t="n">
        <x:v>63</x:v>
      </x:c>
      <x:c r="L174" t="str">
        <x:v>Procurement Manager</x:v>
      </x:c>
      <x:c r="M174" t="str">
        <x:v>MT</x:v>
      </x:c>
      <x:c r="N174"/>
      <x:c r="O174"/>
      <x:c r="P174"/>
      <x:c r="Q174" s="10" t="n">
        <x:v>0</x:v>
      </x:c>
      <x:c r="R174" t="str">
        <x:v>Not started</x:v>
      </x:c>
      <x:c r="S174" t="str">
        <x:v>Provisional</x:v>
      </x:c>
      <x:c r="T174" t="str">
        <x:v>Verify measured scope, resources and predecessor logic</x:v>
      </x:c>
    </x:row>
    <x:row r="175">
      <x:c r="A175" t="str">
        <x:v>SCA-SC1-07</x:v>
      </x:c>
      <x:c r="B175" t="str">
        <x:v>SCA-SC1</x:v>
      </x:c>
      <x:c r="C175" t="str">
        <x:v>Strengthening</x:v>
      </x:c>
      <x:c r="D175" t="str">
        <x:v>B</x:v>
      </x:c>
      <x:c r="E175" t="str">
        <x:v>Fabrication</x:v>
      </x:c>
      <x:c r="F175" t="str">
        <x:v>Cutting and material preparation</x:v>
      </x:c>
      <x:c r="G175" t="str"/>
      <x:c r="H175" t="str">
        <x:v>FS</x:v>
      </x:c>
      <x:c r="I175" t="n">
        <x:v>135</x:v>
      </x:c>
      <x:c r="J175" t="n">
        <x:v>165</x:v>
      </x:c>
      <x:c r="K175" t="n">
        <x:v>31</x:v>
      </x:c>
      <x:c r="L175" t="str">
        <x:v>Fabrication Manager</x:v>
      </x:c>
      <x:c r="M175" t="str">
        <x:v>pieces</x:v>
      </x:c>
      <x:c r="N175"/>
      <x:c r="O175"/>
      <x:c r="P175"/>
      <x:c r="Q175" s="10" t="n">
        <x:v>0</x:v>
      </x:c>
      <x:c r="R175" t="str">
        <x:v>Not started</x:v>
      </x:c>
      <x:c r="S175" t="str">
        <x:v>Provisional</x:v>
      </x:c>
      <x:c r="T175" t="str">
        <x:v>Verify measured scope, resources and predecessor logic</x:v>
      </x:c>
    </x:row>
    <x:row r="176">
      <x:c r="A176" t="str">
        <x:v>SCA-SC1-08</x:v>
      </x:c>
      <x:c r="B176" t="str">
        <x:v>SCA-SC1</x:v>
      </x:c>
      <x:c r="C176" t="str">
        <x:v>Strengthening</x:v>
      </x:c>
      <x:c r="D176" t="str">
        <x:v>B</x:v>
      </x:c>
      <x:c r="E176" t="str">
        <x:v>Fabrication</x:v>
      </x:c>
      <x:c r="F176" t="str">
        <x:v>Assembly and fit-up</x:v>
      </x:c>
      <x:c r="G176" t="str">
        <x:v>SCA-SC1-07</x:v>
      </x:c>
      <x:c r="H176" t="str">
        <x:v>FS</x:v>
      </x:c>
      <x:c r="I176" t="n">
        <x:v>150</x:v>
      </x:c>
      <x:c r="J176" t="n">
        <x:v>195</x:v>
      </x:c>
      <x:c r="K176" t="n">
        <x:v>46</x:v>
      </x:c>
      <x:c r="L176" t="str">
        <x:v>Fabrication Manager</x:v>
      </x:c>
      <x:c r="M176" t="str">
        <x:v>assemblies</x:v>
      </x:c>
      <x:c r="N176"/>
      <x:c r="O176"/>
      <x:c r="P176"/>
      <x:c r="Q176" s="10" t="n">
        <x:v>0</x:v>
      </x:c>
      <x:c r="R176" t="str">
        <x:v>Not started</x:v>
      </x:c>
      <x:c r="S176" t="str">
        <x:v>Provisional</x:v>
      </x:c>
      <x:c r="T176" t="str">
        <x:v>Verify measured scope, resources and predecessor logic</x:v>
      </x:c>
    </x:row>
    <x:row r="177">
      <x:c r="A177" t="str">
        <x:v>SCA-SC1-09</x:v>
      </x:c>
      <x:c r="B177" t="str">
        <x:v>SCA-SC1</x:v>
      </x:c>
      <x:c r="C177" t="str">
        <x:v>Strengthening</x:v>
      </x:c>
      <x:c r="D177" t="str">
        <x:v>B</x:v>
      </x:c>
      <x:c r="E177" t="str">
        <x:v>Fabrication</x:v>
      </x:c>
      <x:c r="F177" t="str">
        <x:v>Shop welding</x:v>
      </x:c>
      <x:c r="G177" t="str">
        <x:v>SCA-SC1-08</x:v>
      </x:c>
      <x:c r="H177" t="str">
        <x:v>FS</x:v>
      </x:c>
      <x:c r="I177" t="n">
        <x:v>163</x:v>
      </x:c>
      <x:c r="J177" t="n">
        <x:v>208</x:v>
      </x:c>
      <x:c r="K177" t="n">
        <x:v>46</x:v>
      </x:c>
      <x:c r="L177" t="str">
        <x:v>Fabrication Manager</x:v>
      </x:c>
      <x:c r="M177" t="str">
        <x:v>weld-m</x:v>
      </x:c>
      <x:c r="N177"/>
      <x:c r="O177"/>
      <x:c r="P177"/>
      <x:c r="Q177" s="10" t="n">
        <x:v>0</x:v>
      </x:c>
      <x:c r="R177" t="str">
        <x:v>Not started</x:v>
      </x:c>
      <x:c r="S177" t="str">
        <x:v>Provisional</x:v>
      </x:c>
      <x:c r="T177" t="str">
        <x:v>Verify measured scope, resources and predecessor logic</x:v>
      </x:c>
    </x:row>
    <x:row r="178">
      <x:c r="A178" t="str">
        <x:v>SCA-SC1-10</x:v>
      </x:c>
      <x:c r="B178" t="str">
        <x:v>SCA-SC1</x:v>
      </x:c>
      <x:c r="C178" t="str">
        <x:v>Strengthening</x:v>
      </x:c>
      <x:c r="D178" t="str">
        <x:v>B</x:v>
      </x:c>
      <x:c r="E178" t="str">
        <x:v>Quality</x:v>
      </x:c>
      <x:c r="F178" t="str">
        <x:v>NDT and dimensional acceptance</x:v>
      </x:c>
      <x:c r="G178" t="str"/>
      <x:c r="H178" t="str">
        <x:v>FS</x:v>
      </x:c>
      <x:c r="I178" t="n">
        <x:v>180</x:v>
      </x:c>
      <x:c r="J178" t="n">
        <x:v>217</x:v>
      </x:c>
      <x:c r="K178" t="n">
        <x:v>38</x:v>
      </x:c>
      <x:c r="L178" t="str">
        <x:v>QAQC Manager</x:v>
      </x:c>
      <x:c r="M178" t="str">
        <x:v>joints</x:v>
      </x:c>
      <x:c r="N178"/>
      <x:c r="O178"/>
      <x:c r="P178"/>
      <x:c r="Q178" s="10" t="n">
        <x:v>0</x:v>
      </x:c>
      <x:c r="R178" t="str">
        <x:v>Not started</x:v>
      </x:c>
      <x:c r="S178" t="str">
        <x:v>Provisional</x:v>
      </x:c>
      <x:c r="T178" t="str">
        <x:v>Verify measured scope, resources and predecessor logic</x:v>
      </x:c>
    </x:row>
    <x:row r="179">
      <x:c r="A179" t="str">
        <x:v>SCA-SC1-11</x:v>
      </x:c>
      <x:c r="B179" t="str">
        <x:v>SCA-SC1</x:v>
      </x:c>
      <x:c r="C179" t="str">
        <x:v>Strengthening</x:v>
      </x:c>
      <x:c r="D179" t="str">
        <x:v>B</x:v>
      </x:c>
      <x:c r="E179" t="str">
        <x:v>Quality</x:v>
      </x:c>
      <x:c r="F179" t="str">
        <x:v>Blast, coat and preserve</x:v>
      </x:c>
      <x:c r="G179" t="str">
        <x:v>SCA-SC1-10</x:v>
      </x:c>
      <x:c r="H179" t="str">
        <x:v>FS</x:v>
      </x:c>
      <x:c r="I179" t="n">
        <x:v>195</x:v>
      </x:c>
      <x:c r="J179" t="n">
        <x:v>225</x:v>
      </x:c>
      <x:c r="K179" t="n">
        <x:v>31</x:v>
      </x:c>
      <x:c r="L179" t="str">
        <x:v>QAQC Manager</x:v>
      </x:c>
      <x:c r="M179" t="str">
        <x:v>m2</x:v>
      </x:c>
      <x:c r="N179"/>
      <x:c r="O179"/>
      <x:c r="P179"/>
      <x:c r="Q179" s="10" t="n">
        <x:v>0</x:v>
      </x:c>
      <x:c r="R179" t="str">
        <x:v>Not started</x:v>
      </x:c>
      <x:c r="S179" t="str">
        <x:v>Provisional</x:v>
      </x:c>
      <x:c r="T179" t="str">
        <x:v>Verify measured scope, resources and predecessor logic</x:v>
      </x:c>
    </x:row>
    <x:row r="180">
      <x:c r="A180" t="str">
        <x:v>SCA-SC1-13</x:v>
      </x:c>
      <x:c r="B180" t="str">
        <x:v>SCA-SC1</x:v>
      </x:c>
      <x:c r="C180" t="str">
        <x:v>Strengthening</x:v>
      </x:c>
      <x:c r="D180" t="str">
        <x:v>B</x:v>
      </x:c>
      <x:c r="E180" t="str">
        <x:v>Logistics</x:v>
      </x:c>
      <x:c r="F180" t="str">
        <x:v>Cargo manifest and shore base transfer</x:v>
      </x:c>
      <x:c r="G180" t="str"/>
      <x:c r="H180" t="str">
        <x:v>FS</x:v>
      </x:c>
      <x:c r="I180" t="n">
        <x:v>195</x:v>
      </x:c>
      <x:c r="J180" t="n">
        <x:v>235</x:v>
      </x:c>
      <x:c r="K180" t="n">
        <x:v>41</x:v>
      </x:c>
      <x:c r="L180" t="str">
        <x:v>Logistics Manager</x:v>
      </x:c>
      <x:c r="M180" t="str">
        <x:v>shipments</x:v>
      </x:c>
      <x:c r="N180"/>
      <x:c r="O180"/>
      <x:c r="P180"/>
      <x:c r="Q180" s="10" t="n">
        <x:v>0</x:v>
      </x:c>
      <x:c r="R180" t="str">
        <x:v>Not started</x:v>
      </x:c>
      <x:c r="S180" t="str">
        <x:v>Provisional</x:v>
      </x:c>
      <x:c r="T180" t="str">
        <x:v>Verify measured scope, resources and predecessor logic</x:v>
      </x:c>
    </x:row>
    <x:row r="181">
      <x:c r="A181" t="str">
        <x:v>SCA-SC1-14</x:v>
      </x:c>
      <x:c r="B181" t="str">
        <x:v>SCA-SC1</x:v>
      </x:c>
      <x:c r="C181" t="str">
        <x:v>Strengthening</x:v>
      </x:c>
      <x:c r="D181" t="str">
        <x:v>B</x:v>
      </x:c>
      <x:c r="E181" t="str">
        <x:v>Marine</x:v>
      </x:c>
      <x:c r="F181" t="str">
        <x:v>Vessel technical selection and assurance</x:v>
      </x:c>
      <x:c r="G181" t="str"/>
      <x:c r="H181" t="str">
        <x:v>FS</x:v>
      </x:c>
      <x:c r="I181" t="n">
        <x:v>105</x:v>
      </x:c>
      <x:c r="J181" t="n">
        <x:v>195</x:v>
      </x:c>
      <x:c r="K181" t="n">
        <x:v>91</x:v>
      </x:c>
      <x:c r="L181" t="str">
        <x:v>Marine Manager</x:v>
      </x:c>
      <x:c r="M181" t="str">
        <x:v>vessel</x:v>
      </x:c>
      <x:c r="N181"/>
      <x:c r="O181"/>
      <x:c r="P181"/>
      <x:c r="Q181" s="10" t="n">
        <x:v>0</x:v>
      </x:c>
      <x:c r="R181" t="str">
        <x:v>Not started</x:v>
      </x:c>
      <x:c r="S181" t="str">
        <x:v>Provisional</x:v>
      </x:c>
      <x:c r="T181" t="str">
        <x:v>Verify measured scope, resources and predecessor logic</x:v>
      </x:c>
    </x:row>
    <x:row r="182">
      <x:c r="A182" t="str">
        <x:v>SCA-SC1-16</x:v>
      </x:c>
      <x:c r="B182" t="str">
        <x:v>SCA-SC1</x:v>
      </x:c>
      <x:c r="C182" t="str">
        <x:v>Strengthening</x:v>
      </x:c>
      <x:c r="D182" t="str">
        <x:v>B</x:v>
      </x:c>
      <x:c r="E182" t="str">
        <x:v>Offshore</x:v>
      </x:c>
      <x:c r="F182" t="str">
        <x:v>Access and permit readiness</x:v>
      </x:c>
      <x:c r="G182" t="str"/>
      <x:c r="H182" t="str">
        <x:v>FS</x:v>
      </x:c>
      <x:c r="I182" t="n">
        <x:v>120</x:v>
      </x:c>
      <x:c r="J182" t="n">
        <x:v>200</x:v>
      </x:c>
      <x:c r="K182" t="n">
        <x:v>81</x:v>
      </x:c>
      <x:c r="L182" t="str">
        <x:v>Offshore Manager</x:v>
      </x:c>
      <x:c r="M182" t="str">
        <x:v>fronts</x:v>
      </x:c>
      <x:c r="N182"/>
      <x:c r="O182"/>
      <x:c r="P182"/>
      <x:c r="Q182" s="10" t="n">
        <x:v>0</x:v>
      </x:c>
      <x:c r="R182" t="str">
        <x:v>Not started</x:v>
      </x:c>
      <x:c r="S182" t="str">
        <x:v>Provisional</x:v>
      </x:c>
      <x:c r="T182" t="str">
        <x:v>Verify measured scope, resources and predecessor logic</x:v>
      </x:c>
    </x:row>
    <x:row r="183">
      <x:c r="A183" t="str">
        <x:v>SCA-SC1-17</x:v>
      </x:c>
      <x:c r="B183" t="str">
        <x:v>SCA-SC1</x:v>
      </x:c>
      <x:c r="C183" t="str">
        <x:v>Strengthening</x:v>
      </x:c>
      <x:c r="D183" t="str">
        <x:v>B</x:v>
      </x:c>
      <x:c r="E183" t="str">
        <x:v>Offshore</x:v>
      </x:c>
      <x:c r="F183" t="str">
        <x:v>Temporary access and works</x:v>
      </x:c>
      <x:c r="G183" t="str">
        <x:v>SCA-SC1-16</x:v>
      </x:c>
      <x:c r="H183" t="str">
        <x:v>FS</x:v>
      </x:c>
      <x:c r="I183" t="n">
        <x:v>145</x:v>
      </x:c>
      <x:c r="J183" t="n">
        <x:v>235</x:v>
      </x:c>
      <x:c r="K183" t="n">
        <x:v>91</x:v>
      </x:c>
      <x:c r="L183" t="str">
        <x:v>Offshore Manager</x:v>
      </x:c>
      <x:c r="M183" t="str">
        <x:v>workfronts</x:v>
      </x:c>
      <x:c r="N183"/>
      <x:c r="O183"/>
      <x:c r="P183"/>
      <x:c r="Q183" s="10" t="n">
        <x:v>0</x:v>
      </x:c>
      <x:c r="R183" t="str">
        <x:v>Not started</x:v>
      </x:c>
      <x:c r="S183" t="str">
        <x:v>Provisional</x:v>
      </x:c>
      <x:c r="T183" t="str">
        <x:v>Verify measured scope, resources and predecessor logic</x:v>
      </x:c>
    </x:row>
    <x:row r="184">
      <x:c r="A184" t="str">
        <x:v>SCA-SC1-18</x:v>
      </x:c>
      <x:c r="B184" t="str">
        <x:v>SCA-SC1</x:v>
      </x:c>
      <x:c r="C184" t="str">
        <x:v>Strengthening</x:v>
      </x:c>
      <x:c r="D184" t="str">
        <x:v>B</x:v>
      </x:c>
      <x:c r="E184" t="str">
        <x:v>Offshore</x:v>
      </x:c>
      <x:c r="F184" t="str">
        <x:v>Structural fit-up or landing</x:v>
      </x:c>
      <x:c r="G184" t="str">
        <x:v>SCA-SC1-17</x:v>
      </x:c>
      <x:c r="H184" t="str">
        <x:v>FS</x:v>
      </x:c>
      <x:c r="I184" t="n">
        <x:v>170</x:v>
      </x:c>
      <x:c r="J184" t="n">
        <x:v>260</x:v>
      </x:c>
      <x:c r="K184" t="n">
        <x:v>91</x:v>
      </x:c>
      <x:c r="L184" t="str">
        <x:v>Offshore Manager</x:v>
      </x:c>
      <x:c r="M184" t="str">
        <x:v>assemblies</x:v>
      </x:c>
      <x:c r="N184"/>
      <x:c r="O184"/>
      <x:c r="P184"/>
      <x:c r="Q184" s="10" t="n">
        <x:v>0</x:v>
      </x:c>
      <x:c r="R184" t="str">
        <x:v>Not started</x:v>
      </x:c>
      <x:c r="S184" t="str">
        <x:v>Provisional</x:v>
      </x:c>
      <x:c r="T184" t="str">
        <x:v>Verify measured scope, resources and predecessor logic</x:v>
      </x:c>
    </x:row>
    <x:row r="185">
      <x:c r="A185" t="str">
        <x:v>SCA-SC1-19</x:v>
      </x:c>
      <x:c r="B185" t="str">
        <x:v>SCA-SC1</x:v>
      </x:c>
      <x:c r="C185" t="str">
        <x:v>Strengthening</x:v>
      </x:c>
      <x:c r="D185" t="str">
        <x:v>B</x:v>
      </x:c>
      <x:c r="E185" t="str">
        <x:v>Offshore</x:v>
      </x:c>
      <x:c r="F185" t="str">
        <x:v>Connection welding and bolting</x:v>
      </x:c>
      <x:c r="G185" t="str">
        <x:v>SCA-SC1-18</x:v>
      </x:c>
      <x:c r="H185" t="str">
        <x:v>FS</x:v>
      </x:c>
      <x:c r="I185" t="n">
        <x:v>185</x:v>
      </x:c>
      <x:c r="J185" t="n">
        <x:v>275</x:v>
      </x:c>
      <x:c r="K185" t="n">
        <x:v>91</x:v>
      </x:c>
      <x:c r="L185" t="str">
        <x:v>Offshore Manager</x:v>
      </x:c>
      <x:c r="M185" t="str">
        <x:v>joints</x:v>
      </x:c>
      <x:c r="N185"/>
      <x:c r="O185"/>
      <x:c r="P185"/>
      <x:c r="Q185" s="10" t="n">
        <x:v>0</x:v>
      </x:c>
      <x:c r="R185" t="str">
        <x:v>Not started</x:v>
      </x:c>
      <x:c r="S185" t="str">
        <x:v>Provisional</x:v>
      </x:c>
      <x:c r="T185" t="str">
        <x:v>Verify measured scope, resources and predecessor logic</x:v>
      </x:c>
    </x:row>
    <x:row r="186">
      <x:c r="A186" t="str">
        <x:v>SCA-SC1-20</x:v>
      </x:c>
      <x:c r="B186" t="str">
        <x:v>SCA-SC1</x:v>
      </x:c>
      <x:c r="C186" t="str">
        <x:v>Strengthening</x:v>
      </x:c>
      <x:c r="D186" t="str">
        <x:v>B</x:v>
      </x:c>
      <x:c r="E186" t="str">
        <x:v>Offshore</x:v>
      </x:c>
      <x:c r="F186" t="str">
        <x:v>Inspection and coating restoration</x:v>
      </x:c>
      <x:c r="G186" t="str">
        <x:v>SCA-SC1-19</x:v>
      </x:c>
      <x:c r="H186" t="str">
        <x:v>FS</x:v>
      </x:c>
      <x:c r="I186" t="n">
        <x:v>205</x:v>
      </x:c>
      <x:c r="J186" t="n">
        <x:v>295</x:v>
      </x:c>
      <x:c r="K186" t="n">
        <x:v>91</x:v>
      </x:c>
      <x:c r="L186" t="str">
        <x:v>QAQC Manager</x:v>
      </x:c>
      <x:c r="M186" t="str">
        <x:v>joints</x:v>
      </x:c>
      <x:c r="N186"/>
      <x:c r="O186"/>
      <x:c r="P186"/>
      <x:c r="Q186" s="10" t="n">
        <x:v>0</x:v>
      </x:c>
      <x:c r="R186" t="str">
        <x:v>Not started</x:v>
      </x:c>
      <x:c r="S186" t="str">
        <x:v>Provisional</x:v>
      </x:c>
      <x:c r="T186" t="str">
        <x:v>Verify measured scope, resources and predecessor logic</x:v>
      </x:c>
    </x:row>
    <x:row r="187">
      <x:c r="A187" t="str">
        <x:v>SCA-SC1-21</x:v>
      </x:c>
      <x:c r="B187" t="str">
        <x:v>SCA-SC1</x:v>
      </x:c>
      <x:c r="C187" t="str">
        <x:v>Strengthening</x:v>
      </x:c>
      <x:c r="D187" t="str">
        <x:v>B</x:v>
      </x:c>
      <x:c r="E187" t="str">
        <x:v>Closeout</x:v>
      </x:c>
      <x:c r="F187" t="str">
        <x:v>Punch closure and dossier</x:v>
      </x:c>
      <x:c r="G187" t="str"/>
      <x:c r="H187" t="str">
        <x:v>FS</x:v>
      </x:c>
      <x:c r="I187" t="n">
        <x:v>295</x:v>
      </x:c>
      <x:c r="J187" t="n">
        <x:v>355</x:v>
      </x:c>
      <x:c r="K187" t="n">
        <x:v>61</x:v>
      </x:c>
      <x:c r="L187" t="str">
        <x:v>Completion Manager</x:v>
      </x:c>
      <x:c r="M187" t="str">
        <x:v>packs</x:v>
      </x:c>
      <x:c r="N187"/>
      <x:c r="O187"/>
      <x:c r="P187"/>
      <x:c r="Q187" s="10" t="n">
        <x:v>0</x:v>
      </x:c>
      <x:c r="R187" t="str">
        <x:v>Not started</x:v>
      </x:c>
      <x:c r="S187" t="str">
        <x:v>Provisional</x:v>
      </x:c>
      <x:c r="T187" t="str">
        <x:v>Verify measured scope, resources and predecessor logic</x:v>
      </x:c>
    </x:row>
    <x:row r="188">
      <x:c r="A188" t="str">
        <x:v>SCA-SC1-22</x:v>
      </x:c>
      <x:c r="B188" t="str">
        <x:v>SCA-SC1</x:v>
      </x:c>
      <x:c r="C188" t="str">
        <x:v>Strengthening</x:v>
      </x:c>
      <x:c r="D188" t="str">
        <x:v>B</x:v>
      </x:c>
      <x:c r="E188" t="str">
        <x:v>Closeout</x:v>
      </x:c>
      <x:c r="F188" t="str">
        <x:v>Client acceptance and final handover</x:v>
      </x:c>
      <x:c r="G188" t="str">
        <x:v>SCA-SC1-21</x:v>
      </x:c>
      <x:c r="H188" t="str">
        <x:v>FS</x:v>
      </x:c>
      <x:c r="I188" t="n">
        <x:v>345</x:v>
      </x:c>
      <x:c r="J188" t="n">
        <x:v>355</x:v>
      </x:c>
      <x:c r="K188" t="n">
        <x:v>11</x:v>
      </x:c>
      <x:c r="L188" t="str">
        <x:v>Project Director</x:v>
      </x:c>
      <x:c r="M188" t="str">
        <x:v>milestones</x:v>
      </x:c>
      <x:c r="N188"/>
      <x:c r="O188"/>
      <x:c r="P188"/>
      <x:c r="Q188" s="10" t="n">
        <x:v>0</x:v>
      </x:c>
      <x:c r="R188" t="str">
        <x:v>Not started</x:v>
      </x:c>
      <x:c r="S188" t="str">
        <x:v>Provisional</x:v>
      </x:c>
      <x:c r="T188" t="str">
        <x:v>Verify measured scope, resources and predecessor logic</x:v>
      </x:c>
    </x:row>
    <x:row r="189">
      <x:c r="A189" t="str">
        <x:v>SCA-SCF-01</x:v>
      </x:c>
      <x:c r="B189" t="str">
        <x:v>SCA-SCF</x:v>
      </x:c>
      <x:c r="C189" t="str">
        <x:v>Strengthening</x:v>
      </x:c>
      <x:c r="D189" t="str">
        <x:v>B</x:v>
      </x:c>
      <x:c r="E189" t="str">
        <x:v>Engineering</x:v>
      </x:c>
      <x:c r="F189" t="str">
        <x:v>Existing-condition survey</x:v>
      </x:c>
      <x:c r="G189" t="str"/>
      <x:c r="H189" t="str">
        <x:v>FS</x:v>
      </x:c>
      <x:c r="I189" t="n">
        <x:v>73</x:v>
      </x:c>
      <x:c r="J189" t="n">
        <x:v>100</x:v>
      </x:c>
      <x:c r="K189" t="n">
        <x:v>28</x:v>
      </x:c>
      <x:c r="L189" t="str">
        <x:v>Engineering Manager</x:v>
      </x:c>
      <x:c r="M189" t="str">
        <x:v>survey</x:v>
      </x:c>
      <x:c r="N189"/>
      <x:c r="O189"/>
      <x:c r="P189"/>
      <x:c r="Q189" s="10" t="n">
        <x:v>0</x:v>
      </x:c>
      <x:c r="R189" t="str">
        <x:v>Not started</x:v>
      </x:c>
      <x:c r="S189" t="str">
        <x:v>Provisional</x:v>
      </x:c>
      <x:c r="T189" t="str">
        <x:v>Verify measured scope, resources and predecessor logic</x:v>
      </x:c>
    </x:row>
    <x:row r="190">
      <x:c r="A190" t="str">
        <x:v>SCA-SCF-02</x:v>
      </x:c>
      <x:c r="B190" t="str">
        <x:v>SCA-SCF</x:v>
      </x:c>
      <x:c r="C190" t="str">
        <x:v>Strengthening</x:v>
      </x:c>
      <x:c r="D190" t="str">
        <x:v>B</x:v>
      </x:c>
      <x:c r="E190" t="str">
        <x:v>Engineering</x:v>
      </x:c>
      <x:c r="F190" t="str">
        <x:v>Design basis and interface verification</x:v>
      </x:c>
      <x:c r="G190" t="str">
        <x:v>SCA-SCF-01</x:v>
      </x:c>
      <x:c r="H190" t="str">
        <x:v>FS</x:v>
      </x:c>
      <x:c r="I190" t="n">
        <x:v>87</x:v>
      </x:c>
      <x:c r="J190" t="n">
        <x:v>110</x:v>
      </x:c>
      <x:c r="K190" t="n">
        <x:v>24</x:v>
      </x:c>
      <x:c r="L190" t="str">
        <x:v>Engineering Manager</x:v>
      </x:c>
      <x:c r="M190" t="str">
        <x:v>design</x:v>
      </x:c>
      <x:c r="N190"/>
      <x:c r="O190"/>
      <x:c r="P190"/>
      <x:c r="Q190" s="10" t="n">
        <x:v>0</x:v>
      </x:c>
      <x:c r="R190" t="str">
        <x:v>Not started</x:v>
      </x:c>
      <x:c r="S190" t="str">
        <x:v>Provisional</x:v>
      </x:c>
      <x:c r="T190" t="str">
        <x:v>Verify measured scope, resources and predecessor logic</x:v>
      </x:c>
    </x:row>
    <x:row r="191">
      <x:c r="A191" t="str">
        <x:v>SCA-SCF-03</x:v>
      </x:c>
      <x:c r="B191" t="str">
        <x:v>SCA-SCF</x:v>
      </x:c>
      <x:c r="C191" t="str">
        <x:v>Strengthening</x:v>
      </x:c>
      <x:c r="D191" t="str">
        <x:v>B</x:v>
      </x:c>
      <x:c r="E191" t="str">
        <x:v>Engineering</x:v>
      </x:c>
      <x:c r="F191" t="str">
        <x:v>Detailed structural and temporary works engineering</x:v>
      </x:c>
      <x:c r="G191" t="str">
        <x:v>SCA-SCF-02</x:v>
      </x:c>
      <x:c r="H191" t="str">
        <x:v>FS</x:v>
      </x:c>
      <x:c r="I191" t="n">
        <x:v>100</x:v>
      </x:c>
      <x:c r="J191" t="n">
        <x:v>164</x:v>
      </x:c>
      <x:c r="K191" t="n">
        <x:v>65</x:v>
      </x:c>
      <x:c r="L191" t="str">
        <x:v>Engineering Manager</x:v>
      </x:c>
      <x:c r="M191" t="str">
        <x:v>design</x:v>
      </x:c>
      <x:c r="N191"/>
      <x:c r="O191"/>
      <x:c r="P191"/>
      <x:c r="Q191" s="10" t="n">
        <x:v>0</x:v>
      </x:c>
      <x:c r="R191" t="str">
        <x:v>Not started</x:v>
      </x:c>
      <x:c r="S191" t="str">
        <x:v>Provisional</x:v>
      </x:c>
      <x:c r="T191" t="str">
        <x:v>Verify measured scope, resources and predecessor logic</x:v>
      </x:c>
    </x:row>
    <x:row r="192">
      <x:c r="A192" t="str">
        <x:v>SCA-SCF-04</x:v>
      </x:c>
      <x:c r="B192" t="str">
        <x:v>SCA-SCF</x:v>
      </x:c>
      <x:c r="C192" t="str">
        <x:v>Strengthening</x:v>
      </x:c>
      <x:c r="D192" t="str">
        <x:v>B</x:v>
      </x:c>
      <x:c r="E192" t="str">
        <x:v>Engineering</x:v>
      </x:c>
      <x:c r="F192" t="str">
        <x:v>Fabrication drawing release</x:v>
      </x:c>
      <x:c r="G192" t="str">
        <x:v>SCA-SCF-03</x:v>
      </x:c>
      <x:c r="H192" t="str">
        <x:v>FS</x:v>
      </x:c>
      <x:c r="I192" t="n">
        <x:v>120</x:v>
      </x:c>
      <x:c r="J192" t="n">
        <x:v>177</x:v>
      </x:c>
      <x:c r="K192" t="n">
        <x:v>58</x:v>
      </x:c>
      <x:c r="L192" t="str">
        <x:v>Engineering Manager</x:v>
      </x:c>
      <x:c r="M192" t="str">
        <x:v>drawing</x:v>
      </x:c>
      <x:c r="N192"/>
      <x:c r="O192"/>
      <x:c r="P192"/>
      <x:c r="Q192" s="10" t="n">
        <x:v>0</x:v>
      </x:c>
      <x:c r="R192" t="str">
        <x:v>Not started</x:v>
      </x:c>
      <x:c r="S192" t="str">
        <x:v>Provisional</x:v>
      </x:c>
      <x:c r="T192" t="str">
        <x:v>Verify measured scope, resources and predecessor logic</x:v>
      </x:c>
    </x:row>
    <x:row r="193">
      <x:c r="A193" t="str">
        <x:v>SCA-SCF-05</x:v>
      </x:c>
      <x:c r="B193" t="str">
        <x:v>SCA-SCF</x:v>
      </x:c>
      <x:c r="C193" t="str">
        <x:v>Strengthening</x:v>
      </x:c>
      <x:c r="D193" t="str">
        <x:v>B</x:v>
      </x:c>
      <x:c r="E193" t="str">
        <x:v>Procurement</x:v>
      </x:c>
      <x:c r="F193" t="str">
        <x:v>Material requisitions and vendor approval</x:v>
      </x:c>
      <x:c r="G193" t="str"/>
      <x:c r="H193" t="str">
        <x:v>FS</x:v>
      </x:c>
      <x:c r="I193" t="n">
        <x:v>100</x:v>
      </x:c>
      <x:c r="J193" t="n">
        <x:v>127</x:v>
      </x:c>
      <x:c r="K193" t="n">
        <x:v>28</x:v>
      </x:c>
      <x:c r="L193" t="str">
        <x:v>Procurement Manager</x:v>
      </x:c>
      <x:c r="M193" t="str">
        <x:v>MR</x:v>
      </x:c>
      <x:c r="N193"/>
      <x:c r="O193"/>
      <x:c r="P193"/>
      <x:c r="Q193" s="10" t="n">
        <x:v>0</x:v>
      </x:c>
      <x:c r="R193" t="str">
        <x:v>Not started</x:v>
      </x:c>
      <x:c r="S193" t="str">
        <x:v>Provisional</x:v>
      </x:c>
      <x:c r="T193" t="str">
        <x:v>Verify measured scope, resources and predecessor logic</x:v>
      </x:c>
    </x:row>
    <x:row r="194">
      <x:c r="A194" t="str">
        <x:v>SCA-SCF-06</x:v>
      </x:c>
      <x:c r="B194" t="str">
        <x:v>SCA-SCF</x:v>
      </x:c>
      <x:c r="C194" t="str">
        <x:v>Strengthening</x:v>
      </x:c>
      <x:c r="D194" t="str">
        <x:v>B</x:v>
      </x:c>
      <x:c r="E194" t="str">
        <x:v>Procurement</x:v>
      </x:c>
      <x:c r="F194" t="str">
        <x:v>Steel purchasing and delivery</x:v>
      </x:c>
      <x:c r="G194" t="str">
        <x:v>SCA-SCF-05</x:v>
      </x:c>
      <x:c r="H194" t="str">
        <x:v>FS</x:v>
      </x:c>
      <x:c r="I194" t="n">
        <x:v>120</x:v>
      </x:c>
      <x:c r="J194" t="n">
        <x:v>182</x:v>
      </x:c>
      <x:c r="K194" t="n">
        <x:v>63</x:v>
      </x:c>
      <x:c r="L194" t="str">
        <x:v>Procurement Manager</x:v>
      </x:c>
      <x:c r="M194" t="str">
        <x:v>MT</x:v>
      </x:c>
      <x:c r="N194"/>
      <x:c r="O194"/>
      <x:c r="P194"/>
      <x:c r="Q194" s="10" t="n">
        <x:v>0</x:v>
      </x:c>
      <x:c r="R194" t="str">
        <x:v>Not started</x:v>
      </x:c>
      <x:c r="S194" t="str">
        <x:v>Provisional</x:v>
      </x:c>
      <x:c r="T194" t="str">
        <x:v>Verify measured scope, resources and predecessor logic</x:v>
      </x:c>
    </x:row>
    <x:row r="195">
      <x:c r="A195" t="str">
        <x:v>SCA-SCF-07</x:v>
      </x:c>
      <x:c r="B195" t="str">
        <x:v>SCA-SCF</x:v>
      </x:c>
      <x:c r="C195" t="str">
        <x:v>Strengthening</x:v>
      </x:c>
      <x:c r="D195" t="str">
        <x:v>B</x:v>
      </x:c>
      <x:c r="E195" t="str">
        <x:v>Fabrication</x:v>
      </x:c>
      <x:c r="F195" t="str">
        <x:v>Cutting and material preparation</x:v>
      </x:c>
      <x:c r="G195" t="str"/>
      <x:c r="H195" t="str">
        <x:v>FS</x:v>
      </x:c>
      <x:c r="I195" t="n">
        <x:v>147</x:v>
      </x:c>
      <x:c r="J195" t="n">
        <x:v>177</x:v>
      </x:c>
      <x:c r="K195" t="n">
        <x:v>31</x:v>
      </x:c>
      <x:c r="L195" t="str">
        <x:v>Fabrication Manager</x:v>
      </x:c>
      <x:c r="M195" t="str">
        <x:v>pieces</x:v>
      </x:c>
      <x:c r="N195"/>
      <x:c r="O195"/>
      <x:c r="P195"/>
      <x:c r="Q195" s="10" t="n">
        <x:v>0</x:v>
      </x:c>
      <x:c r="R195" t="str">
        <x:v>Not started</x:v>
      </x:c>
      <x:c r="S195" t="str">
        <x:v>Provisional</x:v>
      </x:c>
      <x:c r="T195" t="str">
        <x:v>Verify measured scope, resources and predecessor logic</x:v>
      </x:c>
    </x:row>
    <x:row r="196">
      <x:c r="A196" t="str">
        <x:v>SCA-SCF-08</x:v>
      </x:c>
      <x:c r="B196" t="str">
        <x:v>SCA-SCF</x:v>
      </x:c>
      <x:c r="C196" t="str">
        <x:v>Strengthening</x:v>
      </x:c>
      <x:c r="D196" t="str">
        <x:v>B</x:v>
      </x:c>
      <x:c r="E196" t="str">
        <x:v>Fabrication</x:v>
      </x:c>
      <x:c r="F196" t="str">
        <x:v>Assembly and fit-up</x:v>
      </x:c>
      <x:c r="G196" t="str">
        <x:v>SCA-SCF-07</x:v>
      </x:c>
      <x:c r="H196" t="str">
        <x:v>FS</x:v>
      </x:c>
      <x:c r="I196" t="n">
        <x:v>162</x:v>
      </x:c>
      <x:c r="J196" t="n">
        <x:v>207</x:v>
      </x:c>
      <x:c r="K196" t="n">
        <x:v>46</x:v>
      </x:c>
      <x:c r="L196" t="str">
        <x:v>Fabrication Manager</x:v>
      </x:c>
      <x:c r="M196" t="str">
        <x:v>assemblies</x:v>
      </x:c>
      <x:c r="N196"/>
      <x:c r="O196"/>
      <x:c r="P196"/>
      <x:c r="Q196" s="10" t="n">
        <x:v>0</x:v>
      </x:c>
      <x:c r="R196" t="str">
        <x:v>Not started</x:v>
      </x:c>
      <x:c r="S196" t="str">
        <x:v>Provisional</x:v>
      </x:c>
      <x:c r="T196" t="str">
        <x:v>Verify measured scope, resources and predecessor logic</x:v>
      </x:c>
    </x:row>
    <x:row r="197">
      <x:c r="A197" t="str">
        <x:v>SCA-SCF-09</x:v>
      </x:c>
      <x:c r="B197" t="str">
        <x:v>SCA-SCF</x:v>
      </x:c>
      <x:c r="C197" t="str">
        <x:v>Strengthening</x:v>
      </x:c>
      <x:c r="D197" t="str">
        <x:v>B</x:v>
      </x:c>
      <x:c r="E197" t="str">
        <x:v>Fabrication</x:v>
      </x:c>
      <x:c r="F197" t="str">
        <x:v>Shop welding</x:v>
      </x:c>
      <x:c r="G197" t="str">
        <x:v>SCA-SCF-08</x:v>
      </x:c>
      <x:c r="H197" t="str">
        <x:v>FS</x:v>
      </x:c>
      <x:c r="I197" t="n">
        <x:v>175</x:v>
      </x:c>
      <x:c r="J197" t="n">
        <x:v>220</x:v>
      </x:c>
      <x:c r="K197" t="n">
        <x:v>46</x:v>
      </x:c>
      <x:c r="L197" t="str">
        <x:v>Fabrication Manager</x:v>
      </x:c>
      <x:c r="M197" t="str">
        <x:v>weld-m</x:v>
      </x:c>
      <x:c r="N197"/>
      <x:c r="O197"/>
      <x:c r="P197"/>
      <x:c r="Q197" s="10" t="n">
        <x:v>0</x:v>
      </x:c>
      <x:c r="R197" t="str">
        <x:v>Not started</x:v>
      </x:c>
      <x:c r="S197" t="str">
        <x:v>Provisional</x:v>
      </x:c>
      <x:c r="T197" t="str">
        <x:v>Verify measured scope, resources and predecessor logic</x:v>
      </x:c>
    </x:row>
    <x:row r="198">
      <x:c r="A198" t="str">
        <x:v>SCA-SCF-10</x:v>
      </x:c>
      <x:c r="B198" t="str">
        <x:v>SCA-SCF</x:v>
      </x:c>
      <x:c r="C198" t="str">
        <x:v>Strengthening</x:v>
      </x:c>
      <x:c r="D198" t="str">
        <x:v>B</x:v>
      </x:c>
      <x:c r="E198" t="str">
        <x:v>Quality</x:v>
      </x:c>
      <x:c r="F198" t="str">
        <x:v>NDT and dimensional acceptance</x:v>
      </x:c>
      <x:c r="G198" t="str"/>
      <x:c r="H198" t="str">
        <x:v>FS</x:v>
      </x:c>
      <x:c r="I198" t="n">
        <x:v>192</x:v>
      </x:c>
      <x:c r="J198" t="n">
        <x:v>229</x:v>
      </x:c>
      <x:c r="K198" t="n">
        <x:v>38</x:v>
      </x:c>
      <x:c r="L198" t="str">
        <x:v>QAQC Manager</x:v>
      </x:c>
      <x:c r="M198" t="str">
        <x:v>joints</x:v>
      </x:c>
      <x:c r="N198"/>
      <x:c r="O198"/>
      <x:c r="P198"/>
      <x:c r="Q198" s="10" t="n">
        <x:v>0</x:v>
      </x:c>
      <x:c r="R198" t="str">
        <x:v>Not started</x:v>
      </x:c>
      <x:c r="S198" t="str">
        <x:v>Provisional</x:v>
      </x:c>
      <x:c r="T198" t="str">
        <x:v>Verify measured scope, resources and predecessor logic</x:v>
      </x:c>
    </x:row>
    <x:row r="199">
      <x:c r="A199" t="str">
        <x:v>SCA-SCF-11</x:v>
      </x:c>
      <x:c r="B199" t="str">
        <x:v>SCA-SCF</x:v>
      </x:c>
      <x:c r="C199" t="str">
        <x:v>Strengthening</x:v>
      </x:c>
      <x:c r="D199" t="str">
        <x:v>B</x:v>
      </x:c>
      <x:c r="E199" t="str">
        <x:v>Quality</x:v>
      </x:c>
      <x:c r="F199" t="str">
        <x:v>Blast, coat and preserve</x:v>
      </x:c>
      <x:c r="G199" t="str">
        <x:v>SCA-SCF-10</x:v>
      </x:c>
      <x:c r="H199" t="str">
        <x:v>FS</x:v>
      </x:c>
      <x:c r="I199" t="n">
        <x:v>207</x:v>
      </x:c>
      <x:c r="J199" t="n">
        <x:v>237</x:v>
      </x:c>
      <x:c r="K199" t="n">
        <x:v>31</x:v>
      </x:c>
      <x:c r="L199" t="str">
        <x:v>QAQC Manager</x:v>
      </x:c>
      <x:c r="M199" t="str">
        <x:v>m2</x:v>
      </x:c>
      <x:c r="N199"/>
      <x:c r="O199"/>
      <x:c r="P199"/>
      <x:c r="Q199" s="10" t="n">
        <x:v>0</x:v>
      </x:c>
      <x:c r="R199" t="str">
        <x:v>Not started</x:v>
      </x:c>
      <x:c r="S199" t="str">
        <x:v>Provisional</x:v>
      </x:c>
      <x:c r="T199" t="str">
        <x:v>Verify measured scope, resources and predecessor logic</x:v>
      </x:c>
    </x:row>
    <x:row r="200">
      <x:c r="A200" t="str">
        <x:v>SCA-SCF-13</x:v>
      </x:c>
      <x:c r="B200" t="str">
        <x:v>SCA-SCF</x:v>
      </x:c>
      <x:c r="C200" t="str">
        <x:v>Strengthening</x:v>
      </x:c>
      <x:c r="D200" t="str">
        <x:v>B</x:v>
      </x:c>
      <x:c r="E200" t="str">
        <x:v>Logistics</x:v>
      </x:c>
      <x:c r="F200" t="str">
        <x:v>Cargo manifest and shore base transfer</x:v>
      </x:c>
      <x:c r="G200" t="str"/>
      <x:c r="H200" t="str">
        <x:v>FS</x:v>
      </x:c>
      <x:c r="I200" t="n">
        <x:v>207</x:v>
      </x:c>
      <x:c r="J200" t="n">
        <x:v>247</x:v>
      </x:c>
      <x:c r="K200" t="n">
        <x:v>41</x:v>
      </x:c>
      <x:c r="L200" t="str">
        <x:v>Logistics Manager</x:v>
      </x:c>
      <x:c r="M200" t="str">
        <x:v>shipments</x:v>
      </x:c>
      <x:c r="N200"/>
      <x:c r="O200"/>
      <x:c r="P200"/>
      <x:c r="Q200" s="10" t="n">
        <x:v>0</x:v>
      </x:c>
      <x:c r="R200" t="str">
        <x:v>Not started</x:v>
      </x:c>
      <x:c r="S200" t="str">
        <x:v>Provisional</x:v>
      </x:c>
      <x:c r="T200" t="str">
        <x:v>Verify measured scope, resources and predecessor logic</x:v>
      </x:c>
    </x:row>
    <x:row r="201">
      <x:c r="A201" t="str">
        <x:v>SCA-SCF-14</x:v>
      </x:c>
      <x:c r="B201" t="str">
        <x:v>SCA-SCF</x:v>
      </x:c>
      <x:c r="C201" t="str">
        <x:v>Strengthening</x:v>
      </x:c>
      <x:c r="D201" t="str">
        <x:v>B</x:v>
      </x:c>
      <x:c r="E201" t="str">
        <x:v>Marine</x:v>
      </x:c>
      <x:c r="F201" t="str">
        <x:v>Vessel technical selection and assurance</x:v>
      </x:c>
      <x:c r="G201" t="str"/>
      <x:c r="H201" t="str">
        <x:v>FS</x:v>
      </x:c>
      <x:c r="I201" t="n">
        <x:v>117</x:v>
      </x:c>
      <x:c r="J201" t="n">
        <x:v>207</x:v>
      </x:c>
      <x:c r="K201" t="n">
        <x:v>91</x:v>
      </x:c>
      <x:c r="L201" t="str">
        <x:v>Marine Manager</x:v>
      </x:c>
      <x:c r="M201" t="str">
        <x:v>vessel</x:v>
      </x:c>
      <x:c r="N201"/>
      <x:c r="O201"/>
      <x:c r="P201"/>
      <x:c r="Q201" s="10" t="n">
        <x:v>0</x:v>
      </x:c>
      <x:c r="R201" t="str">
        <x:v>Not started</x:v>
      </x:c>
      <x:c r="S201" t="str">
        <x:v>Provisional</x:v>
      </x:c>
      <x:c r="T201" t="str">
        <x:v>Verify measured scope, resources and predecessor logic</x:v>
      </x:c>
    </x:row>
    <x:row r="202">
      <x:c r="A202" t="str">
        <x:v>SCA-SCF-16</x:v>
      </x:c>
      <x:c r="B202" t="str">
        <x:v>SCA-SCF</x:v>
      </x:c>
      <x:c r="C202" t="str">
        <x:v>Strengthening</x:v>
      </x:c>
      <x:c r="D202" t="str">
        <x:v>B</x:v>
      </x:c>
      <x:c r="E202" t="str">
        <x:v>Offshore</x:v>
      </x:c>
      <x:c r="F202" t="str">
        <x:v>Access and permit readiness</x:v>
      </x:c>
      <x:c r="G202" t="str"/>
      <x:c r="H202" t="str">
        <x:v>FS</x:v>
      </x:c>
      <x:c r="I202" t="n">
        <x:v>132</x:v>
      </x:c>
      <x:c r="J202" t="n">
        <x:v>212</x:v>
      </x:c>
      <x:c r="K202" t="n">
        <x:v>81</x:v>
      </x:c>
      <x:c r="L202" t="str">
        <x:v>Offshore Manager</x:v>
      </x:c>
      <x:c r="M202" t="str">
        <x:v>fronts</x:v>
      </x:c>
      <x:c r="N202"/>
      <x:c r="O202"/>
      <x:c r="P202"/>
      <x:c r="Q202" s="10" t="n">
        <x:v>0</x:v>
      </x:c>
      <x:c r="R202" t="str">
        <x:v>Not started</x:v>
      </x:c>
      <x:c r="S202" t="str">
        <x:v>Provisional</x:v>
      </x:c>
      <x:c r="T202" t="str">
        <x:v>Verify measured scope, resources and predecessor logic</x:v>
      </x:c>
    </x:row>
    <x:row r="203">
      <x:c r="A203" t="str">
        <x:v>SCA-SCF-17</x:v>
      </x:c>
      <x:c r="B203" t="str">
        <x:v>SCA-SCF</x:v>
      </x:c>
      <x:c r="C203" t="str">
        <x:v>Strengthening</x:v>
      </x:c>
      <x:c r="D203" t="str">
        <x:v>B</x:v>
      </x:c>
      <x:c r="E203" t="str">
        <x:v>Offshore</x:v>
      </x:c>
      <x:c r="F203" t="str">
        <x:v>Temporary access and works</x:v>
      </x:c>
      <x:c r="G203" t="str">
        <x:v>SCA-SCF-16</x:v>
      </x:c>
      <x:c r="H203" t="str">
        <x:v>FS</x:v>
      </x:c>
      <x:c r="I203" t="n">
        <x:v>157</x:v>
      </x:c>
      <x:c r="J203" t="n">
        <x:v>247</x:v>
      </x:c>
      <x:c r="K203" t="n">
        <x:v>91</x:v>
      </x:c>
      <x:c r="L203" t="str">
        <x:v>Offshore Manager</x:v>
      </x:c>
      <x:c r="M203" t="str">
        <x:v>workfronts</x:v>
      </x:c>
      <x:c r="N203"/>
      <x:c r="O203"/>
      <x:c r="P203"/>
      <x:c r="Q203" s="10" t="n">
        <x:v>0</x:v>
      </x:c>
      <x:c r="R203" t="str">
        <x:v>Not started</x:v>
      </x:c>
      <x:c r="S203" t="str">
        <x:v>Provisional</x:v>
      </x:c>
      <x:c r="T203" t="str">
        <x:v>Verify measured scope, resources and predecessor logic</x:v>
      </x:c>
    </x:row>
    <x:row r="204">
      <x:c r="A204" t="str">
        <x:v>SCA-SCF-18</x:v>
      </x:c>
      <x:c r="B204" t="str">
        <x:v>SCA-SCF</x:v>
      </x:c>
      <x:c r="C204" t="str">
        <x:v>Strengthening</x:v>
      </x:c>
      <x:c r="D204" t="str">
        <x:v>B</x:v>
      </x:c>
      <x:c r="E204" t="str">
        <x:v>Offshore</x:v>
      </x:c>
      <x:c r="F204" t="str">
        <x:v>Structural fit-up or landing</x:v>
      </x:c>
      <x:c r="G204" t="str">
        <x:v>SCA-SCF-17</x:v>
      </x:c>
      <x:c r="H204" t="str">
        <x:v>FS</x:v>
      </x:c>
      <x:c r="I204" t="n">
        <x:v>182</x:v>
      </x:c>
      <x:c r="J204" t="n">
        <x:v>272</x:v>
      </x:c>
      <x:c r="K204" t="n">
        <x:v>91</x:v>
      </x:c>
      <x:c r="L204" t="str">
        <x:v>Offshore Manager</x:v>
      </x:c>
      <x:c r="M204" t="str">
        <x:v>assemblies</x:v>
      </x:c>
      <x:c r="N204"/>
      <x:c r="O204"/>
      <x:c r="P204"/>
      <x:c r="Q204" s="10" t="n">
        <x:v>0</x:v>
      </x:c>
      <x:c r="R204" t="str">
        <x:v>Not started</x:v>
      </x:c>
      <x:c r="S204" t="str">
        <x:v>Provisional</x:v>
      </x:c>
      <x:c r="T204" t="str">
        <x:v>Verify measured scope, resources and predecessor logic</x:v>
      </x:c>
    </x:row>
    <x:row r="205">
      <x:c r="A205" t="str">
        <x:v>SCA-SCF-19</x:v>
      </x:c>
      <x:c r="B205" t="str">
        <x:v>SCA-SCF</x:v>
      </x:c>
      <x:c r="C205" t="str">
        <x:v>Strengthening</x:v>
      </x:c>
      <x:c r="D205" t="str">
        <x:v>B</x:v>
      </x:c>
      <x:c r="E205" t="str">
        <x:v>Offshore</x:v>
      </x:c>
      <x:c r="F205" t="str">
        <x:v>Connection welding and bolting</x:v>
      </x:c>
      <x:c r="G205" t="str">
        <x:v>SCA-SCF-18</x:v>
      </x:c>
      <x:c r="H205" t="str">
        <x:v>FS</x:v>
      </x:c>
      <x:c r="I205" t="n">
        <x:v>197</x:v>
      </x:c>
      <x:c r="J205" t="n">
        <x:v>287</x:v>
      </x:c>
      <x:c r="K205" t="n">
        <x:v>91</x:v>
      </x:c>
      <x:c r="L205" t="str">
        <x:v>Offshore Manager</x:v>
      </x:c>
      <x:c r="M205" t="str">
        <x:v>joints</x:v>
      </x:c>
      <x:c r="N205"/>
      <x:c r="O205"/>
      <x:c r="P205"/>
      <x:c r="Q205" s="10" t="n">
        <x:v>0</x:v>
      </x:c>
      <x:c r="R205" t="str">
        <x:v>Not started</x:v>
      </x:c>
      <x:c r="S205" t="str">
        <x:v>Provisional</x:v>
      </x:c>
      <x:c r="T205" t="str">
        <x:v>Verify measured scope, resources and predecessor logic</x:v>
      </x:c>
    </x:row>
    <x:row r="206">
      <x:c r="A206" t="str">
        <x:v>SCA-SCF-20</x:v>
      </x:c>
      <x:c r="B206" t="str">
        <x:v>SCA-SCF</x:v>
      </x:c>
      <x:c r="C206" t="str">
        <x:v>Strengthening</x:v>
      </x:c>
      <x:c r="D206" t="str">
        <x:v>B</x:v>
      </x:c>
      <x:c r="E206" t="str">
        <x:v>Offshore</x:v>
      </x:c>
      <x:c r="F206" t="str">
        <x:v>Inspection and coating restoration</x:v>
      </x:c>
      <x:c r="G206" t="str">
        <x:v>SCA-SCF-19</x:v>
      </x:c>
      <x:c r="H206" t="str">
        <x:v>FS</x:v>
      </x:c>
      <x:c r="I206" t="n">
        <x:v>217</x:v>
      </x:c>
      <x:c r="J206" t="n">
        <x:v>307</x:v>
      </x:c>
      <x:c r="K206" t="n">
        <x:v>91</x:v>
      </x:c>
      <x:c r="L206" t="str">
        <x:v>QAQC Manager</x:v>
      </x:c>
      <x:c r="M206" t="str">
        <x:v>joints</x:v>
      </x:c>
      <x:c r="N206"/>
      <x:c r="O206"/>
      <x:c r="P206"/>
      <x:c r="Q206" s="10" t="n">
        <x:v>0</x:v>
      </x:c>
      <x:c r="R206" t="str">
        <x:v>Not started</x:v>
      </x:c>
      <x:c r="S206" t="str">
        <x:v>Provisional</x:v>
      </x:c>
      <x:c r="T206" t="str">
        <x:v>Verify measured scope, resources and predecessor logic</x:v>
      </x:c>
    </x:row>
    <x:row r="207">
      <x:c r="A207" t="str">
        <x:v>SCA-SCF-21</x:v>
      </x:c>
      <x:c r="B207" t="str">
        <x:v>SCA-SCF</x:v>
      </x:c>
      <x:c r="C207" t="str">
        <x:v>Strengthening</x:v>
      </x:c>
      <x:c r="D207" t="str">
        <x:v>B</x:v>
      </x:c>
      <x:c r="E207" t="str">
        <x:v>Closeout</x:v>
      </x:c>
      <x:c r="F207" t="str">
        <x:v>Punch closure and dossier</x:v>
      </x:c>
      <x:c r="G207" t="str"/>
      <x:c r="H207" t="str">
        <x:v>FS</x:v>
      </x:c>
      <x:c r="I207" t="n">
        <x:v>307</x:v>
      </x:c>
      <x:c r="J207" t="n">
        <x:v>355</x:v>
      </x:c>
      <x:c r="K207" t="n">
        <x:v>49</x:v>
      </x:c>
      <x:c r="L207" t="str">
        <x:v>Completion Manager</x:v>
      </x:c>
      <x:c r="M207" t="str">
        <x:v>packs</x:v>
      </x:c>
      <x:c r="N207"/>
      <x:c r="O207"/>
      <x:c r="P207"/>
      <x:c r="Q207" s="10" t="n">
        <x:v>0</x:v>
      </x:c>
      <x:c r="R207" t="str">
        <x:v>Not started</x:v>
      </x:c>
      <x:c r="S207" t="str">
        <x:v>Provisional</x:v>
      </x:c>
      <x:c r="T207" t="str">
        <x:v>Verify measured scope, resources and predecessor logic</x:v>
      </x:c>
    </x:row>
    <x:row r="208">
      <x:c r="A208" t="str">
        <x:v>SCA-SCF-22</x:v>
      </x:c>
      <x:c r="B208" t="str">
        <x:v>SCA-SCF</x:v>
      </x:c>
      <x:c r="C208" t="str">
        <x:v>Strengthening</x:v>
      </x:c>
      <x:c r="D208" t="str">
        <x:v>B</x:v>
      </x:c>
      <x:c r="E208" t="str">
        <x:v>Closeout</x:v>
      </x:c>
      <x:c r="F208" t="str">
        <x:v>Client acceptance and final handover</x:v>
      </x:c>
      <x:c r="G208" t="str">
        <x:v>SCA-SCF-21</x:v>
      </x:c>
      <x:c r="H208" t="str">
        <x:v>FS</x:v>
      </x:c>
      <x:c r="I208" t="n">
        <x:v>345</x:v>
      </x:c>
      <x:c r="J208" t="n">
        <x:v>355</x:v>
      </x:c>
      <x:c r="K208" t="n">
        <x:v>11</x:v>
      </x:c>
      <x:c r="L208" t="str">
        <x:v>Project Director</x:v>
      </x:c>
      <x:c r="M208" t="str">
        <x:v>milestones</x:v>
      </x:c>
      <x:c r="N208"/>
      <x:c r="O208"/>
      <x:c r="P208"/>
      <x:c r="Q208" s="10" t="n">
        <x:v>0</x:v>
      </x:c>
      <x:c r="R208" t="str">
        <x:v>Not started</x:v>
      </x:c>
      <x:c r="S208" t="str">
        <x:v>Provisional</x:v>
      </x:c>
      <x:c r="T208" t="str">
        <x:v>Verify measured scope, resources and predecessor logic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7" hidden="0" customWidth="1"/>
    <x:col min="4" max="4" width="10" hidden="0" customWidth="1"/>
    <x:col min="5" max="5" width="19" hidden="0" customWidth="1"/>
    <x:col min="6" max="6" width="44" hidden="0" customWidth="1"/>
    <x:col min="7" max="7" width="25" hidden="0" customWidth="1"/>
    <x:col min="8" max="8" width="10" hidden="0" customWidth="1"/>
    <x:col min="9" max="9" width="14" hidden="0" customWidth="1"/>
    <x:col min="10" max="10" width="14" hidden="0" customWidth="1"/>
    <x:col min="11" max="11" width="16" hidden="0" customWidth="1"/>
    <x:col min="12" max="12" width="26" hidden="0" customWidth="1"/>
    <x:col min="13" max="13" width="17" hidden="0" customWidth="1"/>
    <x:col min="14" max="14" width="16" hidden="0" customWidth="1"/>
    <x:col min="15" max="15" width="16" hidden="0" customWidth="1"/>
    <x:col min="16" max="16" width="16" hidden="0" customWidth="1"/>
    <x:col min="17" max="17" width="15" hidden="0" customWidth="1"/>
    <x:col min="18" max="18" width="18" hidden="0" customWidth="1"/>
    <x:col min="19" max="19" width="17" hidden="0" customWidth="1"/>
    <x:col min="20" max="20" width="65" hidden="0" customWidth="1"/>
  </x:cols>
  <x:sheetData>
    <x:row r="1" ht="30" customHeight="1">
      <x:c r="A1" s="4" t="str">
        <x:v>Activity ID</x:v>
      </x:c>
      <x:c r="B1" s="4" t="str">
        <x:v>Bridge ID</x:v>
      </x:c>
      <x:c r="C1" s="4" t="str">
        <x:v>Work Type</x:v>
      </x:c>
      <x:c r="D1" s="4" t="str">
        <x:v>Team</x:v>
      </x:c>
      <x:c r="E1" s="4" t="str">
        <x:v>Discipline</x:v>
      </x:c>
      <x:c r="F1" s="4" t="str">
        <x:v>Activity</x:v>
      </x:c>
      <x:c r="G1" s="4" t="str">
        <x:v>Predecessor ID</x:v>
      </x:c>
      <x:c r="H1" s="4" t="str">
        <x:v>Link</x:v>
      </x:c>
      <x:c r="I1" s="4" t="str">
        <x:v>Start Day</x:v>
      </x:c>
      <x:c r="J1" s="4" t="str">
        <x:v>Finish Day</x:v>
      </x:c>
      <x:c r="K1" s="4" t="str">
        <x:v>Duration Days</x:v>
      </x:c>
      <x:c r="L1" s="4" t="str">
        <x:v>Responsible</x:v>
      </x:c>
      <x:c r="M1" s="4" t="str">
        <x:v>Unit</x:v>
      </x:c>
      <x:c r="N1" s="4" t="str">
        <x:v>Budget Qty</x:v>
      </x:c>
      <x:c r="O1" s="4" t="str">
        <x:v>Actual Qty</x:v>
      </x:c>
      <x:c r="P1" s="4" t="str">
        <x:v>Budget MH</x:v>
      </x:c>
      <x:c r="Q1" s="4" t="str">
        <x:v>Progress %</x:v>
      </x:c>
      <x:c r="R1" s="4" t="str">
        <x:v>Status</x:v>
      </x:c>
      <x:c r="S1" s="4" t="str">
        <x:v>Basis</x:v>
      </x:c>
      <x:c r="T1" s="4" t="str">
        <x:v>Constraints / Notes</x:v>
      </x:c>
    </x:row>
    <x:row r="2">
      <x:c r="A2" t="str">
        <x:v>ICW-ICG-LD-01</x:v>
      </x:c>
      <x:c r="B2" t="str">
        <x:v>ICW-ICG-LD</x:v>
      </x:c>
      <x:c r="C2" t="str">
        <x:v>Installation</x:v>
      </x:c>
      <x:c r="D2" t="str">
        <x:v>C</x:v>
      </x:c>
      <x:c r="E2" t="str">
        <x:v>Engineering</x:v>
      </x:c>
      <x:c r="F2" t="str">
        <x:v>Existing-condition survey</x:v>
      </x:c>
      <x:c r="G2" t="str"/>
      <x:c r="H2" t="str">
        <x:v>FS</x:v>
      </x:c>
      <x:c r="I2" t="n">
        <x:v>1</x:v>
      </x:c>
      <x:c r="J2" t="n">
        <x:v>28</x:v>
      </x:c>
      <x:c r="K2" t="n">
        <x:v>28</x:v>
      </x:c>
      <x:c r="L2" t="str">
        <x:v>Engineering Manager</x:v>
      </x:c>
      <x:c r="M2" t="str">
        <x:v>survey</x:v>
      </x:c>
      <x:c r="N2"/>
      <x:c r="O2"/>
      <x:c r="P2"/>
      <x:c r="Q2" t="n">
        <x:v>0</x:v>
      </x:c>
      <x:c r="R2" t="str">
        <x:v>Not started</x:v>
      </x:c>
      <x:c r="S2" t="str">
        <x:v>Provisional</x:v>
      </x:c>
      <x:c r="T2" t="str">
        <x:v>Verify measured scope, resources and predecessor logic</x:v>
      </x:c>
    </x:row>
    <x:row r="3">
      <x:c r="A3" t="str">
        <x:v>ICW-ICG-LD-02</x:v>
      </x:c>
      <x:c r="B3" t="str">
        <x:v>ICW-ICG-LD</x:v>
      </x:c>
      <x:c r="C3" t="str">
        <x:v>Installation</x:v>
      </x:c>
      <x:c r="D3" t="str">
        <x:v>C</x:v>
      </x:c>
      <x:c r="E3" t="str">
        <x:v>Engineering</x:v>
      </x:c>
      <x:c r="F3" t="str">
        <x:v>Design basis and interface verification</x:v>
      </x:c>
      <x:c r="G3" t="str">
        <x:v>ICW-ICG-LD-01</x:v>
      </x:c>
      <x:c r="H3" t="str">
        <x:v>FS</x:v>
      </x:c>
      <x:c r="I3" t="n">
        <x:v>15</x:v>
      </x:c>
      <x:c r="J3" t="n">
        <x:v>38</x:v>
      </x:c>
      <x:c r="K3" t="n">
        <x:v>24</x:v>
      </x:c>
      <x:c r="L3" t="str">
        <x:v>Engineering Manager</x:v>
      </x:c>
      <x:c r="M3" t="str">
        <x:v>design</x:v>
      </x:c>
      <x:c r="N3"/>
      <x:c r="O3"/>
      <x:c r="P3"/>
      <x:c r="Q3" t="n">
        <x:v>0</x:v>
      </x:c>
      <x:c r="R3" t="str">
        <x:v>Not started</x:v>
      </x:c>
      <x:c r="S3" t="str">
        <x:v>Provisional</x:v>
      </x:c>
      <x:c r="T3" t="str">
        <x:v>Verify measured scope, resources and predecessor logic</x:v>
      </x:c>
    </x:row>
    <x:row r="4">
      <x:c r="A4" t="str">
        <x:v>ICW-ICG-LD-03</x:v>
      </x:c>
      <x:c r="B4" t="str">
        <x:v>ICW-ICG-LD</x:v>
      </x:c>
      <x:c r="C4" t="str">
        <x:v>Installation</x:v>
      </x:c>
      <x:c r="D4" t="str">
        <x:v>C</x:v>
      </x:c>
      <x:c r="E4" t="str">
        <x:v>Engineering</x:v>
      </x:c>
      <x:c r="F4" t="str">
        <x:v>Detailed structural and temporary works engineering</x:v>
      </x:c>
      <x:c r="G4" t="str">
        <x:v>ICW-ICG-LD-02</x:v>
      </x:c>
      <x:c r="H4" t="str">
        <x:v>FS</x:v>
      </x:c>
      <x:c r="I4" t="n">
        <x:v>28</x:v>
      </x:c>
      <x:c r="J4" t="n">
        <x:v>92</x:v>
      </x:c>
      <x:c r="K4" t="n">
        <x:v>65</x:v>
      </x:c>
      <x:c r="L4" t="str">
        <x:v>Engineering Manager</x:v>
      </x:c>
      <x:c r="M4" t="str">
        <x:v>design</x:v>
      </x:c>
      <x:c r="N4"/>
      <x:c r="O4"/>
      <x:c r="P4"/>
      <x:c r="Q4" t="n">
        <x:v>0</x:v>
      </x:c>
      <x:c r="R4" t="str">
        <x:v>Not started</x:v>
      </x:c>
      <x:c r="S4" t="str">
        <x:v>Provisional</x:v>
      </x:c>
      <x:c r="T4" t="str">
        <x:v>Verify measured scope, resources and predecessor logic</x:v>
      </x:c>
    </x:row>
    <x:row r="5">
      <x:c r="A5" t="str">
        <x:v>ICW-ICG-LD-04</x:v>
      </x:c>
      <x:c r="B5" t="str">
        <x:v>ICW-ICG-LD</x:v>
      </x:c>
      <x:c r="C5" t="str">
        <x:v>Installation</x:v>
      </x:c>
      <x:c r="D5" t="str">
        <x:v>C</x:v>
      </x:c>
      <x:c r="E5" t="str">
        <x:v>Engineering</x:v>
      </x:c>
      <x:c r="F5" t="str">
        <x:v>Fabrication drawing release</x:v>
      </x:c>
      <x:c r="G5" t="str">
        <x:v>ICW-ICG-LD-03</x:v>
      </x:c>
      <x:c r="H5" t="str">
        <x:v>FS</x:v>
      </x:c>
      <x:c r="I5" t="n">
        <x:v>48</x:v>
      </x:c>
      <x:c r="J5" t="n">
        <x:v>105</x:v>
      </x:c>
      <x:c r="K5" t="n">
        <x:v>58</x:v>
      </x:c>
      <x:c r="L5" t="str">
        <x:v>Engineering Manager</x:v>
      </x:c>
      <x:c r="M5" t="str">
        <x:v>drawing</x:v>
      </x:c>
      <x:c r="N5"/>
      <x:c r="O5"/>
      <x:c r="P5"/>
      <x:c r="Q5" t="n">
        <x:v>0</x:v>
      </x:c>
      <x:c r="R5" t="str">
        <x:v>Not started</x:v>
      </x:c>
      <x:c r="S5" t="str">
        <x:v>Provisional</x:v>
      </x:c>
      <x:c r="T5" t="str">
        <x:v>Verify measured scope, resources and predecessor logic</x:v>
      </x:c>
    </x:row>
    <x:row r="6">
      <x:c r="A6" t="str">
        <x:v>ICG-ICP-LD-01</x:v>
      </x:c>
      <x:c r="B6" t="str">
        <x:v>ICG-ICP-LD</x:v>
      </x:c>
      <x:c r="C6" t="str">
        <x:v>Installation</x:v>
      </x:c>
      <x:c r="D6" t="str">
        <x:v>C</x:v>
      </x:c>
      <x:c r="E6" t="str">
        <x:v>Engineering</x:v>
      </x:c>
      <x:c r="F6" t="str">
        <x:v>Existing-condition survey</x:v>
      </x:c>
      <x:c r="G6" t="str"/>
      <x:c r="H6" t="str">
        <x:v>FS</x:v>
      </x:c>
      <x:c r="I6" t="n">
        <x:v>29</x:v>
      </x:c>
      <x:c r="J6" t="n">
        <x:v>56</x:v>
      </x:c>
      <x:c r="K6" t="n">
        <x:v>28</x:v>
      </x:c>
      <x:c r="L6" t="str">
        <x:v>Engineering Manager</x:v>
      </x:c>
      <x:c r="M6" t="str">
        <x:v>survey</x:v>
      </x:c>
      <x:c r="N6"/>
      <x:c r="O6"/>
      <x:c r="P6"/>
      <x:c r="Q6" t="n">
        <x:v>0</x:v>
      </x:c>
      <x:c r="R6" t="str">
        <x:v>Not started</x:v>
      </x:c>
      <x:c r="S6" t="str">
        <x:v>Provisional</x:v>
      </x:c>
      <x:c r="T6" t="str">
        <x:v>Verify measured scope, resources and predecessor logic</x:v>
      </x:c>
    </x:row>
    <x:row r="7">
      <x:c r="A7" t="str">
        <x:v>ICG-ICP-LD-02</x:v>
      </x:c>
      <x:c r="B7" t="str">
        <x:v>ICG-ICP-LD</x:v>
      </x:c>
      <x:c r="C7" t="str">
        <x:v>Installation</x:v>
      </x:c>
      <x:c r="D7" t="str">
        <x:v>C</x:v>
      </x:c>
      <x:c r="E7" t="str">
        <x:v>Engineering</x:v>
      </x:c>
      <x:c r="F7" t="str">
        <x:v>Design basis and interface verification</x:v>
      </x:c>
      <x:c r="G7" t="str">
        <x:v>ICG-ICP-LD-01</x:v>
      </x:c>
      <x:c r="H7" t="str">
        <x:v>FS</x:v>
      </x:c>
      <x:c r="I7" t="n">
        <x:v>43</x:v>
      </x:c>
      <x:c r="J7" t="n">
        <x:v>66</x:v>
      </x:c>
      <x:c r="K7" t="n">
        <x:v>24</x:v>
      </x:c>
      <x:c r="L7" t="str">
        <x:v>Engineering Manager</x:v>
      </x:c>
      <x:c r="M7" t="str">
        <x:v>design</x:v>
      </x:c>
      <x:c r="N7"/>
      <x:c r="O7"/>
      <x:c r="P7"/>
      <x:c r="Q7" t="n">
        <x:v>0</x:v>
      </x:c>
      <x:c r="R7" t="str">
        <x:v>Not started</x:v>
      </x:c>
      <x:c r="S7" t="str">
        <x:v>Provisional</x:v>
      </x:c>
      <x:c r="T7" t="str">
        <x:v>Verify measured scope, resources and predecessor logic</x:v>
      </x:c>
    </x:row>
    <x:row r="8">
      <x:c r="A8" t="str">
        <x:v>ICG-ICP-LD-03</x:v>
      </x:c>
      <x:c r="B8" t="str">
        <x:v>ICG-ICP-LD</x:v>
      </x:c>
      <x:c r="C8" t="str">
        <x:v>Installation</x:v>
      </x:c>
      <x:c r="D8" t="str">
        <x:v>C</x:v>
      </x:c>
      <x:c r="E8" t="str">
        <x:v>Engineering</x:v>
      </x:c>
      <x:c r="F8" t="str">
        <x:v>Detailed structural and temporary works engineering</x:v>
      </x:c>
      <x:c r="G8" t="str">
        <x:v>ICG-ICP-LD-02</x:v>
      </x:c>
      <x:c r="H8" t="str">
        <x:v>FS</x:v>
      </x:c>
      <x:c r="I8" t="n">
        <x:v>56</x:v>
      </x:c>
      <x:c r="J8" t="n">
        <x:v>120</x:v>
      </x:c>
      <x:c r="K8" t="n">
        <x:v>65</x:v>
      </x:c>
      <x:c r="L8" t="str">
        <x:v>Engineering Manager</x:v>
      </x:c>
      <x:c r="M8" t="str">
        <x:v>design</x:v>
      </x:c>
      <x:c r="N8"/>
      <x:c r="O8"/>
      <x:c r="P8"/>
      <x:c r="Q8" t="n">
        <x:v>0</x:v>
      </x:c>
      <x:c r="R8" t="str">
        <x:v>Not started</x:v>
      </x:c>
      <x:c r="S8" t="str">
        <x:v>Provisional</x:v>
      </x:c>
      <x:c r="T8" t="str">
        <x:v>Verify measured scope, resources and predecessor logic</x:v>
      </x:c>
    </x:row>
    <x:row r="9">
      <x:c r="A9" t="str">
        <x:v>ICG-ICP-LD-04</x:v>
      </x:c>
      <x:c r="B9" t="str">
        <x:v>ICG-ICP-LD</x:v>
      </x:c>
      <x:c r="C9" t="str">
        <x:v>Installation</x:v>
      </x:c>
      <x:c r="D9" t="str">
        <x:v>C</x:v>
      </x:c>
      <x:c r="E9" t="str">
        <x:v>Engineering</x:v>
      </x:c>
      <x:c r="F9" t="str">
        <x:v>Fabrication drawing release</x:v>
      </x:c>
      <x:c r="G9" t="str">
        <x:v>ICG-ICP-LD-03</x:v>
      </x:c>
      <x:c r="H9" t="str">
        <x:v>FS</x:v>
      </x:c>
      <x:c r="I9" t="n">
        <x:v>76</x:v>
      </x:c>
      <x:c r="J9" t="n">
        <x:v>133</x:v>
      </x:c>
      <x:c r="K9" t="n">
        <x:v>58</x:v>
      </x:c>
      <x:c r="L9" t="str">
        <x:v>Engineering Manager</x:v>
      </x:c>
      <x:c r="M9" t="str">
        <x:v>drawing</x:v>
      </x:c>
      <x:c r="N9"/>
      <x:c r="O9"/>
      <x:c r="P9"/>
      <x:c r="Q9" t="n">
        <x:v>0</x:v>
      </x:c>
      <x:c r="R9" t="str">
        <x:v>Not started</x:v>
      </x:c>
      <x:c r="S9" t="str">
        <x:v>Provisional</x:v>
      </x:c>
      <x:c r="T9" t="str">
        <x:v>Verify measured scope, resources and predecessor logic</x:v>
      </x:c>
    </x:row>
    <x:row r="10">
      <x:c r="A10" t="str">
        <x:v>BHS-SLQ-01</x:v>
      </x:c>
      <x:c r="B10" t="str">
        <x:v>BHS-SLQ</x:v>
      </x:c>
      <x:c r="C10" t="str">
        <x:v>Replacement</x:v>
      </x:c>
      <x:c r="D10" t="str">
        <x:v>C</x:v>
      </x:c>
      <x:c r="E10" t="str">
        <x:v>Engineering</x:v>
      </x:c>
      <x:c r="F10" t="str">
        <x:v>Existing-condition survey</x:v>
      </x:c>
      <x:c r="G10" t="str"/>
      <x:c r="H10" t="str">
        <x:v>FS</x:v>
      </x:c>
      <x:c r="I10" t="n">
        <x:v>61</x:v>
      </x:c>
      <x:c r="J10" t="n">
        <x:v>88</x:v>
      </x:c>
      <x:c r="K10" t="n">
        <x:v>28</x:v>
      </x:c>
      <x:c r="L10" t="str">
        <x:v>Engineering Manager</x:v>
      </x:c>
      <x:c r="M10" t="str">
        <x:v>survey</x:v>
      </x:c>
      <x:c r="N10"/>
      <x:c r="O10"/>
      <x:c r="P10"/>
      <x:c r="Q10" t="n">
        <x:v>0</x:v>
      </x:c>
      <x:c r="R10" t="str">
        <x:v>Not started</x:v>
      </x:c>
      <x:c r="S10" t="str">
        <x:v>Provisional</x:v>
      </x:c>
      <x:c r="T10" t="str">
        <x:v>Verify measured scope, resources and predecessor logic</x:v>
      </x:c>
    </x:row>
    <x:row r="11">
      <x:c r="A11" t="str">
        <x:v>BHS-SLQ-02</x:v>
      </x:c>
      <x:c r="B11" t="str">
        <x:v>BHS-SLQ</x:v>
      </x:c>
      <x:c r="C11" t="str">
        <x:v>Replacement</x:v>
      </x:c>
      <x:c r="D11" t="str">
        <x:v>C</x:v>
      </x:c>
      <x:c r="E11" t="str">
        <x:v>Engineering</x:v>
      </x:c>
      <x:c r="F11" t="str">
        <x:v>Design basis and interface verification</x:v>
      </x:c>
      <x:c r="G11" t="str">
        <x:v>BHS-SLQ-01</x:v>
      </x:c>
      <x:c r="H11" t="str">
        <x:v>FS</x:v>
      </x:c>
      <x:c r="I11" t="n">
        <x:v>75</x:v>
      </x:c>
      <x:c r="J11" t="n">
        <x:v>98</x:v>
      </x:c>
      <x:c r="K11" t="n">
        <x:v>24</x:v>
      </x:c>
      <x:c r="L11" t="str">
        <x:v>Engineering Manager</x:v>
      </x:c>
      <x:c r="M11" t="str">
        <x:v>design</x:v>
      </x:c>
      <x:c r="N11"/>
      <x:c r="O11"/>
      <x:c r="P11"/>
      <x:c r="Q11" t="n">
        <x:v>0</x:v>
      </x:c>
      <x:c r="R11" t="str">
        <x:v>Not started</x:v>
      </x:c>
      <x:c r="S11" t="str">
        <x:v>Provisional</x:v>
      </x:c>
      <x:c r="T11" t="str">
        <x:v>Verify measured scope, resources and predecessor logic</x:v>
      </x:c>
    </x:row>
    <x:row r="12">
      <x:c r="A12" t="str">
        <x:v>BHS-SLQ-03</x:v>
      </x:c>
      <x:c r="B12" t="str">
        <x:v>BHS-SLQ</x:v>
      </x:c>
      <x:c r="C12" t="str">
        <x:v>Replacement</x:v>
      </x:c>
      <x:c r="D12" t="str">
        <x:v>C</x:v>
      </x:c>
      <x:c r="E12" t="str">
        <x:v>Engineering</x:v>
      </x:c>
      <x:c r="F12" t="str">
        <x:v>Detailed structural and temporary works engineering</x:v>
      </x:c>
      <x:c r="G12" t="str">
        <x:v>BHS-SLQ-02</x:v>
      </x:c>
      <x:c r="H12" t="str">
        <x:v>FS</x:v>
      </x:c>
      <x:c r="I12" t="n">
        <x:v>88</x:v>
      </x:c>
      <x:c r="J12" t="n">
        <x:v>152</x:v>
      </x:c>
      <x:c r="K12" t="n">
        <x:v>65</x:v>
      </x:c>
      <x:c r="L12" t="str">
        <x:v>Engineering Manager</x:v>
      </x:c>
      <x:c r="M12" t="str">
        <x:v>design</x:v>
      </x:c>
      <x:c r="N12"/>
      <x:c r="O12"/>
      <x:c r="P12"/>
      <x:c r="Q12" t="n">
        <x:v>0</x:v>
      </x:c>
      <x:c r="R12" t="str">
        <x:v>Not started</x:v>
      </x:c>
      <x:c r="S12" t="str">
        <x:v>Provisional</x:v>
      </x:c>
      <x:c r="T12" t="str">
        <x:v>Verify measured scope, resources and predecessor logic</x:v>
      </x:c>
    </x:row>
    <x:row r="13">
      <x:c r="A13" t="str">
        <x:v>BHS-SLQ-04</x:v>
      </x:c>
      <x:c r="B13" t="str">
        <x:v>BHS-SLQ</x:v>
      </x:c>
      <x:c r="C13" t="str">
        <x:v>Replacement</x:v>
      </x:c>
      <x:c r="D13" t="str">
        <x:v>C</x:v>
      </x:c>
      <x:c r="E13" t="str">
        <x:v>Engineering</x:v>
      </x:c>
      <x:c r="F13" t="str">
        <x:v>Fabrication drawing release</x:v>
      </x:c>
      <x:c r="G13" t="str">
        <x:v>BHS-SLQ-03</x:v>
      </x:c>
      <x:c r="H13" t="str">
        <x:v>FS</x:v>
      </x:c>
      <x:c r="I13" t="n">
        <x:v>108</x:v>
      </x:c>
      <x:c r="J13" t="n">
        <x:v>165</x:v>
      </x:c>
      <x:c r="K13" t="n">
        <x:v>58</x:v>
      </x:c>
      <x:c r="L13" t="str">
        <x:v>Engineering Manager</x:v>
      </x:c>
      <x:c r="M13" t="str">
        <x:v>drawing</x:v>
      </x:c>
      <x:c r="N13"/>
      <x:c r="O13"/>
      <x:c r="P13"/>
      <x:c r="Q13" t="n">
        <x:v>0</x:v>
      </x:c>
      <x:c r="R13" t="str">
        <x:v>Not started</x:v>
      </x:c>
      <x:c r="S13" t="str">
        <x:v>Provisional</x:v>
      </x:c>
      <x:c r="T13" t="str">
        <x:v>Verify measured scope, resources and predecessor logic</x:v>
      </x:c>
    </x:row>
    <x:row r="14">
      <x:c r="A14" t="str">
        <x:v>ICW-ICG-UD-01</x:v>
      </x:c>
      <x:c r="B14" t="str">
        <x:v>ICW-ICG-UD</x:v>
      </x:c>
      <x:c r="C14" t="str">
        <x:v>Strengthening</x:v>
      </x:c>
      <x:c r="D14" t="str">
        <x:v>A</x:v>
      </x:c>
      <x:c r="E14" t="str">
        <x:v>Engineering</x:v>
      </x:c>
      <x:c r="F14" t="str">
        <x:v>Existing-condition survey</x:v>
      </x:c>
      <x:c r="G14" t="str"/>
      <x:c r="H14" t="str">
        <x:v>FS</x:v>
      </x:c>
      <x:c r="I14" t="n">
        <x:v>1</x:v>
      </x:c>
      <x:c r="J14" t="n">
        <x:v>28</x:v>
      </x:c>
      <x:c r="K14" t="n">
        <x:v>28</x:v>
      </x:c>
      <x:c r="L14" t="str">
        <x:v>Engineering Manager</x:v>
      </x:c>
      <x:c r="M14" t="str">
        <x:v>survey</x:v>
      </x:c>
      <x:c r="N14"/>
      <x:c r="O14"/>
      <x:c r="P14"/>
      <x:c r="Q14" t="n">
        <x:v>0</x:v>
      </x:c>
      <x:c r="R14" t="str">
        <x:v>Not started</x:v>
      </x:c>
      <x:c r="S14" t="str">
        <x:v>Provisional</x:v>
      </x:c>
      <x:c r="T14" t="str">
        <x:v>Verify measured scope, resources and predecessor logic</x:v>
      </x:c>
    </x:row>
    <x:row r="15">
      <x:c r="A15" t="str">
        <x:v>ICW-ICG-UD-02</x:v>
      </x:c>
      <x:c r="B15" t="str">
        <x:v>ICW-ICG-UD</x:v>
      </x:c>
      <x:c r="C15" t="str">
        <x:v>Strengthening</x:v>
      </x:c>
      <x:c r="D15" t="str">
        <x:v>A</x:v>
      </x:c>
      <x:c r="E15" t="str">
        <x:v>Engineering</x:v>
      </x:c>
      <x:c r="F15" t="str">
        <x:v>Design basis and interface verification</x:v>
      </x:c>
      <x:c r="G15" t="str">
        <x:v>ICW-ICG-UD-01</x:v>
      </x:c>
      <x:c r="H15" t="str">
        <x:v>FS</x:v>
      </x:c>
      <x:c r="I15" t="n">
        <x:v>15</x:v>
      </x:c>
      <x:c r="J15" t="n">
        <x:v>38</x:v>
      </x:c>
      <x:c r="K15" t="n">
        <x:v>24</x:v>
      </x:c>
      <x:c r="L15" t="str">
        <x:v>Engineering Manager</x:v>
      </x:c>
      <x:c r="M15" t="str">
        <x:v>design</x:v>
      </x:c>
      <x:c r="N15"/>
      <x:c r="O15"/>
      <x:c r="P15"/>
      <x:c r="Q15" t="n">
        <x:v>0</x:v>
      </x:c>
      <x:c r="R15" t="str">
        <x:v>Not started</x:v>
      </x:c>
      <x:c r="S15" t="str">
        <x:v>Provisional</x:v>
      </x:c>
      <x:c r="T15" t="str">
        <x:v>Verify measured scope, resources and predecessor logic</x:v>
      </x:c>
    </x:row>
    <x:row r="16">
      <x:c r="A16" t="str">
        <x:v>ICW-ICG-UD-03</x:v>
      </x:c>
      <x:c r="B16" t="str">
        <x:v>ICW-ICG-UD</x:v>
      </x:c>
      <x:c r="C16" t="str">
        <x:v>Strengthening</x:v>
      </x:c>
      <x:c r="D16" t="str">
        <x:v>A</x:v>
      </x:c>
      <x:c r="E16" t="str">
        <x:v>Engineering</x:v>
      </x:c>
      <x:c r="F16" t="str">
        <x:v>Detailed structural and temporary works engineering</x:v>
      </x:c>
      <x:c r="G16" t="str">
        <x:v>ICW-ICG-UD-02</x:v>
      </x:c>
      <x:c r="H16" t="str">
        <x:v>FS</x:v>
      </x:c>
      <x:c r="I16" t="n">
        <x:v>28</x:v>
      </x:c>
      <x:c r="J16" t="n">
        <x:v>92</x:v>
      </x:c>
      <x:c r="K16" t="n">
        <x:v>65</x:v>
      </x:c>
      <x:c r="L16" t="str">
        <x:v>Engineering Manager</x:v>
      </x:c>
      <x:c r="M16" t="str">
        <x:v>design</x:v>
      </x:c>
      <x:c r="N16"/>
      <x:c r="O16"/>
      <x:c r="P16"/>
      <x:c r="Q16" t="n">
        <x:v>0</x:v>
      </x:c>
      <x:c r="R16" t="str">
        <x:v>Not started</x:v>
      </x:c>
      <x:c r="S16" t="str">
        <x:v>Provisional</x:v>
      </x:c>
      <x:c r="T16" t="str">
        <x:v>Verify measured scope, resources and predecessor logic</x:v>
      </x:c>
    </x:row>
    <x:row r="17">
      <x:c r="A17" t="str">
        <x:v>ICW-ICG-UD-04</x:v>
      </x:c>
      <x:c r="B17" t="str">
        <x:v>ICW-ICG-UD</x:v>
      </x:c>
      <x:c r="C17" t="str">
        <x:v>Strengthening</x:v>
      </x:c>
      <x:c r="D17" t="str">
        <x:v>A</x:v>
      </x:c>
      <x:c r="E17" t="str">
        <x:v>Engineering</x:v>
      </x:c>
      <x:c r="F17" t="str">
        <x:v>Fabrication drawing release</x:v>
      </x:c>
      <x:c r="G17" t="str">
        <x:v>ICW-ICG-UD-03</x:v>
      </x:c>
      <x:c r="H17" t="str">
        <x:v>FS</x:v>
      </x:c>
      <x:c r="I17" t="n">
        <x:v>48</x:v>
      </x:c>
      <x:c r="J17" t="n">
        <x:v>105</x:v>
      </x:c>
      <x:c r="K17" t="n">
        <x:v>58</x:v>
      </x:c>
      <x:c r="L17" t="str">
        <x:v>Engineering Manager</x:v>
      </x:c>
      <x:c r="M17" t="str">
        <x:v>drawing</x:v>
      </x:c>
      <x:c r="N17"/>
      <x:c r="O17"/>
      <x:c r="P17"/>
      <x:c r="Q17" t="n">
        <x:v>0</x:v>
      </x:c>
      <x:c r="R17" t="str">
        <x:v>Not started</x:v>
      </x:c>
      <x:c r="S17" t="str">
        <x:v>Provisional</x:v>
      </x:c>
      <x:c r="T17" t="str">
        <x:v>Verify measured scope, resources and predecessor logic</x:v>
      </x:c>
    </x:row>
    <x:row r="18">
      <x:c r="A18" t="str">
        <x:v>ICG-ICP-UD-01</x:v>
      </x:c>
      <x:c r="B18" t="str">
        <x:v>ICG-ICP-UD</x:v>
      </x:c>
      <x:c r="C18" t="str">
        <x:v>Strengthening</x:v>
      </x:c>
      <x:c r="D18" t="str">
        <x:v>A</x:v>
      </x:c>
      <x:c r="E18" t="str">
        <x:v>Engineering</x:v>
      </x:c>
      <x:c r="F18" t="str">
        <x:v>Existing-condition survey</x:v>
      </x:c>
      <x:c r="G18" t="str"/>
      <x:c r="H18" t="str">
        <x:v>FS</x:v>
      </x:c>
      <x:c r="I18" t="n">
        <x:v>13</x:v>
      </x:c>
      <x:c r="J18" t="n">
        <x:v>40</x:v>
      </x:c>
      <x:c r="K18" t="n">
        <x:v>28</x:v>
      </x:c>
      <x:c r="L18" t="str">
        <x:v>Engineering Manager</x:v>
      </x:c>
      <x:c r="M18" t="str">
        <x:v>survey</x:v>
      </x:c>
      <x:c r="N18"/>
      <x:c r="O18"/>
      <x:c r="P18"/>
      <x:c r="Q18" t="n">
        <x:v>0</x:v>
      </x:c>
      <x:c r="R18" t="str">
        <x:v>Not started</x:v>
      </x:c>
      <x:c r="S18" t="str">
        <x:v>Provisional</x:v>
      </x:c>
      <x:c r="T18" t="str">
        <x:v>Verify measured scope, resources and predecessor logic</x:v>
      </x:c>
    </x:row>
    <x:row r="19">
      <x:c r="A19" t="str">
        <x:v>ICG-ICP-UD-02</x:v>
      </x:c>
      <x:c r="B19" t="str">
        <x:v>ICG-ICP-UD</x:v>
      </x:c>
      <x:c r="C19" t="str">
        <x:v>Strengthening</x:v>
      </x:c>
      <x:c r="D19" t="str">
        <x:v>A</x:v>
      </x:c>
      <x:c r="E19" t="str">
        <x:v>Engineering</x:v>
      </x:c>
      <x:c r="F19" t="str">
        <x:v>Design basis and interface verification</x:v>
      </x:c>
      <x:c r="G19" t="str">
        <x:v>ICG-ICP-UD-01</x:v>
      </x:c>
      <x:c r="H19" t="str">
        <x:v>FS</x:v>
      </x:c>
      <x:c r="I19" t="n">
        <x:v>27</x:v>
      </x:c>
      <x:c r="J19" t="n">
        <x:v>50</x:v>
      </x:c>
      <x:c r="K19" t="n">
        <x:v>24</x:v>
      </x:c>
      <x:c r="L19" t="str">
        <x:v>Engineering Manager</x:v>
      </x:c>
      <x:c r="M19" t="str">
        <x:v>design</x:v>
      </x:c>
      <x:c r="N19"/>
      <x:c r="O19"/>
      <x:c r="P19"/>
      <x:c r="Q19" t="n">
        <x:v>0</x:v>
      </x:c>
      <x:c r="R19" t="str">
        <x:v>Not started</x:v>
      </x:c>
      <x:c r="S19" t="str">
        <x:v>Provisional</x:v>
      </x:c>
      <x:c r="T19" t="str">
        <x:v>Verify measured scope, resources and predecessor logic</x:v>
      </x:c>
    </x:row>
    <x:row r="20">
      <x:c r="A20" t="str">
        <x:v>ICG-ICP-UD-03</x:v>
      </x:c>
      <x:c r="B20" t="str">
        <x:v>ICG-ICP-UD</x:v>
      </x:c>
      <x:c r="C20" t="str">
        <x:v>Strengthening</x:v>
      </x:c>
      <x:c r="D20" t="str">
        <x:v>A</x:v>
      </x:c>
      <x:c r="E20" t="str">
        <x:v>Engineering</x:v>
      </x:c>
      <x:c r="F20" t="str">
        <x:v>Detailed structural and temporary works engineering</x:v>
      </x:c>
      <x:c r="G20" t="str">
        <x:v>ICG-ICP-UD-02</x:v>
      </x:c>
      <x:c r="H20" t="str">
        <x:v>FS</x:v>
      </x:c>
      <x:c r="I20" t="n">
        <x:v>40</x:v>
      </x:c>
      <x:c r="J20" t="n">
        <x:v>104</x:v>
      </x:c>
      <x:c r="K20" t="n">
        <x:v>65</x:v>
      </x:c>
      <x:c r="L20" t="str">
        <x:v>Engineering Manager</x:v>
      </x:c>
      <x:c r="M20" t="str">
        <x:v>design</x:v>
      </x:c>
      <x:c r="N20"/>
      <x:c r="O20"/>
      <x:c r="P20"/>
      <x:c r="Q20" t="n">
        <x:v>0</x:v>
      </x:c>
      <x:c r="R20" t="str">
        <x:v>Not started</x:v>
      </x:c>
      <x:c r="S20" t="str">
        <x:v>Provisional</x:v>
      </x:c>
      <x:c r="T20" t="str">
        <x:v>Verify measured scope, resources and predecessor logic</x:v>
      </x:c>
    </x:row>
    <x:row r="21">
      <x:c r="A21" t="str">
        <x:v>ICG-ICP-UD-04</x:v>
      </x:c>
      <x:c r="B21" t="str">
        <x:v>ICG-ICP-UD</x:v>
      </x:c>
      <x:c r="C21" t="str">
        <x:v>Strengthening</x:v>
      </x:c>
      <x:c r="D21" t="str">
        <x:v>A</x:v>
      </x:c>
      <x:c r="E21" t="str">
        <x:v>Engineering</x:v>
      </x:c>
      <x:c r="F21" t="str">
        <x:v>Fabrication drawing release</x:v>
      </x:c>
      <x:c r="G21" t="str">
        <x:v>ICG-ICP-UD-03</x:v>
      </x:c>
      <x:c r="H21" t="str">
        <x:v>FS</x:v>
      </x:c>
      <x:c r="I21" t="n">
        <x:v>60</x:v>
      </x:c>
      <x:c r="J21" t="n">
        <x:v>117</x:v>
      </x:c>
      <x:c r="K21" t="n">
        <x:v>58</x:v>
      </x:c>
      <x:c r="L21" t="str">
        <x:v>Engineering Manager</x:v>
      </x:c>
      <x:c r="M21" t="str">
        <x:v>drawing</x:v>
      </x:c>
      <x:c r="N21"/>
      <x:c r="O21"/>
      <x:c r="P21"/>
      <x:c r="Q21" t="n">
        <x:v>0</x:v>
      </x:c>
      <x:c r="R21" t="str">
        <x:v>Not started</x:v>
      </x:c>
      <x:c r="S21" t="str">
        <x:v>Provisional</x:v>
      </x:c>
      <x:c r="T21" t="str">
        <x:v>Verify measured scope, resources and predecessor logic</x:v>
      </x:c>
    </x:row>
    <x:row r="22">
      <x:c r="A22" t="str">
        <x:v>SLQ-WIS-01</x:v>
      </x:c>
      <x:c r="B22" t="str">
        <x:v>SLQ-WIS</x:v>
      </x:c>
      <x:c r="C22" t="str">
        <x:v>Strengthening</x:v>
      </x:c>
      <x:c r="D22" t="str">
        <x:v>A</x:v>
      </x:c>
      <x:c r="E22" t="str">
        <x:v>Engineering</x:v>
      </x:c>
      <x:c r="F22" t="str">
        <x:v>Existing-condition survey</x:v>
      </x:c>
      <x:c r="G22" t="str"/>
      <x:c r="H22" t="str">
        <x:v>FS</x:v>
      </x:c>
      <x:c r="I22" t="n">
        <x:v>25</x:v>
      </x:c>
      <x:c r="J22" t="n">
        <x:v>52</x:v>
      </x:c>
      <x:c r="K22" t="n">
        <x:v>28</x:v>
      </x:c>
      <x:c r="L22" t="str">
        <x:v>Engineering Manager</x:v>
      </x:c>
      <x:c r="M22" t="str">
        <x:v>survey</x:v>
      </x:c>
      <x:c r="N22"/>
      <x:c r="O22"/>
      <x:c r="P22"/>
      <x:c r="Q22" t="n">
        <x:v>0</x:v>
      </x:c>
      <x:c r="R22" t="str">
        <x:v>Not started</x:v>
      </x:c>
      <x:c r="S22" t="str">
        <x:v>Provisional</x:v>
      </x:c>
      <x:c r="T22" t="str">
        <x:v>Verify measured scope, resources and predecessor logic</x:v>
      </x:c>
    </x:row>
    <x:row r="23">
      <x:c r="A23" t="str">
        <x:v>SLQ-WIS-02</x:v>
      </x:c>
      <x:c r="B23" t="str">
        <x:v>SLQ-WIS</x:v>
      </x:c>
      <x:c r="C23" t="str">
        <x:v>Strengthening</x:v>
      </x:c>
      <x:c r="D23" t="str">
        <x:v>A</x:v>
      </x:c>
      <x:c r="E23" t="str">
        <x:v>Engineering</x:v>
      </x:c>
      <x:c r="F23" t="str">
        <x:v>Design basis and interface verification</x:v>
      </x:c>
      <x:c r="G23" t="str">
        <x:v>SLQ-WIS-01</x:v>
      </x:c>
      <x:c r="H23" t="str">
        <x:v>FS</x:v>
      </x:c>
      <x:c r="I23" t="n">
        <x:v>39</x:v>
      </x:c>
      <x:c r="J23" t="n">
        <x:v>62</x:v>
      </x:c>
      <x:c r="K23" t="n">
        <x:v>24</x:v>
      </x:c>
      <x:c r="L23" t="str">
        <x:v>Engineering Manager</x:v>
      </x:c>
      <x:c r="M23" t="str">
        <x:v>design</x:v>
      </x:c>
      <x:c r="N23"/>
      <x:c r="O23"/>
      <x:c r="P23"/>
      <x:c r="Q23" t="n">
        <x:v>0</x:v>
      </x:c>
      <x:c r="R23" t="str">
        <x:v>Not started</x:v>
      </x:c>
      <x:c r="S23" t="str">
        <x:v>Provisional</x:v>
      </x:c>
      <x:c r="T23" t="str">
        <x:v>Verify measured scope, resources and predecessor logic</x:v>
      </x:c>
    </x:row>
    <x:row r="24">
      <x:c r="A24" t="str">
        <x:v>SLQ-WIS-03</x:v>
      </x:c>
      <x:c r="B24" t="str">
        <x:v>SLQ-WIS</x:v>
      </x:c>
      <x:c r="C24" t="str">
        <x:v>Strengthening</x:v>
      </x:c>
      <x:c r="D24" t="str">
        <x:v>A</x:v>
      </x:c>
      <x:c r="E24" t="str">
        <x:v>Engineering</x:v>
      </x:c>
      <x:c r="F24" t="str">
        <x:v>Detailed structural and temporary works engineering</x:v>
      </x:c>
      <x:c r="G24" t="str">
        <x:v>SLQ-WIS-02</x:v>
      </x:c>
      <x:c r="H24" t="str">
        <x:v>FS</x:v>
      </x:c>
      <x:c r="I24" t="n">
        <x:v>52</x:v>
      </x:c>
      <x:c r="J24" t="n">
        <x:v>116</x:v>
      </x:c>
      <x:c r="K24" t="n">
        <x:v>65</x:v>
      </x:c>
      <x:c r="L24" t="str">
        <x:v>Engineering Manager</x:v>
      </x:c>
      <x:c r="M24" t="str">
        <x:v>design</x:v>
      </x:c>
      <x:c r="N24"/>
      <x:c r="O24"/>
      <x:c r="P24"/>
      <x:c r="Q24" t="n">
        <x:v>0</x:v>
      </x:c>
      <x:c r="R24" t="str">
        <x:v>Not started</x:v>
      </x:c>
      <x:c r="S24" t="str">
        <x:v>Provisional</x:v>
      </x:c>
      <x:c r="T24" t="str">
        <x:v>Verify measured scope, resources and predecessor logic</x:v>
      </x:c>
    </x:row>
    <x:row r="25">
      <x:c r="A25" t="str">
        <x:v>SLQ-WIS-04</x:v>
      </x:c>
      <x:c r="B25" t="str">
        <x:v>SLQ-WIS</x:v>
      </x:c>
      <x:c r="C25" t="str">
        <x:v>Strengthening</x:v>
      </x:c>
      <x:c r="D25" t="str">
        <x:v>A</x:v>
      </x:c>
      <x:c r="E25" t="str">
        <x:v>Engineering</x:v>
      </x:c>
      <x:c r="F25" t="str">
        <x:v>Fabrication drawing release</x:v>
      </x:c>
      <x:c r="G25" t="str">
        <x:v>SLQ-WIS-03</x:v>
      </x:c>
      <x:c r="H25" t="str">
        <x:v>FS</x:v>
      </x:c>
      <x:c r="I25" t="n">
        <x:v>72</x:v>
      </x:c>
      <x:c r="J25" t="n">
        <x:v>129</x:v>
      </x:c>
      <x:c r="K25" t="n">
        <x:v>58</x:v>
      </x:c>
      <x:c r="L25" t="str">
        <x:v>Engineering Manager</x:v>
      </x:c>
      <x:c r="M25" t="str">
        <x:v>drawing</x:v>
      </x:c>
      <x:c r="N25"/>
      <x:c r="O25"/>
      <x:c r="P25"/>
      <x:c r="Q25" t="n">
        <x:v>0</x:v>
      </x:c>
      <x:c r="R25" t="str">
        <x:v>Not started</x:v>
      </x:c>
      <x:c r="S25" t="str">
        <x:v>Provisional</x:v>
      </x:c>
      <x:c r="T25" t="str">
        <x:v>Verify measured scope, resources and predecessor logic</x:v>
      </x:c>
    </x:row>
    <x:row r="26">
      <x:c r="A26" t="str">
        <x:v>NQO-NQD-01</x:v>
      </x:c>
      <x:c r="B26" t="str">
        <x:v>NQO-NQD</x:v>
      </x:c>
      <x:c r="C26" t="str">
        <x:v>Strengthening</x:v>
      </x:c>
      <x:c r="D26" t="str">
        <x:v>B</x:v>
      </x:c>
      <x:c r="E26" t="str">
        <x:v>Engineering</x:v>
      </x:c>
      <x:c r="F26" t="str">
        <x:v>Existing-condition survey</x:v>
      </x:c>
      <x:c r="G26" t="str"/>
      <x:c r="H26" t="str">
        <x:v>FS</x:v>
      </x:c>
      <x:c r="I26" t="n">
        <x:v>37</x:v>
      </x:c>
      <x:c r="J26" t="n">
        <x:v>64</x:v>
      </x:c>
      <x:c r="K26" t="n">
        <x:v>28</x:v>
      </x:c>
      <x:c r="L26" t="str">
        <x:v>Engineering Manager</x:v>
      </x:c>
      <x:c r="M26" t="str">
        <x:v>survey</x:v>
      </x:c>
      <x:c r="N26"/>
      <x:c r="O26"/>
      <x:c r="P26"/>
      <x:c r="Q26" t="n">
        <x:v>0</x:v>
      </x:c>
      <x:c r="R26" t="str">
        <x:v>Not started</x:v>
      </x:c>
      <x:c r="S26" t="str">
        <x:v>Provisional</x:v>
      </x:c>
      <x:c r="T26" t="str">
        <x:v>Verify measured scope, resources and predecessor logic</x:v>
      </x:c>
    </x:row>
    <x:row r="27">
      <x:c r="A27" t="str">
        <x:v>NQO-NQD-02</x:v>
      </x:c>
      <x:c r="B27" t="str">
        <x:v>NQO-NQD</x:v>
      </x:c>
      <x:c r="C27" t="str">
        <x:v>Strengthening</x:v>
      </x:c>
      <x:c r="D27" t="str">
        <x:v>B</x:v>
      </x:c>
      <x:c r="E27" t="str">
        <x:v>Engineering</x:v>
      </x:c>
      <x:c r="F27" t="str">
        <x:v>Design basis and interface verification</x:v>
      </x:c>
      <x:c r="G27" t="str">
        <x:v>NQO-NQD-01</x:v>
      </x:c>
      <x:c r="H27" t="str">
        <x:v>FS</x:v>
      </x:c>
      <x:c r="I27" t="n">
        <x:v>51</x:v>
      </x:c>
      <x:c r="J27" t="n">
        <x:v>74</x:v>
      </x:c>
      <x:c r="K27" t="n">
        <x:v>24</x:v>
      </x:c>
      <x:c r="L27" t="str">
        <x:v>Engineering Manager</x:v>
      </x:c>
      <x:c r="M27" t="str">
        <x:v>design</x:v>
      </x:c>
      <x:c r="N27"/>
      <x:c r="O27"/>
      <x:c r="P27"/>
      <x:c r="Q27" t="n">
        <x:v>0</x:v>
      </x:c>
      <x:c r="R27" t="str">
        <x:v>Not started</x:v>
      </x:c>
      <x:c r="S27" t="str">
        <x:v>Provisional</x:v>
      </x:c>
      <x:c r="T27" t="str">
        <x:v>Verify measured scope, resources and predecessor logic</x:v>
      </x:c>
    </x:row>
    <x:row r="28">
      <x:c r="A28" t="str">
        <x:v>NQO-NQD-03</x:v>
      </x:c>
      <x:c r="B28" t="str">
        <x:v>NQO-NQD</x:v>
      </x:c>
      <x:c r="C28" t="str">
        <x:v>Strengthening</x:v>
      </x:c>
      <x:c r="D28" t="str">
        <x:v>B</x:v>
      </x:c>
      <x:c r="E28" t="str">
        <x:v>Engineering</x:v>
      </x:c>
      <x:c r="F28" t="str">
        <x:v>Detailed structural and temporary works engineering</x:v>
      </x:c>
      <x:c r="G28" t="str">
        <x:v>NQO-NQD-02</x:v>
      </x:c>
      <x:c r="H28" t="str">
        <x:v>FS</x:v>
      </x:c>
      <x:c r="I28" t="n">
        <x:v>64</x:v>
      </x:c>
      <x:c r="J28" t="n">
        <x:v>128</x:v>
      </x:c>
      <x:c r="K28" t="n">
        <x:v>65</x:v>
      </x:c>
      <x:c r="L28" t="str">
        <x:v>Engineering Manager</x:v>
      </x:c>
      <x:c r="M28" t="str">
        <x:v>design</x:v>
      </x:c>
      <x:c r="N28"/>
      <x:c r="O28"/>
      <x:c r="P28"/>
      <x:c r="Q28" t="n">
        <x:v>0</x:v>
      </x:c>
      <x:c r="R28" t="str">
        <x:v>Not started</x:v>
      </x:c>
      <x:c r="S28" t="str">
        <x:v>Provisional</x:v>
      </x:c>
      <x:c r="T28" t="str">
        <x:v>Verify measured scope, resources and predecessor logic</x:v>
      </x:c>
    </x:row>
    <x:row r="29">
      <x:c r="A29" t="str">
        <x:v>NQO-NQD-04</x:v>
      </x:c>
      <x:c r="B29" t="str">
        <x:v>NQO-NQD</x:v>
      </x:c>
      <x:c r="C29" t="str">
        <x:v>Strengthening</x:v>
      </x:c>
      <x:c r="D29" t="str">
        <x:v>B</x:v>
      </x:c>
      <x:c r="E29" t="str">
        <x:v>Engineering</x:v>
      </x:c>
      <x:c r="F29" t="str">
        <x:v>Fabrication drawing release</x:v>
      </x:c>
      <x:c r="G29" t="str">
        <x:v>NQO-NQD-03</x:v>
      </x:c>
      <x:c r="H29" t="str">
        <x:v>FS</x:v>
      </x:c>
      <x:c r="I29" t="n">
        <x:v>84</x:v>
      </x:c>
      <x:c r="J29" t="n">
        <x:v>141</x:v>
      </x:c>
      <x:c r="K29" t="n">
        <x:v>58</x:v>
      </x:c>
      <x:c r="L29" t="str">
        <x:v>Engineering Manager</x:v>
      </x:c>
      <x:c r="M29" t="str">
        <x:v>drawing</x:v>
      </x:c>
      <x:c r="N29"/>
      <x:c r="O29"/>
      <x:c r="P29"/>
      <x:c r="Q29" t="n">
        <x:v>0</x:v>
      </x:c>
      <x:c r="R29" t="str">
        <x:v>Not started</x:v>
      </x:c>
      <x:c r="S29" t="str">
        <x:v>Provisional</x:v>
      </x:c>
      <x:c r="T29" t="str">
        <x:v>Verify measured scope, resources and predecessor logic</x:v>
      </x:c>
    </x:row>
    <x:row r="30">
      <x:c r="A30" t="str">
        <x:v>WIN-NC-01</x:v>
      </x:c>
      <x:c r="B30" t="str">
        <x:v>WIN-NC</x:v>
      </x:c>
      <x:c r="C30" t="str">
        <x:v>Strengthening</x:v>
      </x:c>
      <x:c r="D30" t="str">
        <x:v>B</x:v>
      </x:c>
      <x:c r="E30" t="str">
        <x:v>Engineering</x:v>
      </x:c>
      <x:c r="F30" t="str">
        <x:v>Existing-condition survey</x:v>
      </x:c>
      <x:c r="G30" t="str"/>
      <x:c r="H30" t="str">
        <x:v>FS</x:v>
      </x:c>
      <x:c r="I30" t="n">
        <x:v>49</x:v>
      </x:c>
      <x:c r="J30" t="n">
        <x:v>76</x:v>
      </x:c>
      <x:c r="K30" t="n">
        <x:v>28</x:v>
      </x:c>
      <x:c r="L30" t="str">
        <x:v>Engineering Manager</x:v>
      </x:c>
      <x:c r="M30" t="str">
        <x:v>survey</x:v>
      </x:c>
      <x:c r="N30"/>
      <x:c r="O30"/>
      <x:c r="P30"/>
      <x:c r="Q30" t="n">
        <x:v>0</x:v>
      </x:c>
      <x:c r="R30" t="str">
        <x:v>Not started</x:v>
      </x:c>
      <x:c r="S30" t="str">
        <x:v>Provisional</x:v>
      </x:c>
      <x:c r="T30" t="str">
        <x:v>Verify measured scope, resources and predecessor logic</x:v>
      </x:c>
    </x:row>
    <x:row r="31">
      <x:c r="A31" t="str">
        <x:v>WIN-NC-02</x:v>
      </x:c>
      <x:c r="B31" t="str">
        <x:v>WIN-NC</x:v>
      </x:c>
      <x:c r="C31" t="str">
        <x:v>Strengthening</x:v>
      </x:c>
      <x:c r="D31" t="str">
        <x:v>B</x:v>
      </x:c>
      <x:c r="E31" t="str">
        <x:v>Engineering</x:v>
      </x:c>
      <x:c r="F31" t="str">
        <x:v>Design basis and interface verification</x:v>
      </x:c>
      <x:c r="G31" t="str">
        <x:v>WIN-NC-01</x:v>
      </x:c>
      <x:c r="H31" t="str">
        <x:v>FS</x:v>
      </x:c>
      <x:c r="I31" t="n">
        <x:v>63</x:v>
      </x:c>
      <x:c r="J31" t="n">
        <x:v>86</x:v>
      </x:c>
      <x:c r="K31" t="n">
        <x:v>24</x:v>
      </x:c>
      <x:c r="L31" t="str">
        <x:v>Engineering Manager</x:v>
      </x:c>
      <x:c r="M31" t="str">
        <x:v>design</x:v>
      </x:c>
      <x:c r="N31"/>
      <x:c r="O31"/>
      <x:c r="P31"/>
      <x:c r="Q31" t="n">
        <x:v>0</x:v>
      </x:c>
      <x:c r="R31" t="str">
        <x:v>Not started</x:v>
      </x:c>
      <x:c r="S31" t="str">
        <x:v>Provisional</x:v>
      </x:c>
      <x:c r="T31" t="str">
        <x:v>Verify measured scope, resources and predecessor logic</x:v>
      </x:c>
    </x:row>
    <x:row r="32">
      <x:c r="A32" t="str">
        <x:v>WIN-NC-03</x:v>
      </x:c>
      <x:c r="B32" t="str">
        <x:v>WIN-NC</x:v>
      </x:c>
      <x:c r="C32" t="str">
        <x:v>Strengthening</x:v>
      </x:c>
      <x:c r="D32" t="str">
        <x:v>B</x:v>
      </x:c>
      <x:c r="E32" t="str">
        <x:v>Engineering</x:v>
      </x:c>
      <x:c r="F32" t="str">
        <x:v>Detailed structural and temporary works engineering</x:v>
      </x:c>
      <x:c r="G32" t="str">
        <x:v>WIN-NC-02</x:v>
      </x:c>
      <x:c r="H32" t="str">
        <x:v>FS</x:v>
      </x:c>
      <x:c r="I32" t="n">
        <x:v>76</x:v>
      </x:c>
      <x:c r="J32" t="n">
        <x:v>140</x:v>
      </x:c>
      <x:c r="K32" t="n">
        <x:v>65</x:v>
      </x:c>
      <x:c r="L32" t="str">
        <x:v>Engineering Manager</x:v>
      </x:c>
      <x:c r="M32" t="str">
        <x:v>design</x:v>
      </x:c>
      <x:c r="N32"/>
      <x:c r="O32"/>
      <x:c r="P32"/>
      <x:c r="Q32" t="n">
        <x:v>0</x:v>
      </x:c>
      <x:c r="R32" t="str">
        <x:v>Not started</x:v>
      </x:c>
      <x:c r="S32" t="str">
        <x:v>Provisional</x:v>
      </x:c>
      <x:c r="T32" t="str">
        <x:v>Verify measured scope, resources and predecessor logic</x:v>
      </x:c>
    </x:row>
    <x:row r="33">
      <x:c r="A33" t="str">
        <x:v>WIN-NC-04</x:v>
      </x:c>
      <x:c r="B33" t="str">
        <x:v>WIN-NC</x:v>
      </x:c>
      <x:c r="C33" t="str">
        <x:v>Strengthening</x:v>
      </x:c>
      <x:c r="D33" t="str">
        <x:v>B</x:v>
      </x:c>
      <x:c r="E33" t="str">
        <x:v>Engineering</x:v>
      </x:c>
      <x:c r="F33" t="str">
        <x:v>Fabrication drawing release</x:v>
      </x:c>
      <x:c r="G33" t="str">
        <x:v>WIN-NC-03</x:v>
      </x:c>
      <x:c r="H33" t="str">
        <x:v>FS</x:v>
      </x:c>
      <x:c r="I33" t="n">
        <x:v>96</x:v>
      </x:c>
      <x:c r="J33" t="n">
        <x:v>153</x:v>
      </x:c>
      <x:c r="K33" t="n">
        <x:v>58</x:v>
      </x:c>
      <x:c r="L33" t="str">
        <x:v>Engineering Manager</x:v>
      </x:c>
      <x:c r="M33" t="str">
        <x:v>drawing</x:v>
      </x:c>
      <x:c r="N33"/>
      <x:c r="O33"/>
      <x:c r="P33"/>
      <x:c r="Q33" t="n">
        <x:v>0</x:v>
      </x:c>
      <x:c r="R33" t="str">
        <x:v>Not started</x:v>
      </x:c>
      <x:c r="S33" t="str">
        <x:v>Provisional</x:v>
      </x:c>
      <x:c r="T33" t="str">
        <x:v>Verify measured scope, resources and predecessor logic</x:v>
      </x:c>
    </x:row>
    <x:row r="34">
      <x:c r="A34" t="str">
        <x:v>SCA-SC1-01</x:v>
      </x:c>
      <x:c r="B34" t="str">
        <x:v>SCA-SC1</x:v>
      </x:c>
      <x:c r="C34" t="str">
        <x:v>Strengthening</x:v>
      </x:c>
      <x:c r="D34" t="str">
        <x:v>B</x:v>
      </x:c>
      <x:c r="E34" t="str">
        <x:v>Engineering</x:v>
      </x:c>
      <x:c r="F34" t="str">
        <x:v>Existing-condition survey</x:v>
      </x:c>
      <x:c r="G34" t="str"/>
      <x:c r="H34" t="str">
        <x:v>FS</x:v>
      </x:c>
      <x:c r="I34" t="n">
        <x:v>61</x:v>
      </x:c>
      <x:c r="J34" t="n">
        <x:v>88</x:v>
      </x:c>
      <x:c r="K34" t="n">
        <x:v>28</x:v>
      </x:c>
      <x:c r="L34" t="str">
        <x:v>Engineering Manager</x:v>
      </x:c>
      <x:c r="M34" t="str">
        <x:v>survey</x:v>
      </x:c>
      <x:c r="N34"/>
      <x:c r="O34"/>
      <x:c r="P34"/>
      <x:c r="Q34" t="n">
        <x:v>0</x:v>
      </x:c>
      <x:c r="R34" t="str">
        <x:v>Not started</x:v>
      </x:c>
      <x:c r="S34" t="str">
        <x:v>Provisional</x:v>
      </x:c>
      <x:c r="T34" t="str">
        <x:v>Verify measured scope, resources and predecessor logic</x:v>
      </x:c>
    </x:row>
    <x:row r="35">
      <x:c r="A35" t="str">
        <x:v>SCA-SC1-02</x:v>
      </x:c>
      <x:c r="B35" t="str">
        <x:v>SCA-SC1</x:v>
      </x:c>
      <x:c r="C35" t="str">
        <x:v>Strengthening</x:v>
      </x:c>
      <x:c r="D35" t="str">
        <x:v>B</x:v>
      </x:c>
      <x:c r="E35" t="str">
        <x:v>Engineering</x:v>
      </x:c>
      <x:c r="F35" t="str">
        <x:v>Design basis and interface verification</x:v>
      </x:c>
      <x:c r="G35" t="str">
        <x:v>SCA-SC1-01</x:v>
      </x:c>
      <x:c r="H35" t="str">
        <x:v>FS</x:v>
      </x:c>
      <x:c r="I35" t="n">
        <x:v>75</x:v>
      </x:c>
      <x:c r="J35" t="n">
        <x:v>98</x:v>
      </x:c>
      <x:c r="K35" t="n">
        <x:v>24</x:v>
      </x:c>
      <x:c r="L35" t="str">
        <x:v>Engineering Manager</x:v>
      </x:c>
      <x:c r="M35" t="str">
        <x:v>design</x:v>
      </x:c>
      <x:c r="N35"/>
      <x:c r="O35"/>
      <x:c r="P35"/>
      <x:c r="Q35" t="n">
        <x:v>0</x:v>
      </x:c>
      <x:c r="R35" t="str">
        <x:v>Not started</x:v>
      </x:c>
      <x:c r="S35" t="str">
        <x:v>Provisional</x:v>
      </x:c>
      <x:c r="T35" t="str">
        <x:v>Verify measured scope, resources and predecessor logic</x:v>
      </x:c>
    </x:row>
    <x:row r="36">
      <x:c r="A36" t="str">
        <x:v>SCA-SC1-03</x:v>
      </x:c>
      <x:c r="B36" t="str">
        <x:v>SCA-SC1</x:v>
      </x:c>
      <x:c r="C36" t="str">
        <x:v>Strengthening</x:v>
      </x:c>
      <x:c r="D36" t="str">
        <x:v>B</x:v>
      </x:c>
      <x:c r="E36" t="str">
        <x:v>Engineering</x:v>
      </x:c>
      <x:c r="F36" t="str">
        <x:v>Detailed structural and temporary works engineering</x:v>
      </x:c>
      <x:c r="G36" t="str">
        <x:v>SCA-SC1-02</x:v>
      </x:c>
      <x:c r="H36" t="str">
        <x:v>FS</x:v>
      </x:c>
      <x:c r="I36" t="n">
        <x:v>88</x:v>
      </x:c>
      <x:c r="J36" t="n">
        <x:v>152</x:v>
      </x:c>
      <x:c r="K36" t="n">
        <x:v>65</x:v>
      </x:c>
      <x:c r="L36" t="str">
        <x:v>Engineering Manager</x:v>
      </x:c>
      <x:c r="M36" t="str">
        <x:v>design</x:v>
      </x:c>
      <x:c r="N36"/>
      <x:c r="O36"/>
      <x:c r="P36"/>
      <x:c r="Q36" t="n">
        <x:v>0</x:v>
      </x:c>
      <x:c r="R36" t="str">
        <x:v>Not started</x:v>
      </x:c>
      <x:c r="S36" t="str">
        <x:v>Provisional</x:v>
      </x:c>
      <x:c r="T36" t="str">
        <x:v>Verify measured scope, resources and predecessor logic</x:v>
      </x:c>
    </x:row>
    <x:row r="37">
      <x:c r="A37" t="str">
        <x:v>SCA-SC1-04</x:v>
      </x:c>
      <x:c r="B37" t="str">
        <x:v>SCA-SC1</x:v>
      </x:c>
      <x:c r="C37" t="str">
        <x:v>Strengthening</x:v>
      </x:c>
      <x:c r="D37" t="str">
        <x:v>B</x:v>
      </x:c>
      <x:c r="E37" t="str">
        <x:v>Engineering</x:v>
      </x:c>
      <x:c r="F37" t="str">
        <x:v>Fabrication drawing release</x:v>
      </x:c>
      <x:c r="G37" t="str">
        <x:v>SCA-SC1-03</x:v>
      </x:c>
      <x:c r="H37" t="str">
        <x:v>FS</x:v>
      </x:c>
      <x:c r="I37" t="n">
        <x:v>108</x:v>
      </x:c>
      <x:c r="J37" t="n">
        <x:v>165</x:v>
      </x:c>
      <x:c r="K37" t="n">
        <x:v>58</x:v>
      </x:c>
      <x:c r="L37" t="str">
        <x:v>Engineering Manager</x:v>
      </x:c>
      <x:c r="M37" t="str">
        <x:v>drawing</x:v>
      </x:c>
      <x:c r="N37"/>
      <x:c r="O37"/>
      <x:c r="P37"/>
      <x:c r="Q37" t="n">
        <x:v>0</x:v>
      </x:c>
      <x:c r="R37" t="str">
        <x:v>Not started</x:v>
      </x:c>
      <x:c r="S37" t="str">
        <x:v>Provisional</x:v>
      </x:c>
      <x:c r="T37" t="str">
        <x:v>Verify measured scope, resources and predecessor logic</x:v>
      </x:c>
    </x:row>
    <x:row r="38">
      <x:c r="A38" t="str">
        <x:v>SCA-SCF-01</x:v>
      </x:c>
      <x:c r="B38" t="str">
        <x:v>SCA-SCF</x:v>
      </x:c>
      <x:c r="C38" t="str">
        <x:v>Strengthening</x:v>
      </x:c>
      <x:c r="D38" t="str">
        <x:v>B</x:v>
      </x:c>
      <x:c r="E38" t="str">
        <x:v>Engineering</x:v>
      </x:c>
      <x:c r="F38" t="str">
        <x:v>Existing-condition survey</x:v>
      </x:c>
      <x:c r="G38" t="str"/>
      <x:c r="H38" t="str">
        <x:v>FS</x:v>
      </x:c>
      <x:c r="I38" t="n">
        <x:v>73</x:v>
      </x:c>
      <x:c r="J38" t="n">
        <x:v>100</x:v>
      </x:c>
      <x:c r="K38" t="n">
        <x:v>28</x:v>
      </x:c>
      <x:c r="L38" t="str">
        <x:v>Engineering Manager</x:v>
      </x:c>
      <x:c r="M38" t="str">
        <x:v>survey</x:v>
      </x:c>
      <x:c r="N38"/>
      <x:c r="O38"/>
      <x:c r="P38"/>
      <x:c r="Q38" t="n">
        <x:v>0</x:v>
      </x:c>
      <x:c r="R38" t="str">
        <x:v>Not started</x:v>
      </x:c>
      <x:c r="S38" t="str">
        <x:v>Provisional</x:v>
      </x:c>
      <x:c r="T38" t="str">
        <x:v>Verify measured scope, resources and predecessor logic</x:v>
      </x:c>
    </x:row>
    <x:row r="39">
      <x:c r="A39" t="str">
        <x:v>SCA-SCF-02</x:v>
      </x:c>
      <x:c r="B39" t="str">
        <x:v>SCA-SCF</x:v>
      </x:c>
      <x:c r="C39" t="str">
        <x:v>Strengthening</x:v>
      </x:c>
      <x:c r="D39" t="str">
        <x:v>B</x:v>
      </x:c>
      <x:c r="E39" t="str">
        <x:v>Engineering</x:v>
      </x:c>
      <x:c r="F39" t="str">
        <x:v>Design basis and interface verification</x:v>
      </x:c>
      <x:c r="G39" t="str">
        <x:v>SCA-SCF-01</x:v>
      </x:c>
      <x:c r="H39" t="str">
        <x:v>FS</x:v>
      </x:c>
      <x:c r="I39" t="n">
        <x:v>87</x:v>
      </x:c>
      <x:c r="J39" t="n">
        <x:v>110</x:v>
      </x:c>
      <x:c r="K39" t="n">
        <x:v>24</x:v>
      </x:c>
      <x:c r="L39" t="str">
        <x:v>Engineering Manager</x:v>
      </x:c>
      <x:c r="M39" t="str">
        <x:v>design</x:v>
      </x:c>
      <x:c r="N39"/>
      <x:c r="O39"/>
      <x:c r="P39"/>
      <x:c r="Q39" t="n">
        <x:v>0</x:v>
      </x:c>
      <x:c r="R39" t="str">
        <x:v>Not started</x:v>
      </x:c>
      <x:c r="S39" t="str">
        <x:v>Provisional</x:v>
      </x:c>
      <x:c r="T39" t="str">
        <x:v>Verify measured scope, resources and predecessor logic</x:v>
      </x:c>
    </x:row>
    <x:row r="40">
      <x:c r="A40" t="str">
        <x:v>SCA-SCF-03</x:v>
      </x:c>
      <x:c r="B40" t="str">
        <x:v>SCA-SCF</x:v>
      </x:c>
      <x:c r="C40" t="str">
        <x:v>Strengthening</x:v>
      </x:c>
      <x:c r="D40" t="str">
        <x:v>B</x:v>
      </x:c>
      <x:c r="E40" t="str">
        <x:v>Engineering</x:v>
      </x:c>
      <x:c r="F40" t="str">
        <x:v>Detailed structural and temporary works engineering</x:v>
      </x:c>
      <x:c r="G40" t="str">
        <x:v>SCA-SCF-02</x:v>
      </x:c>
      <x:c r="H40" t="str">
        <x:v>FS</x:v>
      </x:c>
      <x:c r="I40" t="n">
        <x:v>100</x:v>
      </x:c>
      <x:c r="J40" t="n">
        <x:v>164</x:v>
      </x:c>
      <x:c r="K40" t="n">
        <x:v>65</x:v>
      </x:c>
      <x:c r="L40" t="str">
        <x:v>Engineering Manager</x:v>
      </x:c>
      <x:c r="M40" t="str">
        <x:v>design</x:v>
      </x:c>
      <x:c r="N40"/>
      <x:c r="O40"/>
      <x:c r="P40"/>
      <x:c r="Q40" t="n">
        <x:v>0</x:v>
      </x:c>
      <x:c r="R40" t="str">
        <x:v>Not started</x:v>
      </x:c>
      <x:c r="S40" t="str">
        <x:v>Provisional</x:v>
      </x:c>
      <x:c r="T40" t="str">
        <x:v>Verify measured scope, resources and predecessor logic</x:v>
      </x:c>
    </x:row>
    <x:row r="41">
      <x:c r="A41" t="str">
        <x:v>SCA-SCF-04</x:v>
      </x:c>
      <x:c r="B41" t="str">
        <x:v>SCA-SCF</x:v>
      </x:c>
      <x:c r="C41" t="str">
        <x:v>Strengthening</x:v>
      </x:c>
      <x:c r="D41" t="str">
        <x:v>B</x:v>
      </x:c>
      <x:c r="E41" t="str">
        <x:v>Engineering</x:v>
      </x:c>
      <x:c r="F41" t="str">
        <x:v>Fabrication drawing release</x:v>
      </x:c>
      <x:c r="G41" t="str">
        <x:v>SCA-SCF-03</x:v>
      </x:c>
      <x:c r="H41" t="str">
        <x:v>FS</x:v>
      </x:c>
      <x:c r="I41" t="n">
        <x:v>120</x:v>
      </x:c>
      <x:c r="J41" t="n">
        <x:v>177</x:v>
      </x:c>
      <x:c r="K41" t="n">
        <x:v>58</x:v>
      </x:c>
      <x:c r="L41" t="str">
        <x:v>Engineering Manager</x:v>
      </x:c>
      <x:c r="M41" t="str">
        <x:v>drawing</x:v>
      </x:c>
      <x:c r="N41"/>
      <x:c r="O41"/>
      <x:c r="P41"/>
      <x:c r="Q41" t="n">
        <x:v>0</x:v>
      </x:c>
      <x:c r="R41" t="str">
        <x:v>Not started</x:v>
      </x:c>
      <x:c r="S41" t="str">
        <x:v>Provisional</x:v>
      </x:c>
      <x:c r="T41" t="str">
        <x:v>Verify measured scope, resources and predecessor logic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7" hidden="0" customWidth="1"/>
    <x:col min="4" max="4" width="10" hidden="0" customWidth="1"/>
    <x:col min="5" max="5" width="19" hidden="0" customWidth="1"/>
    <x:col min="6" max="6" width="44" hidden="0" customWidth="1"/>
    <x:col min="7" max="7" width="25" hidden="0" customWidth="1"/>
    <x:col min="8" max="8" width="10" hidden="0" customWidth="1"/>
    <x:col min="9" max="9" width="14" hidden="0" customWidth="1"/>
    <x:col min="10" max="10" width="14" hidden="0" customWidth="1"/>
    <x:col min="11" max="11" width="16" hidden="0" customWidth="1"/>
    <x:col min="12" max="12" width="26" hidden="0" customWidth="1"/>
    <x:col min="13" max="13" width="17" hidden="0" customWidth="1"/>
    <x:col min="14" max="14" width="16" hidden="0" customWidth="1"/>
    <x:col min="15" max="15" width="16" hidden="0" customWidth="1"/>
    <x:col min="16" max="16" width="16" hidden="0" customWidth="1"/>
    <x:col min="17" max="17" width="15" hidden="0" customWidth="1"/>
    <x:col min="18" max="18" width="18" hidden="0" customWidth="1"/>
    <x:col min="19" max="19" width="17" hidden="0" customWidth="1"/>
    <x:col min="20" max="20" width="65" hidden="0" customWidth="1"/>
  </x:cols>
  <x:sheetData>
    <x:row r="1" ht="30" customHeight="1">
      <x:c r="A1" s="4" t="str">
        <x:v>Activity ID</x:v>
      </x:c>
      <x:c r="B1" s="4" t="str">
        <x:v>Bridge ID</x:v>
      </x:c>
      <x:c r="C1" s="4" t="str">
        <x:v>Work Type</x:v>
      </x:c>
      <x:c r="D1" s="4" t="str">
        <x:v>Team</x:v>
      </x:c>
      <x:c r="E1" s="4" t="str">
        <x:v>Discipline</x:v>
      </x:c>
      <x:c r="F1" s="4" t="str">
        <x:v>Activity</x:v>
      </x:c>
      <x:c r="G1" s="4" t="str">
        <x:v>Predecessor ID</x:v>
      </x:c>
      <x:c r="H1" s="4" t="str">
        <x:v>Link</x:v>
      </x:c>
      <x:c r="I1" s="4" t="str">
        <x:v>Start Day</x:v>
      </x:c>
      <x:c r="J1" s="4" t="str">
        <x:v>Finish Day</x:v>
      </x:c>
      <x:c r="K1" s="4" t="str">
        <x:v>Duration Days</x:v>
      </x:c>
      <x:c r="L1" s="4" t="str">
        <x:v>Responsible</x:v>
      </x:c>
      <x:c r="M1" s="4" t="str">
        <x:v>Unit</x:v>
      </x:c>
      <x:c r="N1" s="4" t="str">
        <x:v>Budget Qty</x:v>
      </x:c>
      <x:c r="O1" s="4" t="str">
        <x:v>Actual Qty</x:v>
      </x:c>
      <x:c r="P1" s="4" t="str">
        <x:v>Budget MH</x:v>
      </x:c>
      <x:c r="Q1" s="4" t="str">
        <x:v>Progress %</x:v>
      </x:c>
      <x:c r="R1" s="4" t="str">
        <x:v>Status</x:v>
      </x:c>
      <x:c r="S1" s="4" t="str">
        <x:v>Basis</x:v>
      </x:c>
      <x:c r="T1" s="4" t="str">
        <x:v>Constraints / Notes</x:v>
      </x:c>
    </x:row>
    <x:row r="2">
      <x:c r="A2" t="str">
        <x:v>ICW-ICG-LD-05</x:v>
      </x:c>
      <x:c r="B2" t="str">
        <x:v>ICW-ICG-LD</x:v>
      </x:c>
      <x:c r="C2" t="str">
        <x:v>Installation</x:v>
      </x:c>
      <x:c r="D2" t="str">
        <x:v>C</x:v>
      </x:c>
      <x:c r="E2" t="str">
        <x:v>Procurement</x:v>
      </x:c>
      <x:c r="F2" t="str">
        <x:v>Material requisitions and vendor approval</x:v>
      </x:c>
      <x:c r="G2" t="str"/>
      <x:c r="H2" t="str">
        <x:v>FS</x:v>
      </x:c>
      <x:c r="I2" t="n">
        <x:v>28</x:v>
      </x:c>
      <x:c r="J2" t="n">
        <x:v>55</x:v>
      </x:c>
      <x:c r="K2" t="n">
        <x:v>28</x:v>
      </x:c>
      <x:c r="L2" t="str">
        <x:v>Procurement Manager</x:v>
      </x:c>
      <x:c r="M2" t="str">
        <x:v>MR</x:v>
      </x:c>
      <x:c r="N2"/>
      <x:c r="O2"/>
      <x:c r="P2"/>
      <x:c r="Q2" t="n">
        <x:v>0</x:v>
      </x:c>
      <x:c r="R2" t="str">
        <x:v>Not started</x:v>
      </x:c>
      <x:c r="S2" t="str">
        <x:v>Provisional</x:v>
      </x:c>
      <x:c r="T2" t="str">
        <x:v>Verify measured scope, resources and predecessor logic</x:v>
      </x:c>
    </x:row>
    <x:row r="3">
      <x:c r="A3" t="str">
        <x:v>ICW-ICG-LD-06</x:v>
      </x:c>
      <x:c r="B3" t="str">
        <x:v>ICW-ICG-LD</x:v>
      </x:c>
      <x:c r="C3" t="str">
        <x:v>Installation</x:v>
      </x:c>
      <x:c r="D3" t="str">
        <x:v>C</x:v>
      </x:c>
      <x:c r="E3" t="str">
        <x:v>Procurement</x:v>
      </x:c>
      <x:c r="F3" t="str">
        <x:v>Steel purchasing and delivery</x:v>
      </x:c>
      <x:c r="G3" t="str">
        <x:v>ICW-ICG-LD-05</x:v>
      </x:c>
      <x:c r="H3" t="str">
        <x:v>FS</x:v>
      </x:c>
      <x:c r="I3" t="n">
        <x:v>48</x:v>
      </x:c>
      <x:c r="J3" t="n">
        <x:v>110</x:v>
      </x:c>
      <x:c r="K3" t="n">
        <x:v>63</x:v>
      </x:c>
      <x:c r="L3" t="str">
        <x:v>Procurement Manager</x:v>
      </x:c>
      <x:c r="M3" t="str">
        <x:v>MT</x:v>
      </x:c>
      <x:c r="N3"/>
      <x:c r="O3"/>
      <x:c r="P3"/>
      <x:c r="Q3" t="n">
        <x:v>0</x:v>
      </x:c>
      <x:c r="R3" t="str">
        <x:v>Not started</x:v>
      </x:c>
      <x:c r="S3" t="str">
        <x:v>Provisional</x:v>
      </x:c>
      <x:c r="T3" t="str">
        <x:v>Verify measured scope, resources and predecessor logic</x:v>
      </x:c>
    </x:row>
    <x:row r="4">
      <x:c r="A4" t="str">
        <x:v>ICG-ICP-LD-05</x:v>
      </x:c>
      <x:c r="B4" t="str">
        <x:v>ICG-ICP-LD</x:v>
      </x:c>
      <x:c r="C4" t="str">
        <x:v>Installation</x:v>
      </x:c>
      <x:c r="D4" t="str">
        <x:v>C</x:v>
      </x:c>
      <x:c r="E4" t="str">
        <x:v>Procurement</x:v>
      </x:c>
      <x:c r="F4" t="str">
        <x:v>Material requisitions and vendor approval</x:v>
      </x:c>
      <x:c r="G4" t="str"/>
      <x:c r="H4" t="str">
        <x:v>FS</x:v>
      </x:c>
      <x:c r="I4" t="n">
        <x:v>56</x:v>
      </x:c>
      <x:c r="J4" t="n">
        <x:v>83</x:v>
      </x:c>
      <x:c r="K4" t="n">
        <x:v>28</x:v>
      </x:c>
      <x:c r="L4" t="str">
        <x:v>Procurement Manager</x:v>
      </x:c>
      <x:c r="M4" t="str">
        <x:v>MR</x:v>
      </x:c>
      <x:c r="N4"/>
      <x:c r="O4"/>
      <x:c r="P4"/>
      <x:c r="Q4" t="n">
        <x:v>0</x:v>
      </x:c>
      <x:c r="R4" t="str">
        <x:v>Not started</x:v>
      </x:c>
      <x:c r="S4" t="str">
        <x:v>Provisional</x:v>
      </x:c>
      <x:c r="T4" t="str">
        <x:v>Verify measured scope, resources and predecessor logic</x:v>
      </x:c>
    </x:row>
    <x:row r="5">
      <x:c r="A5" t="str">
        <x:v>ICG-ICP-LD-06</x:v>
      </x:c>
      <x:c r="B5" t="str">
        <x:v>ICG-ICP-LD</x:v>
      </x:c>
      <x:c r="C5" t="str">
        <x:v>Installation</x:v>
      </x:c>
      <x:c r="D5" t="str">
        <x:v>C</x:v>
      </x:c>
      <x:c r="E5" t="str">
        <x:v>Procurement</x:v>
      </x:c>
      <x:c r="F5" t="str">
        <x:v>Steel purchasing and delivery</x:v>
      </x:c>
      <x:c r="G5" t="str">
        <x:v>ICG-ICP-LD-05</x:v>
      </x:c>
      <x:c r="H5" t="str">
        <x:v>FS</x:v>
      </x:c>
      <x:c r="I5" t="n">
        <x:v>76</x:v>
      </x:c>
      <x:c r="J5" t="n">
        <x:v>138</x:v>
      </x:c>
      <x:c r="K5" t="n">
        <x:v>63</x:v>
      </x:c>
      <x:c r="L5" t="str">
        <x:v>Procurement Manager</x:v>
      </x:c>
      <x:c r="M5" t="str">
        <x:v>MT</x:v>
      </x:c>
      <x:c r="N5"/>
      <x:c r="O5"/>
      <x:c r="P5"/>
      <x:c r="Q5" t="n">
        <x:v>0</x:v>
      </x:c>
      <x:c r="R5" t="str">
        <x:v>Not started</x:v>
      </x:c>
      <x:c r="S5" t="str">
        <x:v>Provisional</x:v>
      </x:c>
      <x:c r="T5" t="str">
        <x:v>Verify measured scope, resources and predecessor logic</x:v>
      </x:c>
    </x:row>
    <x:row r="6">
      <x:c r="A6" t="str">
        <x:v>BHS-SLQ-05</x:v>
      </x:c>
      <x:c r="B6" t="str">
        <x:v>BHS-SLQ</x:v>
      </x:c>
      <x:c r="C6" t="str">
        <x:v>Replacement</x:v>
      </x:c>
      <x:c r="D6" t="str">
        <x:v>C</x:v>
      </x:c>
      <x:c r="E6" t="str">
        <x:v>Procurement</x:v>
      </x:c>
      <x:c r="F6" t="str">
        <x:v>Material requisitions and vendor approval</x:v>
      </x:c>
      <x:c r="G6" t="str"/>
      <x:c r="H6" t="str">
        <x:v>FS</x:v>
      </x:c>
      <x:c r="I6" t="n">
        <x:v>88</x:v>
      </x:c>
      <x:c r="J6" t="n">
        <x:v>115</x:v>
      </x:c>
      <x:c r="K6" t="n">
        <x:v>28</x:v>
      </x:c>
      <x:c r="L6" t="str">
        <x:v>Procurement Manager</x:v>
      </x:c>
      <x:c r="M6" t="str">
        <x:v>MR</x:v>
      </x:c>
      <x:c r="N6"/>
      <x:c r="O6"/>
      <x:c r="P6"/>
      <x:c r="Q6" t="n">
        <x:v>0</x:v>
      </x:c>
      <x:c r="R6" t="str">
        <x:v>Not started</x:v>
      </x:c>
      <x:c r="S6" t="str">
        <x:v>Provisional</x:v>
      </x:c>
      <x:c r="T6" t="str">
        <x:v>Verify measured scope, resources and predecessor logic</x:v>
      </x:c>
    </x:row>
    <x:row r="7">
      <x:c r="A7" t="str">
        <x:v>BHS-SLQ-06</x:v>
      </x:c>
      <x:c r="B7" t="str">
        <x:v>BHS-SLQ</x:v>
      </x:c>
      <x:c r="C7" t="str">
        <x:v>Replacement</x:v>
      </x:c>
      <x:c r="D7" t="str">
        <x:v>C</x:v>
      </x:c>
      <x:c r="E7" t="str">
        <x:v>Procurement</x:v>
      </x:c>
      <x:c r="F7" t="str">
        <x:v>Steel purchasing and delivery</x:v>
      </x:c>
      <x:c r="G7" t="str">
        <x:v>BHS-SLQ-05</x:v>
      </x:c>
      <x:c r="H7" t="str">
        <x:v>FS</x:v>
      </x:c>
      <x:c r="I7" t="n">
        <x:v>108</x:v>
      </x:c>
      <x:c r="J7" t="n">
        <x:v>170</x:v>
      </x:c>
      <x:c r="K7" t="n">
        <x:v>63</x:v>
      </x:c>
      <x:c r="L7" t="str">
        <x:v>Procurement Manager</x:v>
      </x:c>
      <x:c r="M7" t="str">
        <x:v>MT</x:v>
      </x:c>
      <x:c r="N7"/>
      <x:c r="O7"/>
      <x:c r="P7"/>
      <x:c r="Q7" t="n">
        <x:v>0</x:v>
      </x:c>
      <x:c r="R7" t="str">
        <x:v>Not started</x:v>
      </x:c>
      <x:c r="S7" t="str">
        <x:v>Provisional</x:v>
      </x:c>
      <x:c r="T7" t="str">
        <x:v>Verify measured scope, resources and predecessor logic</x:v>
      </x:c>
    </x:row>
    <x:row r="8">
      <x:c r="A8" t="str">
        <x:v>ICW-ICG-UD-05</x:v>
      </x:c>
      <x:c r="B8" t="str">
        <x:v>ICW-ICG-UD</x:v>
      </x:c>
      <x:c r="C8" t="str">
        <x:v>Strengthening</x:v>
      </x:c>
      <x:c r="D8" t="str">
        <x:v>A</x:v>
      </x:c>
      <x:c r="E8" t="str">
        <x:v>Procurement</x:v>
      </x:c>
      <x:c r="F8" t="str">
        <x:v>Material requisitions and vendor approval</x:v>
      </x:c>
      <x:c r="G8" t="str"/>
      <x:c r="H8" t="str">
        <x:v>FS</x:v>
      </x:c>
      <x:c r="I8" t="n">
        <x:v>28</x:v>
      </x:c>
      <x:c r="J8" t="n">
        <x:v>55</x:v>
      </x:c>
      <x:c r="K8" t="n">
        <x:v>28</x:v>
      </x:c>
      <x:c r="L8" t="str">
        <x:v>Procurement Manager</x:v>
      </x:c>
      <x:c r="M8" t="str">
        <x:v>MR</x:v>
      </x:c>
      <x:c r="N8"/>
      <x:c r="O8"/>
      <x:c r="P8"/>
      <x:c r="Q8" t="n">
        <x:v>0</x:v>
      </x:c>
      <x:c r="R8" t="str">
        <x:v>Not started</x:v>
      </x:c>
      <x:c r="S8" t="str">
        <x:v>Provisional</x:v>
      </x:c>
      <x:c r="T8" t="str">
        <x:v>Verify measured scope, resources and predecessor logic</x:v>
      </x:c>
    </x:row>
    <x:row r="9">
      <x:c r="A9" t="str">
        <x:v>ICW-ICG-UD-06</x:v>
      </x:c>
      <x:c r="B9" t="str">
        <x:v>ICW-ICG-UD</x:v>
      </x:c>
      <x:c r="C9" t="str">
        <x:v>Strengthening</x:v>
      </x:c>
      <x:c r="D9" t="str">
        <x:v>A</x:v>
      </x:c>
      <x:c r="E9" t="str">
        <x:v>Procurement</x:v>
      </x:c>
      <x:c r="F9" t="str">
        <x:v>Steel purchasing and delivery</x:v>
      </x:c>
      <x:c r="G9" t="str">
        <x:v>ICW-ICG-UD-05</x:v>
      </x:c>
      <x:c r="H9" t="str">
        <x:v>FS</x:v>
      </x:c>
      <x:c r="I9" t="n">
        <x:v>48</x:v>
      </x:c>
      <x:c r="J9" t="n">
        <x:v>110</x:v>
      </x:c>
      <x:c r="K9" t="n">
        <x:v>63</x:v>
      </x:c>
      <x:c r="L9" t="str">
        <x:v>Procurement Manager</x:v>
      </x:c>
      <x:c r="M9" t="str">
        <x:v>MT</x:v>
      </x:c>
      <x:c r="N9"/>
      <x:c r="O9"/>
      <x:c r="P9"/>
      <x:c r="Q9" t="n">
        <x:v>0</x:v>
      </x:c>
      <x:c r="R9" t="str">
        <x:v>Not started</x:v>
      </x:c>
      <x:c r="S9" t="str">
        <x:v>Provisional</x:v>
      </x:c>
      <x:c r="T9" t="str">
        <x:v>Verify measured scope, resources and predecessor logic</x:v>
      </x:c>
    </x:row>
    <x:row r="10">
      <x:c r="A10" t="str">
        <x:v>ICG-ICP-UD-05</x:v>
      </x:c>
      <x:c r="B10" t="str">
        <x:v>ICG-ICP-UD</x:v>
      </x:c>
      <x:c r="C10" t="str">
        <x:v>Strengthening</x:v>
      </x:c>
      <x:c r="D10" t="str">
        <x:v>A</x:v>
      </x:c>
      <x:c r="E10" t="str">
        <x:v>Procurement</x:v>
      </x:c>
      <x:c r="F10" t="str">
        <x:v>Material requisitions and vendor approval</x:v>
      </x:c>
      <x:c r="G10" t="str"/>
      <x:c r="H10" t="str">
        <x:v>FS</x:v>
      </x:c>
      <x:c r="I10" t="n">
        <x:v>40</x:v>
      </x:c>
      <x:c r="J10" t="n">
        <x:v>67</x:v>
      </x:c>
      <x:c r="K10" t="n">
        <x:v>28</x:v>
      </x:c>
      <x:c r="L10" t="str">
        <x:v>Procurement Manager</x:v>
      </x:c>
      <x:c r="M10" t="str">
        <x:v>MR</x:v>
      </x:c>
      <x:c r="N10"/>
      <x:c r="O10"/>
      <x:c r="P10"/>
      <x:c r="Q10" t="n">
        <x:v>0</x:v>
      </x:c>
      <x:c r="R10" t="str">
        <x:v>Not started</x:v>
      </x:c>
      <x:c r="S10" t="str">
        <x:v>Provisional</x:v>
      </x:c>
      <x:c r="T10" t="str">
        <x:v>Verify measured scope, resources and predecessor logic</x:v>
      </x:c>
    </x:row>
    <x:row r="11">
      <x:c r="A11" t="str">
        <x:v>ICG-ICP-UD-06</x:v>
      </x:c>
      <x:c r="B11" t="str">
        <x:v>ICG-ICP-UD</x:v>
      </x:c>
      <x:c r="C11" t="str">
        <x:v>Strengthening</x:v>
      </x:c>
      <x:c r="D11" t="str">
        <x:v>A</x:v>
      </x:c>
      <x:c r="E11" t="str">
        <x:v>Procurement</x:v>
      </x:c>
      <x:c r="F11" t="str">
        <x:v>Steel purchasing and delivery</x:v>
      </x:c>
      <x:c r="G11" t="str">
        <x:v>ICG-ICP-UD-05</x:v>
      </x:c>
      <x:c r="H11" t="str">
        <x:v>FS</x:v>
      </x:c>
      <x:c r="I11" t="n">
        <x:v>60</x:v>
      </x:c>
      <x:c r="J11" t="n">
        <x:v>122</x:v>
      </x:c>
      <x:c r="K11" t="n">
        <x:v>63</x:v>
      </x:c>
      <x:c r="L11" t="str">
        <x:v>Procurement Manager</x:v>
      </x:c>
      <x:c r="M11" t="str">
        <x:v>MT</x:v>
      </x:c>
      <x:c r="N11"/>
      <x:c r="O11"/>
      <x:c r="P11"/>
      <x:c r="Q11" t="n">
        <x:v>0</x:v>
      </x:c>
      <x:c r="R11" t="str">
        <x:v>Not started</x:v>
      </x:c>
      <x:c r="S11" t="str">
        <x:v>Provisional</x:v>
      </x:c>
      <x:c r="T11" t="str">
        <x:v>Verify measured scope, resources and predecessor logic</x:v>
      </x:c>
    </x:row>
    <x:row r="12">
      <x:c r="A12" t="str">
        <x:v>SLQ-WIS-05</x:v>
      </x:c>
      <x:c r="B12" t="str">
        <x:v>SLQ-WIS</x:v>
      </x:c>
      <x:c r="C12" t="str">
        <x:v>Strengthening</x:v>
      </x:c>
      <x:c r="D12" t="str">
        <x:v>A</x:v>
      </x:c>
      <x:c r="E12" t="str">
        <x:v>Procurement</x:v>
      </x:c>
      <x:c r="F12" t="str">
        <x:v>Material requisitions and vendor approval</x:v>
      </x:c>
      <x:c r="G12" t="str"/>
      <x:c r="H12" t="str">
        <x:v>FS</x:v>
      </x:c>
      <x:c r="I12" t="n">
        <x:v>52</x:v>
      </x:c>
      <x:c r="J12" t="n">
        <x:v>79</x:v>
      </x:c>
      <x:c r="K12" t="n">
        <x:v>28</x:v>
      </x:c>
      <x:c r="L12" t="str">
        <x:v>Procurement Manager</x:v>
      </x:c>
      <x:c r="M12" t="str">
        <x:v>MR</x:v>
      </x:c>
      <x:c r="N12"/>
      <x:c r="O12"/>
      <x:c r="P12"/>
      <x:c r="Q12" t="n">
        <x:v>0</x:v>
      </x:c>
      <x:c r="R12" t="str">
        <x:v>Not started</x:v>
      </x:c>
      <x:c r="S12" t="str">
        <x:v>Provisional</x:v>
      </x:c>
      <x:c r="T12" t="str">
        <x:v>Verify measured scope, resources and predecessor logic</x:v>
      </x:c>
    </x:row>
    <x:row r="13">
      <x:c r="A13" t="str">
        <x:v>SLQ-WIS-06</x:v>
      </x:c>
      <x:c r="B13" t="str">
        <x:v>SLQ-WIS</x:v>
      </x:c>
      <x:c r="C13" t="str">
        <x:v>Strengthening</x:v>
      </x:c>
      <x:c r="D13" t="str">
        <x:v>A</x:v>
      </x:c>
      <x:c r="E13" t="str">
        <x:v>Procurement</x:v>
      </x:c>
      <x:c r="F13" t="str">
        <x:v>Steel purchasing and delivery</x:v>
      </x:c>
      <x:c r="G13" t="str">
        <x:v>SLQ-WIS-05</x:v>
      </x:c>
      <x:c r="H13" t="str">
        <x:v>FS</x:v>
      </x:c>
      <x:c r="I13" t="n">
        <x:v>72</x:v>
      </x:c>
      <x:c r="J13" t="n">
        <x:v>134</x:v>
      </x:c>
      <x:c r="K13" t="n">
        <x:v>63</x:v>
      </x:c>
      <x:c r="L13" t="str">
        <x:v>Procurement Manager</x:v>
      </x:c>
      <x:c r="M13" t="str">
        <x:v>MT</x:v>
      </x:c>
      <x:c r="N13"/>
      <x:c r="O13"/>
      <x:c r="P13"/>
      <x:c r="Q13" t="n">
        <x:v>0</x:v>
      </x:c>
      <x:c r="R13" t="str">
        <x:v>Not started</x:v>
      </x:c>
      <x:c r="S13" t="str">
        <x:v>Provisional</x:v>
      </x:c>
      <x:c r="T13" t="str">
        <x:v>Verify measured scope, resources and predecessor logic</x:v>
      </x:c>
    </x:row>
    <x:row r="14">
      <x:c r="A14" t="str">
        <x:v>NQO-NQD-05</x:v>
      </x:c>
      <x:c r="B14" t="str">
        <x:v>NQO-NQD</x:v>
      </x:c>
      <x:c r="C14" t="str">
        <x:v>Strengthening</x:v>
      </x:c>
      <x:c r="D14" t="str">
        <x:v>B</x:v>
      </x:c>
      <x:c r="E14" t="str">
        <x:v>Procurement</x:v>
      </x:c>
      <x:c r="F14" t="str">
        <x:v>Material requisitions and vendor approval</x:v>
      </x:c>
      <x:c r="G14" t="str"/>
      <x:c r="H14" t="str">
        <x:v>FS</x:v>
      </x:c>
      <x:c r="I14" t="n">
        <x:v>64</x:v>
      </x:c>
      <x:c r="J14" t="n">
        <x:v>91</x:v>
      </x:c>
      <x:c r="K14" t="n">
        <x:v>28</x:v>
      </x:c>
      <x:c r="L14" t="str">
        <x:v>Procurement Manager</x:v>
      </x:c>
      <x:c r="M14" t="str">
        <x:v>MR</x:v>
      </x:c>
      <x:c r="N14"/>
      <x:c r="O14"/>
      <x:c r="P14"/>
      <x:c r="Q14" t="n">
        <x:v>0</x:v>
      </x:c>
      <x:c r="R14" t="str">
        <x:v>Not started</x:v>
      </x:c>
      <x:c r="S14" t="str">
        <x:v>Provisional</x:v>
      </x:c>
      <x:c r="T14" t="str">
        <x:v>Verify measured scope, resources and predecessor logic</x:v>
      </x:c>
    </x:row>
    <x:row r="15">
      <x:c r="A15" t="str">
        <x:v>NQO-NQD-06</x:v>
      </x:c>
      <x:c r="B15" t="str">
        <x:v>NQO-NQD</x:v>
      </x:c>
      <x:c r="C15" t="str">
        <x:v>Strengthening</x:v>
      </x:c>
      <x:c r="D15" t="str">
        <x:v>B</x:v>
      </x:c>
      <x:c r="E15" t="str">
        <x:v>Procurement</x:v>
      </x:c>
      <x:c r="F15" t="str">
        <x:v>Steel purchasing and delivery</x:v>
      </x:c>
      <x:c r="G15" t="str">
        <x:v>NQO-NQD-05</x:v>
      </x:c>
      <x:c r="H15" t="str">
        <x:v>FS</x:v>
      </x:c>
      <x:c r="I15" t="n">
        <x:v>84</x:v>
      </x:c>
      <x:c r="J15" t="n">
        <x:v>146</x:v>
      </x:c>
      <x:c r="K15" t="n">
        <x:v>63</x:v>
      </x:c>
      <x:c r="L15" t="str">
        <x:v>Procurement Manager</x:v>
      </x:c>
      <x:c r="M15" t="str">
        <x:v>MT</x:v>
      </x:c>
      <x:c r="N15"/>
      <x:c r="O15"/>
      <x:c r="P15"/>
      <x:c r="Q15" t="n">
        <x:v>0</x:v>
      </x:c>
      <x:c r="R15" t="str">
        <x:v>Not started</x:v>
      </x:c>
      <x:c r="S15" t="str">
        <x:v>Provisional</x:v>
      </x:c>
      <x:c r="T15" t="str">
        <x:v>Verify measured scope, resources and predecessor logic</x:v>
      </x:c>
    </x:row>
    <x:row r="16">
      <x:c r="A16" t="str">
        <x:v>WIN-NC-05</x:v>
      </x:c>
      <x:c r="B16" t="str">
        <x:v>WIN-NC</x:v>
      </x:c>
      <x:c r="C16" t="str">
        <x:v>Strengthening</x:v>
      </x:c>
      <x:c r="D16" t="str">
        <x:v>B</x:v>
      </x:c>
      <x:c r="E16" t="str">
        <x:v>Procurement</x:v>
      </x:c>
      <x:c r="F16" t="str">
        <x:v>Material requisitions and vendor approval</x:v>
      </x:c>
      <x:c r="G16" t="str"/>
      <x:c r="H16" t="str">
        <x:v>FS</x:v>
      </x:c>
      <x:c r="I16" t="n">
        <x:v>76</x:v>
      </x:c>
      <x:c r="J16" t="n">
        <x:v>103</x:v>
      </x:c>
      <x:c r="K16" t="n">
        <x:v>28</x:v>
      </x:c>
      <x:c r="L16" t="str">
        <x:v>Procurement Manager</x:v>
      </x:c>
      <x:c r="M16" t="str">
        <x:v>MR</x:v>
      </x:c>
      <x:c r="N16"/>
      <x:c r="O16"/>
      <x:c r="P16"/>
      <x:c r="Q16" t="n">
        <x:v>0</x:v>
      </x:c>
      <x:c r="R16" t="str">
        <x:v>Not started</x:v>
      </x:c>
      <x:c r="S16" t="str">
        <x:v>Provisional</x:v>
      </x:c>
      <x:c r="T16" t="str">
        <x:v>Verify measured scope, resources and predecessor logic</x:v>
      </x:c>
    </x:row>
    <x:row r="17">
      <x:c r="A17" t="str">
        <x:v>WIN-NC-06</x:v>
      </x:c>
      <x:c r="B17" t="str">
        <x:v>WIN-NC</x:v>
      </x:c>
      <x:c r="C17" t="str">
        <x:v>Strengthening</x:v>
      </x:c>
      <x:c r="D17" t="str">
        <x:v>B</x:v>
      </x:c>
      <x:c r="E17" t="str">
        <x:v>Procurement</x:v>
      </x:c>
      <x:c r="F17" t="str">
        <x:v>Steel purchasing and delivery</x:v>
      </x:c>
      <x:c r="G17" t="str">
        <x:v>WIN-NC-05</x:v>
      </x:c>
      <x:c r="H17" t="str">
        <x:v>FS</x:v>
      </x:c>
      <x:c r="I17" t="n">
        <x:v>96</x:v>
      </x:c>
      <x:c r="J17" t="n">
        <x:v>158</x:v>
      </x:c>
      <x:c r="K17" t="n">
        <x:v>63</x:v>
      </x:c>
      <x:c r="L17" t="str">
        <x:v>Procurement Manager</x:v>
      </x:c>
      <x:c r="M17" t="str">
        <x:v>MT</x:v>
      </x:c>
      <x:c r="N17"/>
      <x:c r="O17"/>
      <x:c r="P17"/>
      <x:c r="Q17" t="n">
        <x:v>0</x:v>
      </x:c>
      <x:c r="R17" t="str">
        <x:v>Not started</x:v>
      </x:c>
      <x:c r="S17" t="str">
        <x:v>Provisional</x:v>
      </x:c>
      <x:c r="T17" t="str">
        <x:v>Verify measured scope, resources and predecessor logic</x:v>
      </x:c>
    </x:row>
    <x:row r="18">
      <x:c r="A18" t="str">
        <x:v>SCA-SC1-05</x:v>
      </x:c>
      <x:c r="B18" t="str">
        <x:v>SCA-SC1</x:v>
      </x:c>
      <x:c r="C18" t="str">
        <x:v>Strengthening</x:v>
      </x:c>
      <x:c r="D18" t="str">
        <x:v>B</x:v>
      </x:c>
      <x:c r="E18" t="str">
        <x:v>Procurement</x:v>
      </x:c>
      <x:c r="F18" t="str">
        <x:v>Material requisitions and vendor approval</x:v>
      </x:c>
      <x:c r="G18" t="str"/>
      <x:c r="H18" t="str">
        <x:v>FS</x:v>
      </x:c>
      <x:c r="I18" t="n">
        <x:v>88</x:v>
      </x:c>
      <x:c r="J18" t="n">
        <x:v>115</x:v>
      </x:c>
      <x:c r="K18" t="n">
        <x:v>28</x:v>
      </x:c>
      <x:c r="L18" t="str">
        <x:v>Procurement Manager</x:v>
      </x:c>
      <x:c r="M18" t="str">
        <x:v>MR</x:v>
      </x:c>
      <x:c r="N18"/>
      <x:c r="O18"/>
      <x:c r="P18"/>
      <x:c r="Q18" t="n">
        <x:v>0</x:v>
      </x:c>
      <x:c r="R18" t="str">
        <x:v>Not started</x:v>
      </x:c>
      <x:c r="S18" t="str">
        <x:v>Provisional</x:v>
      </x:c>
      <x:c r="T18" t="str">
        <x:v>Verify measured scope, resources and predecessor logic</x:v>
      </x:c>
    </x:row>
    <x:row r="19">
      <x:c r="A19" t="str">
        <x:v>SCA-SC1-06</x:v>
      </x:c>
      <x:c r="B19" t="str">
        <x:v>SCA-SC1</x:v>
      </x:c>
      <x:c r="C19" t="str">
        <x:v>Strengthening</x:v>
      </x:c>
      <x:c r="D19" t="str">
        <x:v>B</x:v>
      </x:c>
      <x:c r="E19" t="str">
        <x:v>Procurement</x:v>
      </x:c>
      <x:c r="F19" t="str">
        <x:v>Steel purchasing and delivery</x:v>
      </x:c>
      <x:c r="G19" t="str">
        <x:v>SCA-SC1-05</x:v>
      </x:c>
      <x:c r="H19" t="str">
        <x:v>FS</x:v>
      </x:c>
      <x:c r="I19" t="n">
        <x:v>108</x:v>
      </x:c>
      <x:c r="J19" t="n">
        <x:v>170</x:v>
      </x:c>
      <x:c r="K19" t="n">
        <x:v>63</x:v>
      </x:c>
      <x:c r="L19" t="str">
        <x:v>Procurement Manager</x:v>
      </x:c>
      <x:c r="M19" t="str">
        <x:v>MT</x:v>
      </x:c>
      <x:c r="N19"/>
      <x:c r="O19"/>
      <x:c r="P19"/>
      <x:c r="Q19" t="n">
        <x:v>0</x:v>
      </x:c>
      <x:c r="R19" t="str">
        <x:v>Not started</x:v>
      </x:c>
      <x:c r="S19" t="str">
        <x:v>Provisional</x:v>
      </x:c>
      <x:c r="T19" t="str">
        <x:v>Verify measured scope, resources and predecessor logic</x:v>
      </x:c>
    </x:row>
    <x:row r="20">
      <x:c r="A20" t="str">
        <x:v>SCA-SCF-05</x:v>
      </x:c>
      <x:c r="B20" t="str">
        <x:v>SCA-SCF</x:v>
      </x:c>
      <x:c r="C20" t="str">
        <x:v>Strengthening</x:v>
      </x:c>
      <x:c r="D20" t="str">
        <x:v>B</x:v>
      </x:c>
      <x:c r="E20" t="str">
        <x:v>Procurement</x:v>
      </x:c>
      <x:c r="F20" t="str">
        <x:v>Material requisitions and vendor approval</x:v>
      </x:c>
      <x:c r="G20" t="str"/>
      <x:c r="H20" t="str">
        <x:v>FS</x:v>
      </x:c>
      <x:c r="I20" t="n">
        <x:v>100</x:v>
      </x:c>
      <x:c r="J20" t="n">
        <x:v>127</x:v>
      </x:c>
      <x:c r="K20" t="n">
        <x:v>28</x:v>
      </x:c>
      <x:c r="L20" t="str">
        <x:v>Procurement Manager</x:v>
      </x:c>
      <x:c r="M20" t="str">
        <x:v>MR</x:v>
      </x:c>
      <x:c r="N20"/>
      <x:c r="O20"/>
      <x:c r="P20"/>
      <x:c r="Q20" t="n">
        <x:v>0</x:v>
      </x:c>
      <x:c r="R20" t="str">
        <x:v>Not started</x:v>
      </x:c>
      <x:c r="S20" t="str">
        <x:v>Provisional</x:v>
      </x:c>
      <x:c r="T20" t="str">
        <x:v>Verify measured scope, resources and predecessor logic</x:v>
      </x:c>
    </x:row>
    <x:row r="21">
      <x:c r="A21" t="str">
        <x:v>SCA-SCF-06</x:v>
      </x:c>
      <x:c r="B21" t="str">
        <x:v>SCA-SCF</x:v>
      </x:c>
      <x:c r="C21" t="str">
        <x:v>Strengthening</x:v>
      </x:c>
      <x:c r="D21" t="str">
        <x:v>B</x:v>
      </x:c>
      <x:c r="E21" t="str">
        <x:v>Procurement</x:v>
      </x:c>
      <x:c r="F21" t="str">
        <x:v>Steel purchasing and delivery</x:v>
      </x:c>
      <x:c r="G21" t="str">
        <x:v>SCA-SCF-05</x:v>
      </x:c>
      <x:c r="H21" t="str">
        <x:v>FS</x:v>
      </x:c>
      <x:c r="I21" t="n">
        <x:v>120</x:v>
      </x:c>
      <x:c r="J21" t="n">
        <x:v>182</x:v>
      </x:c>
      <x:c r="K21" t="n">
        <x:v>63</x:v>
      </x:c>
      <x:c r="L21" t="str">
        <x:v>Procurement Manager</x:v>
      </x:c>
      <x:c r="M21" t="str">
        <x:v>MT</x:v>
      </x:c>
      <x:c r="N21"/>
      <x:c r="O21"/>
      <x:c r="P21"/>
      <x:c r="Q21" t="n">
        <x:v>0</x:v>
      </x:c>
      <x:c r="R21" t="str">
        <x:v>Not started</x:v>
      </x:c>
      <x:c r="S21" t="str">
        <x:v>Provisional</x:v>
      </x:c>
      <x:c r="T21" t="str">
        <x:v>Verify measured scope, resources and predecessor logic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7" hidden="0" customWidth="1"/>
    <x:col min="4" max="4" width="10" hidden="0" customWidth="1"/>
    <x:col min="5" max="5" width="19" hidden="0" customWidth="1"/>
    <x:col min="6" max="6" width="44" hidden="0" customWidth="1"/>
    <x:col min="7" max="7" width="25" hidden="0" customWidth="1"/>
    <x:col min="8" max="8" width="10" hidden="0" customWidth="1"/>
    <x:col min="9" max="9" width="14" hidden="0" customWidth="1"/>
    <x:col min="10" max="10" width="14" hidden="0" customWidth="1"/>
    <x:col min="11" max="11" width="16" hidden="0" customWidth="1"/>
    <x:col min="12" max="12" width="26" hidden="0" customWidth="1"/>
    <x:col min="13" max="13" width="17" hidden="0" customWidth="1"/>
    <x:col min="14" max="14" width="16" hidden="0" customWidth="1"/>
    <x:col min="15" max="15" width="16" hidden="0" customWidth="1"/>
    <x:col min="16" max="16" width="16" hidden="0" customWidth="1"/>
    <x:col min="17" max="17" width="15" hidden="0" customWidth="1"/>
    <x:col min="18" max="18" width="18" hidden="0" customWidth="1"/>
    <x:col min="19" max="19" width="17" hidden="0" customWidth="1"/>
    <x:col min="20" max="20" width="65" hidden="0" customWidth="1"/>
  </x:cols>
  <x:sheetData>
    <x:row r="1" ht="30" customHeight="1">
      <x:c r="A1" s="4" t="str">
        <x:v>Activity ID</x:v>
      </x:c>
      <x:c r="B1" s="4" t="str">
        <x:v>Bridge ID</x:v>
      </x:c>
      <x:c r="C1" s="4" t="str">
        <x:v>Work Type</x:v>
      </x:c>
      <x:c r="D1" s="4" t="str">
        <x:v>Team</x:v>
      </x:c>
      <x:c r="E1" s="4" t="str">
        <x:v>Discipline</x:v>
      </x:c>
      <x:c r="F1" s="4" t="str">
        <x:v>Activity</x:v>
      </x:c>
      <x:c r="G1" s="4" t="str">
        <x:v>Predecessor ID</x:v>
      </x:c>
      <x:c r="H1" s="4" t="str">
        <x:v>Link</x:v>
      </x:c>
      <x:c r="I1" s="4" t="str">
        <x:v>Start Day</x:v>
      </x:c>
      <x:c r="J1" s="4" t="str">
        <x:v>Finish Day</x:v>
      </x:c>
      <x:c r="K1" s="4" t="str">
        <x:v>Duration Days</x:v>
      </x:c>
      <x:c r="L1" s="4" t="str">
        <x:v>Responsible</x:v>
      </x:c>
      <x:c r="M1" s="4" t="str">
        <x:v>Unit</x:v>
      </x:c>
      <x:c r="N1" s="4" t="str">
        <x:v>Budget Qty</x:v>
      </x:c>
      <x:c r="O1" s="4" t="str">
        <x:v>Actual Qty</x:v>
      </x:c>
      <x:c r="P1" s="4" t="str">
        <x:v>Budget MH</x:v>
      </x:c>
      <x:c r="Q1" s="4" t="str">
        <x:v>Progress %</x:v>
      </x:c>
      <x:c r="R1" s="4" t="str">
        <x:v>Status</x:v>
      </x:c>
      <x:c r="S1" s="4" t="str">
        <x:v>Basis</x:v>
      </x:c>
      <x:c r="T1" s="4" t="str">
        <x:v>Constraints / Notes</x:v>
      </x:c>
    </x:row>
    <x:row r="2">
      <x:c r="A2" t="str">
        <x:v>ICW-ICG-LD-07</x:v>
      </x:c>
      <x:c r="B2" t="str">
        <x:v>ICW-ICG-LD</x:v>
      </x:c>
      <x:c r="C2" t="str">
        <x:v>Installation</x:v>
      </x:c>
      <x:c r="D2" t="str">
        <x:v>C</x:v>
      </x:c>
      <x:c r="E2" t="str">
        <x:v>Fabrication</x:v>
      </x:c>
      <x:c r="F2" t="str">
        <x:v>Cutting and material preparation</x:v>
      </x:c>
      <x:c r="G2" t="str"/>
      <x:c r="H2" t="str">
        <x:v>FS</x:v>
      </x:c>
      <x:c r="I2" t="n">
        <x:v>75</x:v>
      </x:c>
      <x:c r="J2" t="n">
        <x:v>105</x:v>
      </x:c>
      <x:c r="K2" t="n">
        <x:v>31</x:v>
      </x:c>
      <x:c r="L2" t="str">
        <x:v>Fabrication Manager</x:v>
      </x:c>
      <x:c r="M2" t="str">
        <x:v>pieces</x:v>
      </x:c>
      <x:c r="N2"/>
      <x:c r="O2"/>
      <x:c r="P2"/>
      <x:c r="Q2" t="n">
        <x:v>0</x:v>
      </x:c>
      <x:c r="R2" t="str">
        <x:v>Not started</x:v>
      </x:c>
      <x:c r="S2" t="str">
        <x:v>Provisional</x:v>
      </x:c>
      <x:c r="T2" t="str">
        <x:v>Verify measured scope, resources and predecessor logic</x:v>
      </x:c>
    </x:row>
    <x:row r="3">
      <x:c r="A3" t="str">
        <x:v>ICW-ICG-LD-08</x:v>
      </x:c>
      <x:c r="B3" t="str">
        <x:v>ICW-ICG-LD</x:v>
      </x:c>
      <x:c r="C3" t="str">
        <x:v>Installation</x:v>
      </x:c>
      <x:c r="D3" t="str">
        <x:v>C</x:v>
      </x:c>
      <x:c r="E3" t="str">
        <x:v>Fabrication</x:v>
      </x:c>
      <x:c r="F3" t="str">
        <x:v>Assembly and fit-up</x:v>
      </x:c>
      <x:c r="G3" t="str">
        <x:v>ICW-ICG-LD-07</x:v>
      </x:c>
      <x:c r="H3" t="str">
        <x:v>FS</x:v>
      </x:c>
      <x:c r="I3" t="n">
        <x:v>90</x:v>
      </x:c>
      <x:c r="J3" t="n">
        <x:v>135</x:v>
      </x:c>
      <x:c r="K3" t="n">
        <x:v>46</x:v>
      </x:c>
      <x:c r="L3" t="str">
        <x:v>Fabrication Manager</x:v>
      </x:c>
      <x:c r="M3" t="str">
        <x:v>assemblies</x:v>
      </x:c>
      <x:c r="N3"/>
      <x:c r="O3"/>
      <x:c r="P3"/>
      <x:c r="Q3" t="n">
        <x:v>0</x:v>
      </x:c>
      <x:c r="R3" t="str">
        <x:v>Not started</x:v>
      </x:c>
      <x:c r="S3" t="str">
        <x:v>Provisional</x:v>
      </x:c>
      <x:c r="T3" t="str">
        <x:v>Verify measured scope, resources and predecessor logic</x:v>
      </x:c>
    </x:row>
    <x:row r="4">
      <x:c r="A4" t="str">
        <x:v>ICW-ICG-LD-09</x:v>
      </x:c>
      <x:c r="B4" t="str">
        <x:v>ICW-ICG-LD</x:v>
      </x:c>
      <x:c r="C4" t="str">
        <x:v>Installation</x:v>
      </x:c>
      <x:c r="D4" t="str">
        <x:v>C</x:v>
      </x:c>
      <x:c r="E4" t="str">
        <x:v>Fabrication</x:v>
      </x:c>
      <x:c r="F4" t="str">
        <x:v>Shop welding</x:v>
      </x:c>
      <x:c r="G4" t="str">
        <x:v>ICW-ICG-LD-08</x:v>
      </x:c>
      <x:c r="H4" t="str">
        <x:v>FS</x:v>
      </x:c>
      <x:c r="I4" t="n">
        <x:v>103</x:v>
      </x:c>
      <x:c r="J4" t="n">
        <x:v>148</x:v>
      </x:c>
      <x:c r="K4" t="n">
        <x:v>46</x:v>
      </x:c>
      <x:c r="L4" t="str">
        <x:v>Fabrication Manager</x:v>
      </x:c>
      <x:c r="M4" t="str">
        <x:v>weld-m</x:v>
      </x:c>
      <x:c r="N4"/>
      <x:c r="O4"/>
      <x:c r="P4"/>
      <x:c r="Q4" t="n">
        <x:v>0</x:v>
      </x:c>
      <x:c r="R4" t="str">
        <x:v>Not started</x:v>
      </x:c>
      <x:c r="S4" t="str">
        <x:v>Provisional</x:v>
      </x:c>
      <x:c r="T4" t="str">
        <x:v>Verify measured scope, resources and predecessor logic</x:v>
      </x:c>
    </x:row>
    <x:row r="5">
      <x:c r="A5" t="str">
        <x:v>ICG-ICP-LD-07</x:v>
      </x:c>
      <x:c r="B5" t="str">
        <x:v>ICG-ICP-LD</x:v>
      </x:c>
      <x:c r="C5" t="str">
        <x:v>Installation</x:v>
      </x:c>
      <x:c r="D5" t="str">
        <x:v>C</x:v>
      </x:c>
      <x:c r="E5" t="str">
        <x:v>Fabrication</x:v>
      </x:c>
      <x:c r="F5" t="str">
        <x:v>Cutting and material preparation</x:v>
      </x:c>
      <x:c r="G5" t="str"/>
      <x:c r="H5" t="str">
        <x:v>FS</x:v>
      </x:c>
      <x:c r="I5" t="n">
        <x:v>103</x:v>
      </x:c>
      <x:c r="J5" t="n">
        <x:v>133</x:v>
      </x:c>
      <x:c r="K5" t="n">
        <x:v>31</x:v>
      </x:c>
      <x:c r="L5" t="str">
        <x:v>Fabrication Manager</x:v>
      </x:c>
      <x:c r="M5" t="str">
        <x:v>pieces</x:v>
      </x:c>
      <x:c r="N5"/>
      <x:c r="O5"/>
      <x:c r="P5"/>
      <x:c r="Q5" t="n">
        <x:v>0</x:v>
      </x:c>
      <x:c r="R5" t="str">
        <x:v>Not started</x:v>
      </x:c>
      <x:c r="S5" t="str">
        <x:v>Provisional</x:v>
      </x:c>
      <x:c r="T5" t="str">
        <x:v>Verify measured scope, resources and predecessor logic</x:v>
      </x:c>
    </x:row>
    <x:row r="6">
      <x:c r="A6" t="str">
        <x:v>ICG-ICP-LD-08</x:v>
      </x:c>
      <x:c r="B6" t="str">
        <x:v>ICG-ICP-LD</x:v>
      </x:c>
      <x:c r="C6" t="str">
        <x:v>Installation</x:v>
      </x:c>
      <x:c r="D6" t="str">
        <x:v>C</x:v>
      </x:c>
      <x:c r="E6" t="str">
        <x:v>Fabrication</x:v>
      </x:c>
      <x:c r="F6" t="str">
        <x:v>Assembly and fit-up</x:v>
      </x:c>
      <x:c r="G6" t="str">
        <x:v>ICG-ICP-LD-07</x:v>
      </x:c>
      <x:c r="H6" t="str">
        <x:v>FS</x:v>
      </x:c>
      <x:c r="I6" t="n">
        <x:v>118</x:v>
      </x:c>
      <x:c r="J6" t="n">
        <x:v>163</x:v>
      </x:c>
      <x:c r="K6" t="n">
        <x:v>46</x:v>
      </x:c>
      <x:c r="L6" t="str">
        <x:v>Fabrication Manager</x:v>
      </x:c>
      <x:c r="M6" t="str">
        <x:v>assemblies</x:v>
      </x:c>
      <x:c r="N6"/>
      <x:c r="O6"/>
      <x:c r="P6"/>
      <x:c r="Q6" t="n">
        <x:v>0</x:v>
      </x:c>
      <x:c r="R6" t="str">
        <x:v>Not started</x:v>
      </x:c>
      <x:c r="S6" t="str">
        <x:v>Provisional</x:v>
      </x:c>
      <x:c r="T6" t="str">
        <x:v>Verify measured scope, resources and predecessor logic</x:v>
      </x:c>
    </x:row>
    <x:row r="7">
      <x:c r="A7" t="str">
        <x:v>ICG-ICP-LD-09</x:v>
      </x:c>
      <x:c r="B7" t="str">
        <x:v>ICG-ICP-LD</x:v>
      </x:c>
      <x:c r="C7" t="str">
        <x:v>Installation</x:v>
      </x:c>
      <x:c r="D7" t="str">
        <x:v>C</x:v>
      </x:c>
      <x:c r="E7" t="str">
        <x:v>Fabrication</x:v>
      </x:c>
      <x:c r="F7" t="str">
        <x:v>Shop welding</x:v>
      </x:c>
      <x:c r="G7" t="str">
        <x:v>ICG-ICP-LD-08</x:v>
      </x:c>
      <x:c r="H7" t="str">
        <x:v>FS</x:v>
      </x:c>
      <x:c r="I7" t="n">
        <x:v>131</x:v>
      </x:c>
      <x:c r="J7" t="n">
        <x:v>176</x:v>
      </x:c>
      <x:c r="K7" t="n">
        <x:v>46</x:v>
      </x:c>
      <x:c r="L7" t="str">
        <x:v>Fabrication Manager</x:v>
      </x:c>
      <x:c r="M7" t="str">
        <x:v>weld-m</x:v>
      </x:c>
      <x:c r="N7"/>
      <x:c r="O7"/>
      <x:c r="P7"/>
      <x:c r="Q7" t="n">
        <x:v>0</x:v>
      </x:c>
      <x:c r="R7" t="str">
        <x:v>Not started</x:v>
      </x:c>
      <x:c r="S7" t="str">
        <x:v>Provisional</x:v>
      </x:c>
      <x:c r="T7" t="str">
        <x:v>Verify measured scope, resources and predecessor logic</x:v>
      </x:c>
    </x:row>
    <x:row r="8">
      <x:c r="A8" t="str">
        <x:v>BHS-SLQ-07</x:v>
      </x:c>
      <x:c r="B8" t="str">
        <x:v>BHS-SLQ</x:v>
      </x:c>
      <x:c r="C8" t="str">
        <x:v>Replacement</x:v>
      </x:c>
      <x:c r="D8" t="str">
        <x:v>C</x:v>
      </x:c>
      <x:c r="E8" t="str">
        <x:v>Fabrication</x:v>
      </x:c>
      <x:c r="F8" t="str">
        <x:v>Cutting and material preparation</x:v>
      </x:c>
      <x:c r="G8" t="str"/>
      <x:c r="H8" t="str">
        <x:v>FS</x:v>
      </x:c>
      <x:c r="I8" t="n">
        <x:v>135</x:v>
      </x:c>
      <x:c r="J8" t="n">
        <x:v>165</x:v>
      </x:c>
      <x:c r="K8" t="n">
        <x:v>31</x:v>
      </x:c>
      <x:c r="L8" t="str">
        <x:v>Fabrication Manager</x:v>
      </x:c>
      <x:c r="M8" t="str">
        <x:v>pieces</x:v>
      </x:c>
      <x:c r="N8"/>
      <x:c r="O8"/>
      <x:c r="P8"/>
      <x:c r="Q8" t="n">
        <x:v>0</x:v>
      </x:c>
      <x:c r="R8" t="str">
        <x:v>Not started</x:v>
      </x:c>
      <x:c r="S8" t="str">
        <x:v>Provisional</x:v>
      </x:c>
      <x:c r="T8" t="str">
        <x:v>Verify measured scope, resources and predecessor logic</x:v>
      </x:c>
    </x:row>
    <x:row r="9">
      <x:c r="A9" t="str">
        <x:v>BHS-SLQ-08</x:v>
      </x:c>
      <x:c r="B9" t="str">
        <x:v>BHS-SLQ</x:v>
      </x:c>
      <x:c r="C9" t="str">
        <x:v>Replacement</x:v>
      </x:c>
      <x:c r="D9" t="str">
        <x:v>C</x:v>
      </x:c>
      <x:c r="E9" t="str">
        <x:v>Fabrication</x:v>
      </x:c>
      <x:c r="F9" t="str">
        <x:v>Assembly and fit-up</x:v>
      </x:c>
      <x:c r="G9" t="str">
        <x:v>BHS-SLQ-07</x:v>
      </x:c>
      <x:c r="H9" t="str">
        <x:v>FS</x:v>
      </x:c>
      <x:c r="I9" t="n">
        <x:v>150</x:v>
      </x:c>
      <x:c r="J9" t="n">
        <x:v>195</x:v>
      </x:c>
      <x:c r="K9" t="n">
        <x:v>46</x:v>
      </x:c>
      <x:c r="L9" t="str">
        <x:v>Fabrication Manager</x:v>
      </x:c>
      <x:c r="M9" t="str">
        <x:v>assemblies</x:v>
      </x:c>
      <x:c r="N9"/>
      <x:c r="O9"/>
      <x:c r="P9"/>
      <x:c r="Q9" t="n">
        <x:v>0</x:v>
      </x:c>
      <x:c r="R9" t="str">
        <x:v>Not started</x:v>
      </x:c>
      <x:c r="S9" t="str">
        <x:v>Provisional</x:v>
      </x:c>
      <x:c r="T9" t="str">
        <x:v>Verify measured scope, resources and predecessor logic</x:v>
      </x:c>
    </x:row>
    <x:row r="10">
      <x:c r="A10" t="str">
        <x:v>BHS-SLQ-09</x:v>
      </x:c>
      <x:c r="B10" t="str">
        <x:v>BHS-SLQ</x:v>
      </x:c>
      <x:c r="C10" t="str">
        <x:v>Replacement</x:v>
      </x:c>
      <x:c r="D10" t="str">
        <x:v>C</x:v>
      </x:c>
      <x:c r="E10" t="str">
        <x:v>Fabrication</x:v>
      </x:c>
      <x:c r="F10" t="str">
        <x:v>Shop welding</x:v>
      </x:c>
      <x:c r="G10" t="str">
        <x:v>BHS-SLQ-08</x:v>
      </x:c>
      <x:c r="H10" t="str">
        <x:v>FS</x:v>
      </x:c>
      <x:c r="I10" t="n">
        <x:v>163</x:v>
      </x:c>
      <x:c r="J10" t="n">
        <x:v>208</x:v>
      </x:c>
      <x:c r="K10" t="n">
        <x:v>46</x:v>
      </x:c>
      <x:c r="L10" t="str">
        <x:v>Fabrication Manager</x:v>
      </x:c>
      <x:c r="M10" t="str">
        <x:v>weld-m</x:v>
      </x:c>
      <x:c r="N10"/>
      <x:c r="O10"/>
      <x:c r="P10"/>
      <x:c r="Q10" t="n">
        <x:v>0</x:v>
      </x:c>
      <x:c r="R10" t="str">
        <x:v>Not started</x:v>
      </x:c>
      <x:c r="S10" t="str">
        <x:v>Provisional</x:v>
      </x:c>
      <x:c r="T10" t="str">
        <x:v>Verify measured scope, resources and predecessor logic</x:v>
      </x:c>
    </x:row>
    <x:row r="11">
      <x:c r="A11" t="str">
        <x:v>ICW-ICG-UD-07</x:v>
      </x:c>
      <x:c r="B11" t="str">
        <x:v>ICW-ICG-UD</x:v>
      </x:c>
      <x:c r="C11" t="str">
        <x:v>Strengthening</x:v>
      </x:c>
      <x:c r="D11" t="str">
        <x:v>A</x:v>
      </x:c>
      <x:c r="E11" t="str">
        <x:v>Fabrication</x:v>
      </x:c>
      <x:c r="F11" t="str">
        <x:v>Cutting and material preparation</x:v>
      </x:c>
      <x:c r="G11" t="str"/>
      <x:c r="H11" t="str">
        <x:v>FS</x:v>
      </x:c>
      <x:c r="I11" t="n">
        <x:v>75</x:v>
      </x:c>
      <x:c r="J11" t="n">
        <x:v>105</x:v>
      </x:c>
      <x:c r="K11" t="n">
        <x:v>31</x:v>
      </x:c>
      <x:c r="L11" t="str">
        <x:v>Fabrication Manager</x:v>
      </x:c>
      <x:c r="M11" t="str">
        <x:v>pieces</x:v>
      </x:c>
      <x:c r="N11"/>
      <x:c r="O11"/>
      <x:c r="P11"/>
      <x:c r="Q11" t="n">
        <x:v>0</x:v>
      </x:c>
      <x:c r="R11" t="str">
        <x:v>Not started</x:v>
      </x:c>
      <x:c r="S11" t="str">
        <x:v>Provisional</x:v>
      </x:c>
      <x:c r="T11" t="str">
        <x:v>Verify measured scope, resources and predecessor logic</x:v>
      </x:c>
    </x:row>
    <x:row r="12">
      <x:c r="A12" t="str">
        <x:v>ICW-ICG-UD-08</x:v>
      </x:c>
      <x:c r="B12" t="str">
        <x:v>ICW-ICG-UD</x:v>
      </x:c>
      <x:c r="C12" t="str">
        <x:v>Strengthening</x:v>
      </x:c>
      <x:c r="D12" t="str">
        <x:v>A</x:v>
      </x:c>
      <x:c r="E12" t="str">
        <x:v>Fabrication</x:v>
      </x:c>
      <x:c r="F12" t="str">
        <x:v>Assembly and fit-up</x:v>
      </x:c>
      <x:c r="G12" t="str">
        <x:v>ICW-ICG-UD-07</x:v>
      </x:c>
      <x:c r="H12" t="str">
        <x:v>FS</x:v>
      </x:c>
      <x:c r="I12" t="n">
        <x:v>90</x:v>
      </x:c>
      <x:c r="J12" t="n">
        <x:v>135</x:v>
      </x:c>
      <x:c r="K12" t="n">
        <x:v>46</x:v>
      </x:c>
      <x:c r="L12" t="str">
        <x:v>Fabrication Manager</x:v>
      </x:c>
      <x:c r="M12" t="str">
        <x:v>assemblies</x:v>
      </x:c>
      <x:c r="N12"/>
      <x:c r="O12"/>
      <x:c r="P12"/>
      <x:c r="Q12" t="n">
        <x:v>0</x:v>
      </x:c>
      <x:c r="R12" t="str">
        <x:v>Not started</x:v>
      </x:c>
      <x:c r="S12" t="str">
        <x:v>Provisional</x:v>
      </x:c>
      <x:c r="T12" t="str">
        <x:v>Verify measured scope, resources and predecessor logic</x:v>
      </x:c>
    </x:row>
    <x:row r="13">
      <x:c r="A13" t="str">
        <x:v>ICW-ICG-UD-09</x:v>
      </x:c>
      <x:c r="B13" t="str">
        <x:v>ICW-ICG-UD</x:v>
      </x:c>
      <x:c r="C13" t="str">
        <x:v>Strengthening</x:v>
      </x:c>
      <x:c r="D13" t="str">
        <x:v>A</x:v>
      </x:c>
      <x:c r="E13" t="str">
        <x:v>Fabrication</x:v>
      </x:c>
      <x:c r="F13" t="str">
        <x:v>Shop welding</x:v>
      </x:c>
      <x:c r="G13" t="str">
        <x:v>ICW-ICG-UD-08</x:v>
      </x:c>
      <x:c r="H13" t="str">
        <x:v>FS</x:v>
      </x:c>
      <x:c r="I13" t="n">
        <x:v>103</x:v>
      </x:c>
      <x:c r="J13" t="n">
        <x:v>148</x:v>
      </x:c>
      <x:c r="K13" t="n">
        <x:v>46</x:v>
      </x:c>
      <x:c r="L13" t="str">
        <x:v>Fabrication Manager</x:v>
      </x:c>
      <x:c r="M13" t="str">
        <x:v>weld-m</x:v>
      </x:c>
      <x:c r="N13"/>
      <x:c r="O13"/>
      <x:c r="P13"/>
      <x:c r="Q13" t="n">
        <x:v>0</x:v>
      </x:c>
      <x:c r="R13" t="str">
        <x:v>Not started</x:v>
      </x:c>
      <x:c r="S13" t="str">
        <x:v>Provisional</x:v>
      </x:c>
      <x:c r="T13" t="str">
        <x:v>Verify measured scope, resources and predecessor logic</x:v>
      </x:c>
    </x:row>
    <x:row r="14">
      <x:c r="A14" t="str">
        <x:v>ICG-ICP-UD-07</x:v>
      </x:c>
      <x:c r="B14" t="str">
        <x:v>ICG-ICP-UD</x:v>
      </x:c>
      <x:c r="C14" t="str">
        <x:v>Strengthening</x:v>
      </x:c>
      <x:c r="D14" t="str">
        <x:v>A</x:v>
      </x:c>
      <x:c r="E14" t="str">
        <x:v>Fabrication</x:v>
      </x:c>
      <x:c r="F14" t="str">
        <x:v>Cutting and material preparation</x:v>
      </x:c>
      <x:c r="G14" t="str"/>
      <x:c r="H14" t="str">
        <x:v>FS</x:v>
      </x:c>
      <x:c r="I14" t="n">
        <x:v>87</x:v>
      </x:c>
      <x:c r="J14" t="n">
        <x:v>117</x:v>
      </x:c>
      <x:c r="K14" t="n">
        <x:v>31</x:v>
      </x:c>
      <x:c r="L14" t="str">
        <x:v>Fabrication Manager</x:v>
      </x:c>
      <x:c r="M14" t="str">
        <x:v>pieces</x:v>
      </x:c>
      <x:c r="N14"/>
      <x:c r="O14"/>
      <x:c r="P14"/>
      <x:c r="Q14" t="n">
        <x:v>0</x:v>
      </x:c>
      <x:c r="R14" t="str">
        <x:v>Not started</x:v>
      </x:c>
      <x:c r="S14" t="str">
        <x:v>Provisional</x:v>
      </x:c>
      <x:c r="T14" t="str">
        <x:v>Verify measured scope, resources and predecessor logic</x:v>
      </x:c>
    </x:row>
    <x:row r="15">
      <x:c r="A15" t="str">
        <x:v>ICG-ICP-UD-08</x:v>
      </x:c>
      <x:c r="B15" t="str">
        <x:v>ICG-ICP-UD</x:v>
      </x:c>
      <x:c r="C15" t="str">
        <x:v>Strengthening</x:v>
      </x:c>
      <x:c r="D15" t="str">
        <x:v>A</x:v>
      </x:c>
      <x:c r="E15" t="str">
        <x:v>Fabrication</x:v>
      </x:c>
      <x:c r="F15" t="str">
        <x:v>Assembly and fit-up</x:v>
      </x:c>
      <x:c r="G15" t="str">
        <x:v>ICG-ICP-UD-07</x:v>
      </x:c>
      <x:c r="H15" t="str">
        <x:v>FS</x:v>
      </x:c>
      <x:c r="I15" t="n">
        <x:v>102</x:v>
      </x:c>
      <x:c r="J15" t="n">
        <x:v>147</x:v>
      </x:c>
      <x:c r="K15" t="n">
        <x:v>46</x:v>
      </x:c>
      <x:c r="L15" t="str">
        <x:v>Fabrication Manager</x:v>
      </x:c>
      <x:c r="M15" t="str">
        <x:v>assemblies</x:v>
      </x:c>
      <x:c r="N15"/>
      <x:c r="O15"/>
      <x:c r="P15"/>
      <x:c r="Q15" t="n">
        <x:v>0</x:v>
      </x:c>
      <x:c r="R15" t="str">
        <x:v>Not started</x:v>
      </x:c>
      <x:c r="S15" t="str">
        <x:v>Provisional</x:v>
      </x:c>
      <x:c r="T15" t="str">
        <x:v>Verify measured scope, resources and predecessor logic</x:v>
      </x:c>
    </x:row>
    <x:row r="16">
      <x:c r="A16" t="str">
        <x:v>ICG-ICP-UD-09</x:v>
      </x:c>
      <x:c r="B16" t="str">
        <x:v>ICG-ICP-UD</x:v>
      </x:c>
      <x:c r="C16" t="str">
        <x:v>Strengthening</x:v>
      </x:c>
      <x:c r="D16" t="str">
        <x:v>A</x:v>
      </x:c>
      <x:c r="E16" t="str">
        <x:v>Fabrication</x:v>
      </x:c>
      <x:c r="F16" t="str">
        <x:v>Shop welding</x:v>
      </x:c>
      <x:c r="G16" t="str">
        <x:v>ICG-ICP-UD-08</x:v>
      </x:c>
      <x:c r="H16" t="str">
        <x:v>FS</x:v>
      </x:c>
      <x:c r="I16" t="n">
        <x:v>115</x:v>
      </x:c>
      <x:c r="J16" t="n">
        <x:v>160</x:v>
      </x:c>
      <x:c r="K16" t="n">
        <x:v>46</x:v>
      </x:c>
      <x:c r="L16" t="str">
        <x:v>Fabrication Manager</x:v>
      </x:c>
      <x:c r="M16" t="str">
        <x:v>weld-m</x:v>
      </x:c>
      <x:c r="N16"/>
      <x:c r="O16"/>
      <x:c r="P16"/>
      <x:c r="Q16" t="n">
        <x:v>0</x:v>
      </x:c>
      <x:c r="R16" t="str">
        <x:v>Not started</x:v>
      </x:c>
      <x:c r="S16" t="str">
        <x:v>Provisional</x:v>
      </x:c>
      <x:c r="T16" t="str">
        <x:v>Verify measured scope, resources and predecessor logic</x:v>
      </x:c>
    </x:row>
    <x:row r="17">
      <x:c r="A17" t="str">
        <x:v>SLQ-WIS-07</x:v>
      </x:c>
      <x:c r="B17" t="str">
        <x:v>SLQ-WIS</x:v>
      </x:c>
      <x:c r="C17" t="str">
        <x:v>Strengthening</x:v>
      </x:c>
      <x:c r="D17" t="str">
        <x:v>A</x:v>
      </x:c>
      <x:c r="E17" t="str">
        <x:v>Fabrication</x:v>
      </x:c>
      <x:c r="F17" t="str">
        <x:v>Cutting and material preparation</x:v>
      </x:c>
      <x:c r="G17" t="str"/>
      <x:c r="H17" t="str">
        <x:v>FS</x:v>
      </x:c>
      <x:c r="I17" t="n">
        <x:v>99</x:v>
      </x:c>
      <x:c r="J17" t="n">
        <x:v>129</x:v>
      </x:c>
      <x:c r="K17" t="n">
        <x:v>31</x:v>
      </x:c>
      <x:c r="L17" t="str">
        <x:v>Fabrication Manager</x:v>
      </x:c>
      <x:c r="M17" t="str">
        <x:v>pieces</x:v>
      </x:c>
      <x:c r="N17"/>
      <x:c r="O17"/>
      <x:c r="P17"/>
      <x:c r="Q17" t="n">
        <x:v>0</x:v>
      </x:c>
      <x:c r="R17" t="str">
        <x:v>Not started</x:v>
      </x:c>
      <x:c r="S17" t="str">
        <x:v>Provisional</x:v>
      </x:c>
      <x:c r="T17" t="str">
        <x:v>Verify measured scope, resources and predecessor logic</x:v>
      </x:c>
    </x:row>
    <x:row r="18">
      <x:c r="A18" t="str">
        <x:v>SLQ-WIS-08</x:v>
      </x:c>
      <x:c r="B18" t="str">
        <x:v>SLQ-WIS</x:v>
      </x:c>
      <x:c r="C18" t="str">
        <x:v>Strengthening</x:v>
      </x:c>
      <x:c r="D18" t="str">
        <x:v>A</x:v>
      </x:c>
      <x:c r="E18" t="str">
        <x:v>Fabrication</x:v>
      </x:c>
      <x:c r="F18" t="str">
        <x:v>Assembly and fit-up</x:v>
      </x:c>
      <x:c r="G18" t="str">
        <x:v>SLQ-WIS-07</x:v>
      </x:c>
      <x:c r="H18" t="str">
        <x:v>FS</x:v>
      </x:c>
      <x:c r="I18" t="n">
        <x:v>114</x:v>
      </x:c>
      <x:c r="J18" t="n">
        <x:v>159</x:v>
      </x:c>
      <x:c r="K18" t="n">
        <x:v>46</x:v>
      </x:c>
      <x:c r="L18" t="str">
        <x:v>Fabrication Manager</x:v>
      </x:c>
      <x:c r="M18" t="str">
        <x:v>assemblies</x:v>
      </x:c>
      <x:c r="N18"/>
      <x:c r="O18"/>
      <x:c r="P18"/>
      <x:c r="Q18" t="n">
        <x:v>0</x:v>
      </x:c>
      <x:c r="R18" t="str">
        <x:v>Not started</x:v>
      </x:c>
      <x:c r="S18" t="str">
        <x:v>Provisional</x:v>
      </x:c>
      <x:c r="T18" t="str">
        <x:v>Verify measured scope, resources and predecessor logic</x:v>
      </x:c>
    </x:row>
    <x:row r="19">
      <x:c r="A19" t="str">
        <x:v>SLQ-WIS-09</x:v>
      </x:c>
      <x:c r="B19" t="str">
        <x:v>SLQ-WIS</x:v>
      </x:c>
      <x:c r="C19" t="str">
        <x:v>Strengthening</x:v>
      </x:c>
      <x:c r="D19" t="str">
        <x:v>A</x:v>
      </x:c>
      <x:c r="E19" t="str">
        <x:v>Fabrication</x:v>
      </x:c>
      <x:c r="F19" t="str">
        <x:v>Shop welding</x:v>
      </x:c>
      <x:c r="G19" t="str">
        <x:v>SLQ-WIS-08</x:v>
      </x:c>
      <x:c r="H19" t="str">
        <x:v>FS</x:v>
      </x:c>
      <x:c r="I19" t="n">
        <x:v>127</x:v>
      </x:c>
      <x:c r="J19" t="n">
        <x:v>172</x:v>
      </x:c>
      <x:c r="K19" t="n">
        <x:v>46</x:v>
      </x:c>
      <x:c r="L19" t="str">
        <x:v>Fabrication Manager</x:v>
      </x:c>
      <x:c r="M19" t="str">
        <x:v>weld-m</x:v>
      </x:c>
      <x:c r="N19"/>
      <x:c r="O19"/>
      <x:c r="P19"/>
      <x:c r="Q19" t="n">
        <x:v>0</x:v>
      </x:c>
      <x:c r="R19" t="str">
        <x:v>Not started</x:v>
      </x:c>
      <x:c r="S19" t="str">
        <x:v>Provisional</x:v>
      </x:c>
      <x:c r="T19" t="str">
        <x:v>Verify measured scope, resources and predecessor logic</x:v>
      </x:c>
    </x:row>
    <x:row r="20">
      <x:c r="A20" t="str">
        <x:v>NQO-NQD-07</x:v>
      </x:c>
      <x:c r="B20" t="str">
        <x:v>NQO-NQD</x:v>
      </x:c>
      <x:c r="C20" t="str">
        <x:v>Strengthening</x:v>
      </x:c>
      <x:c r="D20" t="str">
        <x:v>B</x:v>
      </x:c>
      <x:c r="E20" t="str">
        <x:v>Fabrication</x:v>
      </x:c>
      <x:c r="F20" t="str">
        <x:v>Cutting and material preparation</x:v>
      </x:c>
      <x:c r="G20" t="str"/>
      <x:c r="H20" t="str">
        <x:v>FS</x:v>
      </x:c>
      <x:c r="I20" t="n">
        <x:v>111</x:v>
      </x:c>
      <x:c r="J20" t="n">
        <x:v>141</x:v>
      </x:c>
      <x:c r="K20" t="n">
        <x:v>31</x:v>
      </x:c>
      <x:c r="L20" t="str">
        <x:v>Fabrication Manager</x:v>
      </x:c>
      <x:c r="M20" t="str">
        <x:v>pieces</x:v>
      </x:c>
      <x:c r="N20"/>
      <x:c r="O20"/>
      <x:c r="P20"/>
      <x:c r="Q20" t="n">
        <x:v>0</x:v>
      </x:c>
      <x:c r="R20" t="str">
        <x:v>Not started</x:v>
      </x:c>
      <x:c r="S20" t="str">
        <x:v>Provisional</x:v>
      </x:c>
      <x:c r="T20" t="str">
        <x:v>Verify measured scope, resources and predecessor logic</x:v>
      </x:c>
    </x:row>
    <x:row r="21">
      <x:c r="A21" t="str">
        <x:v>NQO-NQD-08</x:v>
      </x:c>
      <x:c r="B21" t="str">
        <x:v>NQO-NQD</x:v>
      </x:c>
      <x:c r="C21" t="str">
        <x:v>Strengthening</x:v>
      </x:c>
      <x:c r="D21" t="str">
        <x:v>B</x:v>
      </x:c>
      <x:c r="E21" t="str">
        <x:v>Fabrication</x:v>
      </x:c>
      <x:c r="F21" t="str">
        <x:v>Assembly and fit-up</x:v>
      </x:c>
      <x:c r="G21" t="str">
        <x:v>NQO-NQD-07</x:v>
      </x:c>
      <x:c r="H21" t="str">
        <x:v>FS</x:v>
      </x:c>
      <x:c r="I21" t="n">
        <x:v>126</x:v>
      </x:c>
      <x:c r="J21" t="n">
        <x:v>171</x:v>
      </x:c>
      <x:c r="K21" t="n">
        <x:v>46</x:v>
      </x:c>
      <x:c r="L21" t="str">
        <x:v>Fabrication Manager</x:v>
      </x:c>
      <x:c r="M21" t="str">
        <x:v>assemblies</x:v>
      </x:c>
      <x:c r="N21"/>
      <x:c r="O21"/>
      <x:c r="P21"/>
      <x:c r="Q21" t="n">
        <x:v>0</x:v>
      </x:c>
      <x:c r="R21" t="str">
        <x:v>Not started</x:v>
      </x:c>
      <x:c r="S21" t="str">
        <x:v>Provisional</x:v>
      </x:c>
      <x:c r="T21" t="str">
        <x:v>Verify measured scope, resources and predecessor logic</x:v>
      </x:c>
    </x:row>
    <x:row r="22">
      <x:c r="A22" t="str">
        <x:v>NQO-NQD-09</x:v>
      </x:c>
      <x:c r="B22" t="str">
        <x:v>NQO-NQD</x:v>
      </x:c>
      <x:c r="C22" t="str">
        <x:v>Strengthening</x:v>
      </x:c>
      <x:c r="D22" t="str">
        <x:v>B</x:v>
      </x:c>
      <x:c r="E22" t="str">
        <x:v>Fabrication</x:v>
      </x:c>
      <x:c r="F22" t="str">
        <x:v>Shop welding</x:v>
      </x:c>
      <x:c r="G22" t="str">
        <x:v>NQO-NQD-08</x:v>
      </x:c>
      <x:c r="H22" t="str">
        <x:v>FS</x:v>
      </x:c>
      <x:c r="I22" t="n">
        <x:v>139</x:v>
      </x:c>
      <x:c r="J22" t="n">
        <x:v>184</x:v>
      </x:c>
      <x:c r="K22" t="n">
        <x:v>46</x:v>
      </x:c>
      <x:c r="L22" t="str">
        <x:v>Fabrication Manager</x:v>
      </x:c>
      <x:c r="M22" t="str">
        <x:v>weld-m</x:v>
      </x:c>
      <x:c r="N22"/>
      <x:c r="O22"/>
      <x:c r="P22"/>
      <x:c r="Q22" t="n">
        <x:v>0</x:v>
      </x:c>
      <x:c r="R22" t="str">
        <x:v>Not started</x:v>
      </x:c>
      <x:c r="S22" t="str">
        <x:v>Provisional</x:v>
      </x:c>
      <x:c r="T22" t="str">
        <x:v>Verify measured scope, resources and predecessor logic</x:v>
      </x:c>
    </x:row>
    <x:row r="23">
      <x:c r="A23" t="str">
        <x:v>WIN-NC-07</x:v>
      </x:c>
      <x:c r="B23" t="str">
        <x:v>WIN-NC</x:v>
      </x:c>
      <x:c r="C23" t="str">
        <x:v>Strengthening</x:v>
      </x:c>
      <x:c r="D23" t="str">
        <x:v>B</x:v>
      </x:c>
      <x:c r="E23" t="str">
        <x:v>Fabrication</x:v>
      </x:c>
      <x:c r="F23" t="str">
        <x:v>Cutting and material preparation</x:v>
      </x:c>
      <x:c r="G23" t="str"/>
      <x:c r="H23" t="str">
        <x:v>FS</x:v>
      </x:c>
      <x:c r="I23" t="n">
        <x:v>123</x:v>
      </x:c>
      <x:c r="J23" t="n">
        <x:v>153</x:v>
      </x:c>
      <x:c r="K23" t="n">
        <x:v>31</x:v>
      </x:c>
      <x:c r="L23" t="str">
        <x:v>Fabrication Manager</x:v>
      </x:c>
      <x:c r="M23" t="str">
        <x:v>pieces</x:v>
      </x:c>
      <x:c r="N23"/>
      <x:c r="O23"/>
      <x:c r="P23"/>
      <x:c r="Q23" t="n">
        <x:v>0</x:v>
      </x:c>
      <x:c r="R23" t="str">
        <x:v>Not started</x:v>
      </x:c>
      <x:c r="S23" t="str">
        <x:v>Provisional</x:v>
      </x:c>
      <x:c r="T23" t="str">
        <x:v>Verify measured scope, resources and predecessor logic</x:v>
      </x:c>
    </x:row>
    <x:row r="24">
      <x:c r="A24" t="str">
        <x:v>WIN-NC-08</x:v>
      </x:c>
      <x:c r="B24" t="str">
        <x:v>WIN-NC</x:v>
      </x:c>
      <x:c r="C24" t="str">
        <x:v>Strengthening</x:v>
      </x:c>
      <x:c r="D24" t="str">
        <x:v>B</x:v>
      </x:c>
      <x:c r="E24" t="str">
        <x:v>Fabrication</x:v>
      </x:c>
      <x:c r="F24" t="str">
        <x:v>Assembly and fit-up</x:v>
      </x:c>
      <x:c r="G24" t="str">
        <x:v>WIN-NC-07</x:v>
      </x:c>
      <x:c r="H24" t="str">
        <x:v>FS</x:v>
      </x:c>
      <x:c r="I24" t="n">
        <x:v>138</x:v>
      </x:c>
      <x:c r="J24" t="n">
        <x:v>183</x:v>
      </x:c>
      <x:c r="K24" t="n">
        <x:v>46</x:v>
      </x:c>
      <x:c r="L24" t="str">
        <x:v>Fabrication Manager</x:v>
      </x:c>
      <x:c r="M24" t="str">
        <x:v>assemblies</x:v>
      </x:c>
      <x:c r="N24"/>
      <x:c r="O24"/>
      <x:c r="P24"/>
      <x:c r="Q24" t="n">
        <x:v>0</x:v>
      </x:c>
      <x:c r="R24" t="str">
        <x:v>Not started</x:v>
      </x:c>
      <x:c r="S24" t="str">
        <x:v>Provisional</x:v>
      </x:c>
      <x:c r="T24" t="str">
        <x:v>Verify measured scope, resources and predecessor logic</x:v>
      </x:c>
    </x:row>
    <x:row r="25">
      <x:c r="A25" t="str">
        <x:v>WIN-NC-09</x:v>
      </x:c>
      <x:c r="B25" t="str">
        <x:v>WIN-NC</x:v>
      </x:c>
      <x:c r="C25" t="str">
        <x:v>Strengthening</x:v>
      </x:c>
      <x:c r="D25" t="str">
        <x:v>B</x:v>
      </x:c>
      <x:c r="E25" t="str">
        <x:v>Fabrication</x:v>
      </x:c>
      <x:c r="F25" t="str">
        <x:v>Shop welding</x:v>
      </x:c>
      <x:c r="G25" t="str">
        <x:v>WIN-NC-08</x:v>
      </x:c>
      <x:c r="H25" t="str">
        <x:v>FS</x:v>
      </x:c>
      <x:c r="I25" t="n">
        <x:v>151</x:v>
      </x:c>
      <x:c r="J25" t="n">
        <x:v>196</x:v>
      </x:c>
      <x:c r="K25" t="n">
        <x:v>46</x:v>
      </x:c>
      <x:c r="L25" t="str">
        <x:v>Fabrication Manager</x:v>
      </x:c>
      <x:c r="M25" t="str">
        <x:v>weld-m</x:v>
      </x:c>
      <x:c r="N25"/>
      <x:c r="O25"/>
      <x:c r="P25"/>
      <x:c r="Q25" t="n">
        <x:v>0</x:v>
      </x:c>
      <x:c r="R25" t="str">
        <x:v>Not started</x:v>
      </x:c>
      <x:c r="S25" t="str">
        <x:v>Provisional</x:v>
      </x:c>
      <x:c r="T25" t="str">
        <x:v>Verify measured scope, resources and predecessor logic</x:v>
      </x:c>
    </x:row>
    <x:row r="26">
      <x:c r="A26" t="str">
        <x:v>SCA-SC1-07</x:v>
      </x:c>
      <x:c r="B26" t="str">
        <x:v>SCA-SC1</x:v>
      </x:c>
      <x:c r="C26" t="str">
        <x:v>Strengthening</x:v>
      </x:c>
      <x:c r="D26" t="str">
        <x:v>B</x:v>
      </x:c>
      <x:c r="E26" t="str">
        <x:v>Fabrication</x:v>
      </x:c>
      <x:c r="F26" t="str">
        <x:v>Cutting and material preparation</x:v>
      </x:c>
      <x:c r="G26" t="str"/>
      <x:c r="H26" t="str">
        <x:v>FS</x:v>
      </x:c>
      <x:c r="I26" t="n">
        <x:v>135</x:v>
      </x:c>
      <x:c r="J26" t="n">
        <x:v>165</x:v>
      </x:c>
      <x:c r="K26" t="n">
        <x:v>31</x:v>
      </x:c>
      <x:c r="L26" t="str">
        <x:v>Fabrication Manager</x:v>
      </x:c>
      <x:c r="M26" t="str">
        <x:v>pieces</x:v>
      </x:c>
      <x:c r="N26"/>
      <x:c r="O26"/>
      <x:c r="P26"/>
      <x:c r="Q26" t="n">
        <x:v>0</x:v>
      </x:c>
      <x:c r="R26" t="str">
        <x:v>Not started</x:v>
      </x:c>
      <x:c r="S26" t="str">
        <x:v>Provisional</x:v>
      </x:c>
      <x:c r="T26" t="str">
        <x:v>Verify measured scope, resources and predecessor logic</x:v>
      </x:c>
    </x:row>
    <x:row r="27">
      <x:c r="A27" t="str">
        <x:v>SCA-SC1-08</x:v>
      </x:c>
      <x:c r="B27" t="str">
        <x:v>SCA-SC1</x:v>
      </x:c>
      <x:c r="C27" t="str">
        <x:v>Strengthening</x:v>
      </x:c>
      <x:c r="D27" t="str">
        <x:v>B</x:v>
      </x:c>
      <x:c r="E27" t="str">
        <x:v>Fabrication</x:v>
      </x:c>
      <x:c r="F27" t="str">
        <x:v>Assembly and fit-up</x:v>
      </x:c>
      <x:c r="G27" t="str">
        <x:v>SCA-SC1-07</x:v>
      </x:c>
      <x:c r="H27" t="str">
        <x:v>FS</x:v>
      </x:c>
      <x:c r="I27" t="n">
        <x:v>150</x:v>
      </x:c>
      <x:c r="J27" t="n">
        <x:v>195</x:v>
      </x:c>
      <x:c r="K27" t="n">
        <x:v>46</x:v>
      </x:c>
      <x:c r="L27" t="str">
        <x:v>Fabrication Manager</x:v>
      </x:c>
      <x:c r="M27" t="str">
        <x:v>assemblies</x:v>
      </x:c>
      <x:c r="N27"/>
      <x:c r="O27"/>
      <x:c r="P27"/>
      <x:c r="Q27" t="n">
        <x:v>0</x:v>
      </x:c>
      <x:c r="R27" t="str">
        <x:v>Not started</x:v>
      </x:c>
      <x:c r="S27" t="str">
        <x:v>Provisional</x:v>
      </x:c>
      <x:c r="T27" t="str">
        <x:v>Verify measured scope, resources and predecessor logic</x:v>
      </x:c>
    </x:row>
    <x:row r="28">
      <x:c r="A28" t="str">
        <x:v>SCA-SC1-09</x:v>
      </x:c>
      <x:c r="B28" t="str">
        <x:v>SCA-SC1</x:v>
      </x:c>
      <x:c r="C28" t="str">
        <x:v>Strengthening</x:v>
      </x:c>
      <x:c r="D28" t="str">
        <x:v>B</x:v>
      </x:c>
      <x:c r="E28" t="str">
        <x:v>Fabrication</x:v>
      </x:c>
      <x:c r="F28" t="str">
        <x:v>Shop welding</x:v>
      </x:c>
      <x:c r="G28" t="str">
        <x:v>SCA-SC1-08</x:v>
      </x:c>
      <x:c r="H28" t="str">
        <x:v>FS</x:v>
      </x:c>
      <x:c r="I28" t="n">
        <x:v>163</x:v>
      </x:c>
      <x:c r="J28" t="n">
        <x:v>208</x:v>
      </x:c>
      <x:c r="K28" t="n">
        <x:v>46</x:v>
      </x:c>
      <x:c r="L28" t="str">
        <x:v>Fabrication Manager</x:v>
      </x:c>
      <x:c r="M28" t="str">
        <x:v>weld-m</x:v>
      </x:c>
      <x:c r="N28"/>
      <x:c r="O28"/>
      <x:c r="P28"/>
      <x:c r="Q28" t="n">
        <x:v>0</x:v>
      </x:c>
      <x:c r="R28" t="str">
        <x:v>Not started</x:v>
      </x:c>
      <x:c r="S28" t="str">
        <x:v>Provisional</x:v>
      </x:c>
      <x:c r="T28" t="str">
        <x:v>Verify measured scope, resources and predecessor logic</x:v>
      </x:c>
    </x:row>
    <x:row r="29">
      <x:c r="A29" t="str">
        <x:v>SCA-SCF-07</x:v>
      </x:c>
      <x:c r="B29" t="str">
        <x:v>SCA-SCF</x:v>
      </x:c>
      <x:c r="C29" t="str">
        <x:v>Strengthening</x:v>
      </x:c>
      <x:c r="D29" t="str">
        <x:v>B</x:v>
      </x:c>
      <x:c r="E29" t="str">
        <x:v>Fabrication</x:v>
      </x:c>
      <x:c r="F29" t="str">
        <x:v>Cutting and material preparation</x:v>
      </x:c>
      <x:c r="G29" t="str"/>
      <x:c r="H29" t="str">
        <x:v>FS</x:v>
      </x:c>
      <x:c r="I29" t="n">
        <x:v>147</x:v>
      </x:c>
      <x:c r="J29" t="n">
        <x:v>177</x:v>
      </x:c>
      <x:c r="K29" t="n">
        <x:v>31</x:v>
      </x:c>
      <x:c r="L29" t="str">
        <x:v>Fabrication Manager</x:v>
      </x:c>
      <x:c r="M29" t="str">
        <x:v>pieces</x:v>
      </x:c>
      <x:c r="N29"/>
      <x:c r="O29"/>
      <x:c r="P29"/>
      <x:c r="Q29" t="n">
        <x:v>0</x:v>
      </x:c>
      <x:c r="R29" t="str">
        <x:v>Not started</x:v>
      </x:c>
      <x:c r="S29" t="str">
        <x:v>Provisional</x:v>
      </x:c>
      <x:c r="T29" t="str">
        <x:v>Verify measured scope, resources and predecessor logic</x:v>
      </x:c>
    </x:row>
    <x:row r="30">
      <x:c r="A30" t="str">
        <x:v>SCA-SCF-08</x:v>
      </x:c>
      <x:c r="B30" t="str">
        <x:v>SCA-SCF</x:v>
      </x:c>
      <x:c r="C30" t="str">
        <x:v>Strengthening</x:v>
      </x:c>
      <x:c r="D30" t="str">
        <x:v>B</x:v>
      </x:c>
      <x:c r="E30" t="str">
        <x:v>Fabrication</x:v>
      </x:c>
      <x:c r="F30" t="str">
        <x:v>Assembly and fit-up</x:v>
      </x:c>
      <x:c r="G30" t="str">
        <x:v>SCA-SCF-07</x:v>
      </x:c>
      <x:c r="H30" t="str">
        <x:v>FS</x:v>
      </x:c>
      <x:c r="I30" t="n">
        <x:v>162</x:v>
      </x:c>
      <x:c r="J30" t="n">
        <x:v>207</x:v>
      </x:c>
      <x:c r="K30" t="n">
        <x:v>46</x:v>
      </x:c>
      <x:c r="L30" t="str">
        <x:v>Fabrication Manager</x:v>
      </x:c>
      <x:c r="M30" t="str">
        <x:v>assemblies</x:v>
      </x:c>
      <x:c r="N30"/>
      <x:c r="O30"/>
      <x:c r="P30"/>
      <x:c r="Q30" t="n">
        <x:v>0</x:v>
      </x:c>
      <x:c r="R30" t="str">
        <x:v>Not started</x:v>
      </x:c>
      <x:c r="S30" t="str">
        <x:v>Provisional</x:v>
      </x:c>
      <x:c r="T30" t="str">
        <x:v>Verify measured scope, resources and predecessor logic</x:v>
      </x:c>
    </x:row>
    <x:row r="31">
      <x:c r="A31" t="str">
        <x:v>SCA-SCF-09</x:v>
      </x:c>
      <x:c r="B31" t="str">
        <x:v>SCA-SCF</x:v>
      </x:c>
      <x:c r="C31" t="str">
        <x:v>Strengthening</x:v>
      </x:c>
      <x:c r="D31" t="str">
        <x:v>B</x:v>
      </x:c>
      <x:c r="E31" t="str">
        <x:v>Fabrication</x:v>
      </x:c>
      <x:c r="F31" t="str">
        <x:v>Shop welding</x:v>
      </x:c>
      <x:c r="G31" t="str">
        <x:v>SCA-SCF-08</x:v>
      </x:c>
      <x:c r="H31" t="str">
        <x:v>FS</x:v>
      </x:c>
      <x:c r="I31" t="n">
        <x:v>175</x:v>
      </x:c>
      <x:c r="J31" t="n">
        <x:v>220</x:v>
      </x:c>
      <x:c r="K31" t="n">
        <x:v>46</x:v>
      </x:c>
      <x:c r="L31" t="str">
        <x:v>Fabrication Manager</x:v>
      </x:c>
      <x:c r="M31" t="str">
        <x:v>weld-m</x:v>
      </x:c>
      <x:c r="N31"/>
      <x:c r="O31"/>
      <x:c r="P31"/>
      <x:c r="Q31" t="n">
        <x:v>0</x:v>
      </x:c>
      <x:c r="R31" t="str">
        <x:v>Not started</x:v>
      </x:c>
      <x:c r="S31" t="str">
        <x:v>Provisional</x:v>
      </x:c>
      <x:c r="T31" t="str">
        <x:v>Verify measured scope, resources and predecessor logic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7" hidden="0" customWidth="1"/>
    <x:col min="4" max="4" width="10" hidden="0" customWidth="1"/>
    <x:col min="5" max="5" width="19" hidden="0" customWidth="1"/>
    <x:col min="6" max="6" width="44" hidden="0" customWidth="1"/>
    <x:col min="7" max="7" width="25" hidden="0" customWidth="1"/>
    <x:col min="8" max="8" width="10" hidden="0" customWidth="1"/>
    <x:col min="9" max="9" width="14" hidden="0" customWidth="1"/>
    <x:col min="10" max="10" width="14" hidden="0" customWidth="1"/>
    <x:col min="11" max="11" width="16" hidden="0" customWidth="1"/>
    <x:col min="12" max="12" width="26" hidden="0" customWidth="1"/>
    <x:col min="13" max="13" width="17" hidden="0" customWidth="1"/>
    <x:col min="14" max="14" width="16" hidden="0" customWidth="1"/>
    <x:col min="15" max="15" width="16" hidden="0" customWidth="1"/>
    <x:col min="16" max="16" width="16" hidden="0" customWidth="1"/>
    <x:col min="17" max="17" width="15" hidden="0" customWidth="1"/>
    <x:col min="18" max="18" width="18" hidden="0" customWidth="1"/>
    <x:col min="19" max="19" width="17" hidden="0" customWidth="1"/>
    <x:col min="20" max="20" width="65" hidden="0" customWidth="1"/>
  </x:cols>
  <x:sheetData>
    <x:row r="1" ht="30" customHeight="1">
      <x:c r="A1" s="4" t="str">
        <x:v>Activity ID</x:v>
      </x:c>
      <x:c r="B1" s="4" t="str">
        <x:v>Bridge ID</x:v>
      </x:c>
      <x:c r="C1" s="4" t="str">
        <x:v>Work Type</x:v>
      </x:c>
      <x:c r="D1" s="4" t="str">
        <x:v>Team</x:v>
      </x:c>
      <x:c r="E1" s="4" t="str">
        <x:v>Discipline</x:v>
      </x:c>
      <x:c r="F1" s="4" t="str">
        <x:v>Activity</x:v>
      </x:c>
      <x:c r="G1" s="4" t="str">
        <x:v>Predecessor ID</x:v>
      </x:c>
      <x:c r="H1" s="4" t="str">
        <x:v>Link</x:v>
      </x:c>
      <x:c r="I1" s="4" t="str">
        <x:v>Start Day</x:v>
      </x:c>
      <x:c r="J1" s="4" t="str">
        <x:v>Finish Day</x:v>
      </x:c>
      <x:c r="K1" s="4" t="str">
        <x:v>Duration Days</x:v>
      </x:c>
      <x:c r="L1" s="4" t="str">
        <x:v>Responsible</x:v>
      </x:c>
      <x:c r="M1" s="4" t="str">
        <x:v>Unit</x:v>
      </x:c>
      <x:c r="N1" s="4" t="str">
        <x:v>Budget Qty</x:v>
      </x:c>
      <x:c r="O1" s="4" t="str">
        <x:v>Actual Qty</x:v>
      </x:c>
      <x:c r="P1" s="4" t="str">
        <x:v>Budget MH</x:v>
      </x:c>
      <x:c r="Q1" s="4" t="str">
        <x:v>Progress %</x:v>
      </x:c>
      <x:c r="R1" s="4" t="str">
        <x:v>Status</x:v>
      </x:c>
      <x:c r="S1" s="4" t="str">
        <x:v>Basis</x:v>
      </x:c>
      <x:c r="T1" s="4" t="str">
        <x:v>Constraints / Notes</x:v>
      </x:c>
    </x:row>
    <x:row r="2">
      <x:c r="A2" t="str">
        <x:v>ICW-ICG-LD-10</x:v>
      </x:c>
      <x:c r="B2" t="str">
        <x:v>ICW-ICG-LD</x:v>
      </x:c>
      <x:c r="C2" t="str">
        <x:v>Installation</x:v>
      </x:c>
      <x:c r="D2" t="str">
        <x:v>C</x:v>
      </x:c>
      <x:c r="E2" t="str">
        <x:v>Quality</x:v>
      </x:c>
      <x:c r="F2" t="str">
        <x:v>NDT and dimensional acceptance</x:v>
      </x:c>
      <x:c r="G2" t="str"/>
      <x:c r="H2" t="str">
        <x:v>FS</x:v>
      </x:c>
      <x:c r="I2" t="n">
        <x:v>120</x:v>
      </x:c>
      <x:c r="J2" t="n">
        <x:v>157</x:v>
      </x:c>
      <x:c r="K2" t="n">
        <x:v>38</x:v>
      </x:c>
      <x:c r="L2" t="str">
        <x:v>QAQC Manager</x:v>
      </x:c>
      <x:c r="M2" t="str">
        <x:v>joints</x:v>
      </x:c>
      <x:c r="N2"/>
      <x:c r="O2"/>
      <x:c r="P2"/>
      <x:c r="Q2" t="n">
        <x:v>0</x:v>
      </x:c>
      <x:c r="R2" t="str">
        <x:v>Not started</x:v>
      </x:c>
      <x:c r="S2" t="str">
        <x:v>Provisional</x:v>
      </x:c>
      <x:c r="T2" t="str">
        <x:v>Verify measured scope, resources and predecessor logic</x:v>
      </x:c>
    </x:row>
    <x:row r="3">
      <x:c r="A3" t="str">
        <x:v>ICW-ICG-LD-11</x:v>
      </x:c>
      <x:c r="B3" t="str">
        <x:v>ICW-ICG-LD</x:v>
      </x:c>
      <x:c r="C3" t="str">
        <x:v>Installation</x:v>
      </x:c>
      <x:c r="D3" t="str">
        <x:v>C</x:v>
      </x:c>
      <x:c r="E3" t="str">
        <x:v>Quality</x:v>
      </x:c>
      <x:c r="F3" t="str">
        <x:v>Blast, coat and preserve</x:v>
      </x:c>
      <x:c r="G3" t="str">
        <x:v>ICW-ICG-LD-10</x:v>
      </x:c>
      <x:c r="H3" t="str">
        <x:v>FS</x:v>
      </x:c>
      <x:c r="I3" t="n">
        <x:v>135</x:v>
      </x:c>
      <x:c r="J3" t="n">
        <x:v>165</x:v>
      </x:c>
      <x:c r="K3" t="n">
        <x:v>31</x:v>
      </x:c>
      <x:c r="L3" t="str">
        <x:v>QAQC Manager</x:v>
      </x:c>
      <x:c r="M3" t="str">
        <x:v>m2</x:v>
      </x:c>
      <x:c r="N3"/>
      <x:c r="O3"/>
      <x:c r="P3"/>
      <x:c r="Q3" t="n">
        <x:v>0</x:v>
      </x:c>
      <x:c r="R3" t="str">
        <x:v>Not started</x:v>
      </x:c>
      <x:c r="S3" t="str">
        <x:v>Provisional</x:v>
      </x:c>
      <x:c r="T3" t="str">
        <x:v>Verify measured scope, resources and predecessor logic</x:v>
      </x:c>
    </x:row>
    <x:row r="4">
      <x:c r="A4" t="str">
        <x:v>ICG-ICP-LD-10</x:v>
      </x:c>
      <x:c r="B4" t="str">
        <x:v>ICG-ICP-LD</x:v>
      </x:c>
      <x:c r="C4" t="str">
        <x:v>Installation</x:v>
      </x:c>
      <x:c r="D4" t="str">
        <x:v>C</x:v>
      </x:c>
      <x:c r="E4" t="str">
        <x:v>Quality</x:v>
      </x:c>
      <x:c r="F4" t="str">
        <x:v>NDT and dimensional acceptance</x:v>
      </x:c>
      <x:c r="G4" t="str"/>
      <x:c r="H4" t="str">
        <x:v>FS</x:v>
      </x:c>
      <x:c r="I4" t="n">
        <x:v>148</x:v>
      </x:c>
      <x:c r="J4" t="n">
        <x:v>185</x:v>
      </x:c>
      <x:c r="K4" t="n">
        <x:v>38</x:v>
      </x:c>
      <x:c r="L4" t="str">
        <x:v>QAQC Manager</x:v>
      </x:c>
      <x:c r="M4" t="str">
        <x:v>joints</x:v>
      </x:c>
      <x:c r="N4"/>
      <x:c r="O4"/>
      <x:c r="P4"/>
      <x:c r="Q4" t="n">
        <x:v>0</x:v>
      </x:c>
      <x:c r="R4" t="str">
        <x:v>Not started</x:v>
      </x:c>
      <x:c r="S4" t="str">
        <x:v>Provisional</x:v>
      </x:c>
      <x:c r="T4" t="str">
        <x:v>Verify measured scope, resources and predecessor logic</x:v>
      </x:c>
    </x:row>
    <x:row r="5">
      <x:c r="A5" t="str">
        <x:v>ICG-ICP-LD-11</x:v>
      </x:c>
      <x:c r="B5" t="str">
        <x:v>ICG-ICP-LD</x:v>
      </x:c>
      <x:c r="C5" t="str">
        <x:v>Installation</x:v>
      </x:c>
      <x:c r="D5" t="str">
        <x:v>C</x:v>
      </x:c>
      <x:c r="E5" t="str">
        <x:v>Quality</x:v>
      </x:c>
      <x:c r="F5" t="str">
        <x:v>Blast, coat and preserve</x:v>
      </x:c>
      <x:c r="G5" t="str">
        <x:v>ICG-ICP-LD-10</x:v>
      </x:c>
      <x:c r="H5" t="str">
        <x:v>FS</x:v>
      </x:c>
      <x:c r="I5" t="n">
        <x:v>163</x:v>
      </x:c>
      <x:c r="J5" t="n">
        <x:v>193</x:v>
      </x:c>
      <x:c r="K5" t="n">
        <x:v>31</x:v>
      </x:c>
      <x:c r="L5" t="str">
        <x:v>QAQC Manager</x:v>
      </x:c>
      <x:c r="M5" t="str">
        <x:v>m2</x:v>
      </x:c>
      <x:c r="N5"/>
      <x:c r="O5"/>
      <x:c r="P5"/>
      <x:c r="Q5" t="n">
        <x:v>0</x:v>
      </x:c>
      <x:c r="R5" t="str">
        <x:v>Not started</x:v>
      </x:c>
      <x:c r="S5" t="str">
        <x:v>Provisional</x:v>
      </x:c>
      <x:c r="T5" t="str">
        <x:v>Verify measured scope, resources and predecessor logic</x:v>
      </x:c>
    </x:row>
    <x:row r="6">
      <x:c r="A6" t="str">
        <x:v>BHS-SLQ-10</x:v>
      </x:c>
      <x:c r="B6" t="str">
        <x:v>BHS-SLQ</x:v>
      </x:c>
      <x:c r="C6" t="str">
        <x:v>Replacement</x:v>
      </x:c>
      <x:c r="D6" t="str">
        <x:v>C</x:v>
      </x:c>
      <x:c r="E6" t="str">
        <x:v>Quality</x:v>
      </x:c>
      <x:c r="F6" t="str">
        <x:v>NDT and dimensional acceptance</x:v>
      </x:c>
      <x:c r="G6" t="str"/>
      <x:c r="H6" t="str">
        <x:v>FS</x:v>
      </x:c>
      <x:c r="I6" t="n">
        <x:v>180</x:v>
      </x:c>
      <x:c r="J6" t="n">
        <x:v>217</x:v>
      </x:c>
      <x:c r="K6" t="n">
        <x:v>38</x:v>
      </x:c>
      <x:c r="L6" t="str">
        <x:v>QAQC Manager</x:v>
      </x:c>
      <x:c r="M6" t="str">
        <x:v>joints</x:v>
      </x:c>
      <x:c r="N6"/>
      <x:c r="O6"/>
      <x:c r="P6"/>
      <x:c r="Q6" t="n">
        <x:v>0</x:v>
      </x:c>
      <x:c r="R6" t="str">
        <x:v>Not started</x:v>
      </x:c>
      <x:c r="S6" t="str">
        <x:v>Provisional</x:v>
      </x:c>
      <x:c r="T6" t="str">
        <x:v>Verify measured scope, resources and predecessor logic</x:v>
      </x:c>
    </x:row>
    <x:row r="7">
      <x:c r="A7" t="str">
        <x:v>BHS-SLQ-11</x:v>
      </x:c>
      <x:c r="B7" t="str">
        <x:v>BHS-SLQ</x:v>
      </x:c>
      <x:c r="C7" t="str">
        <x:v>Replacement</x:v>
      </x:c>
      <x:c r="D7" t="str">
        <x:v>C</x:v>
      </x:c>
      <x:c r="E7" t="str">
        <x:v>Quality</x:v>
      </x:c>
      <x:c r="F7" t="str">
        <x:v>Blast, coat and preserve</x:v>
      </x:c>
      <x:c r="G7" t="str">
        <x:v>BHS-SLQ-10</x:v>
      </x:c>
      <x:c r="H7" t="str">
        <x:v>FS</x:v>
      </x:c>
      <x:c r="I7" t="n">
        <x:v>195</x:v>
      </x:c>
      <x:c r="J7" t="n">
        <x:v>225</x:v>
      </x:c>
      <x:c r="K7" t="n">
        <x:v>31</x:v>
      </x:c>
      <x:c r="L7" t="str">
        <x:v>QAQC Manager</x:v>
      </x:c>
      <x:c r="M7" t="str">
        <x:v>m2</x:v>
      </x:c>
      <x:c r="N7"/>
      <x:c r="O7"/>
      <x:c r="P7"/>
      <x:c r="Q7" t="n">
        <x:v>0</x:v>
      </x:c>
      <x:c r="R7" t="str">
        <x:v>Not started</x:v>
      </x:c>
      <x:c r="S7" t="str">
        <x:v>Provisional</x:v>
      </x:c>
      <x:c r="T7" t="str">
        <x:v>Verify measured scope, resources and predecessor logic</x:v>
      </x:c>
    </x:row>
    <x:row r="8">
      <x:c r="A8" t="str">
        <x:v>ICW-ICG-UD-10</x:v>
      </x:c>
      <x:c r="B8" t="str">
        <x:v>ICW-ICG-UD</x:v>
      </x:c>
      <x:c r="C8" t="str">
        <x:v>Strengthening</x:v>
      </x:c>
      <x:c r="D8" t="str">
        <x:v>A</x:v>
      </x:c>
      <x:c r="E8" t="str">
        <x:v>Quality</x:v>
      </x:c>
      <x:c r="F8" t="str">
        <x:v>NDT and dimensional acceptance</x:v>
      </x:c>
      <x:c r="G8" t="str"/>
      <x:c r="H8" t="str">
        <x:v>FS</x:v>
      </x:c>
      <x:c r="I8" t="n">
        <x:v>120</x:v>
      </x:c>
      <x:c r="J8" t="n">
        <x:v>157</x:v>
      </x:c>
      <x:c r="K8" t="n">
        <x:v>38</x:v>
      </x:c>
      <x:c r="L8" t="str">
        <x:v>QAQC Manager</x:v>
      </x:c>
      <x:c r="M8" t="str">
        <x:v>joints</x:v>
      </x:c>
      <x:c r="N8"/>
      <x:c r="O8"/>
      <x:c r="P8"/>
      <x:c r="Q8" t="n">
        <x:v>0</x:v>
      </x:c>
      <x:c r="R8" t="str">
        <x:v>Not started</x:v>
      </x:c>
      <x:c r="S8" t="str">
        <x:v>Provisional</x:v>
      </x:c>
      <x:c r="T8" t="str">
        <x:v>Verify measured scope, resources and predecessor logic</x:v>
      </x:c>
    </x:row>
    <x:row r="9">
      <x:c r="A9" t="str">
        <x:v>ICW-ICG-UD-11</x:v>
      </x:c>
      <x:c r="B9" t="str">
        <x:v>ICW-ICG-UD</x:v>
      </x:c>
      <x:c r="C9" t="str">
        <x:v>Strengthening</x:v>
      </x:c>
      <x:c r="D9" t="str">
        <x:v>A</x:v>
      </x:c>
      <x:c r="E9" t="str">
        <x:v>Quality</x:v>
      </x:c>
      <x:c r="F9" t="str">
        <x:v>Blast, coat and preserve</x:v>
      </x:c>
      <x:c r="G9" t="str">
        <x:v>ICW-ICG-UD-10</x:v>
      </x:c>
      <x:c r="H9" t="str">
        <x:v>FS</x:v>
      </x:c>
      <x:c r="I9" t="n">
        <x:v>135</x:v>
      </x:c>
      <x:c r="J9" t="n">
        <x:v>165</x:v>
      </x:c>
      <x:c r="K9" t="n">
        <x:v>31</x:v>
      </x:c>
      <x:c r="L9" t="str">
        <x:v>QAQC Manager</x:v>
      </x:c>
      <x:c r="M9" t="str">
        <x:v>m2</x:v>
      </x:c>
      <x:c r="N9"/>
      <x:c r="O9"/>
      <x:c r="P9"/>
      <x:c r="Q9" t="n">
        <x:v>0</x:v>
      </x:c>
      <x:c r="R9" t="str">
        <x:v>Not started</x:v>
      </x:c>
      <x:c r="S9" t="str">
        <x:v>Provisional</x:v>
      </x:c>
      <x:c r="T9" t="str">
        <x:v>Verify measured scope, resources and predecessor logic</x:v>
      </x:c>
    </x:row>
    <x:row r="10">
      <x:c r="A10" t="str">
        <x:v>ICG-ICP-UD-10</x:v>
      </x:c>
      <x:c r="B10" t="str">
        <x:v>ICG-ICP-UD</x:v>
      </x:c>
      <x:c r="C10" t="str">
        <x:v>Strengthening</x:v>
      </x:c>
      <x:c r="D10" t="str">
        <x:v>A</x:v>
      </x:c>
      <x:c r="E10" t="str">
        <x:v>Quality</x:v>
      </x:c>
      <x:c r="F10" t="str">
        <x:v>NDT and dimensional acceptance</x:v>
      </x:c>
      <x:c r="G10" t="str"/>
      <x:c r="H10" t="str">
        <x:v>FS</x:v>
      </x:c>
      <x:c r="I10" t="n">
        <x:v>132</x:v>
      </x:c>
      <x:c r="J10" t="n">
        <x:v>169</x:v>
      </x:c>
      <x:c r="K10" t="n">
        <x:v>38</x:v>
      </x:c>
      <x:c r="L10" t="str">
        <x:v>QAQC Manager</x:v>
      </x:c>
      <x:c r="M10" t="str">
        <x:v>joints</x:v>
      </x:c>
      <x:c r="N10"/>
      <x:c r="O10"/>
      <x:c r="P10"/>
      <x:c r="Q10" t="n">
        <x:v>0</x:v>
      </x:c>
      <x:c r="R10" t="str">
        <x:v>Not started</x:v>
      </x:c>
      <x:c r="S10" t="str">
        <x:v>Provisional</x:v>
      </x:c>
      <x:c r="T10" t="str">
        <x:v>Verify measured scope, resources and predecessor logic</x:v>
      </x:c>
    </x:row>
    <x:row r="11">
      <x:c r="A11" t="str">
        <x:v>ICG-ICP-UD-11</x:v>
      </x:c>
      <x:c r="B11" t="str">
        <x:v>ICG-ICP-UD</x:v>
      </x:c>
      <x:c r="C11" t="str">
        <x:v>Strengthening</x:v>
      </x:c>
      <x:c r="D11" t="str">
        <x:v>A</x:v>
      </x:c>
      <x:c r="E11" t="str">
        <x:v>Quality</x:v>
      </x:c>
      <x:c r="F11" t="str">
        <x:v>Blast, coat and preserve</x:v>
      </x:c>
      <x:c r="G11" t="str">
        <x:v>ICG-ICP-UD-10</x:v>
      </x:c>
      <x:c r="H11" t="str">
        <x:v>FS</x:v>
      </x:c>
      <x:c r="I11" t="n">
        <x:v>147</x:v>
      </x:c>
      <x:c r="J11" t="n">
        <x:v>177</x:v>
      </x:c>
      <x:c r="K11" t="n">
        <x:v>31</x:v>
      </x:c>
      <x:c r="L11" t="str">
        <x:v>QAQC Manager</x:v>
      </x:c>
      <x:c r="M11" t="str">
        <x:v>m2</x:v>
      </x:c>
      <x:c r="N11"/>
      <x:c r="O11"/>
      <x:c r="P11"/>
      <x:c r="Q11" t="n">
        <x:v>0</x:v>
      </x:c>
      <x:c r="R11" t="str">
        <x:v>Not started</x:v>
      </x:c>
      <x:c r="S11" t="str">
        <x:v>Provisional</x:v>
      </x:c>
      <x:c r="T11" t="str">
        <x:v>Verify measured scope, resources and predecessor logic</x:v>
      </x:c>
    </x:row>
    <x:row r="12">
      <x:c r="A12" t="str">
        <x:v>SLQ-WIS-10</x:v>
      </x:c>
      <x:c r="B12" t="str">
        <x:v>SLQ-WIS</x:v>
      </x:c>
      <x:c r="C12" t="str">
        <x:v>Strengthening</x:v>
      </x:c>
      <x:c r="D12" t="str">
        <x:v>A</x:v>
      </x:c>
      <x:c r="E12" t="str">
        <x:v>Quality</x:v>
      </x:c>
      <x:c r="F12" t="str">
        <x:v>NDT and dimensional acceptance</x:v>
      </x:c>
      <x:c r="G12" t="str"/>
      <x:c r="H12" t="str">
        <x:v>FS</x:v>
      </x:c>
      <x:c r="I12" t="n">
        <x:v>144</x:v>
      </x:c>
      <x:c r="J12" t="n">
        <x:v>181</x:v>
      </x:c>
      <x:c r="K12" t="n">
        <x:v>38</x:v>
      </x:c>
      <x:c r="L12" t="str">
        <x:v>QAQC Manager</x:v>
      </x:c>
      <x:c r="M12" t="str">
        <x:v>joints</x:v>
      </x:c>
      <x:c r="N12"/>
      <x:c r="O12"/>
      <x:c r="P12"/>
      <x:c r="Q12" t="n">
        <x:v>0</x:v>
      </x:c>
      <x:c r="R12" t="str">
        <x:v>Not started</x:v>
      </x:c>
      <x:c r="S12" t="str">
        <x:v>Provisional</x:v>
      </x:c>
      <x:c r="T12" t="str">
        <x:v>Verify measured scope, resources and predecessor logic</x:v>
      </x:c>
    </x:row>
    <x:row r="13">
      <x:c r="A13" t="str">
        <x:v>SLQ-WIS-11</x:v>
      </x:c>
      <x:c r="B13" t="str">
        <x:v>SLQ-WIS</x:v>
      </x:c>
      <x:c r="C13" t="str">
        <x:v>Strengthening</x:v>
      </x:c>
      <x:c r="D13" t="str">
        <x:v>A</x:v>
      </x:c>
      <x:c r="E13" t="str">
        <x:v>Quality</x:v>
      </x:c>
      <x:c r="F13" t="str">
        <x:v>Blast, coat and preserve</x:v>
      </x:c>
      <x:c r="G13" t="str">
        <x:v>SLQ-WIS-10</x:v>
      </x:c>
      <x:c r="H13" t="str">
        <x:v>FS</x:v>
      </x:c>
      <x:c r="I13" t="n">
        <x:v>159</x:v>
      </x:c>
      <x:c r="J13" t="n">
        <x:v>189</x:v>
      </x:c>
      <x:c r="K13" t="n">
        <x:v>31</x:v>
      </x:c>
      <x:c r="L13" t="str">
        <x:v>QAQC Manager</x:v>
      </x:c>
      <x:c r="M13" t="str">
        <x:v>m2</x:v>
      </x:c>
      <x:c r="N13"/>
      <x:c r="O13"/>
      <x:c r="P13"/>
      <x:c r="Q13" t="n">
        <x:v>0</x:v>
      </x:c>
      <x:c r="R13" t="str">
        <x:v>Not started</x:v>
      </x:c>
      <x:c r="S13" t="str">
        <x:v>Provisional</x:v>
      </x:c>
      <x:c r="T13" t="str">
        <x:v>Verify measured scope, resources and predecessor logic</x:v>
      </x:c>
    </x:row>
    <x:row r="14">
      <x:c r="A14" t="str">
        <x:v>NQO-NQD-10</x:v>
      </x:c>
      <x:c r="B14" t="str">
        <x:v>NQO-NQD</x:v>
      </x:c>
      <x:c r="C14" t="str">
        <x:v>Strengthening</x:v>
      </x:c>
      <x:c r="D14" t="str">
        <x:v>B</x:v>
      </x:c>
      <x:c r="E14" t="str">
        <x:v>Quality</x:v>
      </x:c>
      <x:c r="F14" t="str">
        <x:v>NDT and dimensional acceptance</x:v>
      </x:c>
      <x:c r="G14" t="str"/>
      <x:c r="H14" t="str">
        <x:v>FS</x:v>
      </x:c>
      <x:c r="I14" t="n">
        <x:v>156</x:v>
      </x:c>
      <x:c r="J14" t="n">
        <x:v>193</x:v>
      </x:c>
      <x:c r="K14" t="n">
        <x:v>38</x:v>
      </x:c>
      <x:c r="L14" t="str">
        <x:v>QAQC Manager</x:v>
      </x:c>
      <x:c r="M14" t="str">
        <x:v>joints</x:v>
      </x:c>
      <x:c r="N14"/>
      <x:c r="O14"/>
      <x:c r="P14"/>
      <x:c r="Q14" t="n">
        <x:v>0</x:v>
      </x:c>
      <x:c r="R14" t="str">
        <x:v>Not started</x:v>
      </x:c>
      <x:c r="S14" t="str">
        <x:v>Provisional</x:v>
      </x:c>
      <x:c r="T14" t="str">
        <x:v>Verify measured scope, resources and predecessor logic</x:v>
      </x:c>
    </x:row>
    <x:row r="15">
      <x:c r="A15" t="str">
        <x:v>NQO-NQD-11</x:v>
      </x:c>
      <x:c r="B15" t="str">
        <x:v>NQO-NQD</x:v>
      </x:c>
      <x:c r="C15" t="str">
        <x:v>Strengthening</x:v>
      </x:c>
      <x:c r="D15" t="str">
        <x:v>B</x:v>
      </x:c>
      <x:c r="E15" t="str">
        <x:v>Quality</x:v>
      </x:c>
      <x:c r="F15" t="str">
        <x:v>Blast, coat and preserve</x:v>
      </x:c>
      <x:c r="G15" t="str">
        <x:v>NQO-NQD-10</x:v>
      </x:c>
      <x:c r="H15" t="str">
        <x:v>FS</x:v>
      </x:c>
      <x:c r="I15" t="n">
        <x:v>171</x:v>
      </x:c>
      <x:c r="J15" t="n">
        <x:v>201</x:v>
      </x:c>
      <x:c r="K15" t="n">
        <x:v>31</x:v>
      </x:c>
      <x:c r="L15" t="str">
        <x:v>QAQC Manager</x:v>
      </x:c>
      <x:c r="M15" t="str">
        <x:v>m2</x:v>
      </x:c>
      <x:c r="N15"/>
      <x:c r="O15"/>
      <x:c r="P15"/>
      <x:c r="Q15" t="n">
        <x:v>0</x:v>
      </x:c>
      <x:c r="R15" t="str">
        <x:v>Not started</x:v>
      </x:c>
      <x:c r="S15" t="str">
        <x:v>Provisional</x:v>
      </x:c>
      <x:c r="T15" t="str">
        <x:v>Verify measured scope, resources and predecessor logic</x:v>
      </x:c>
    </x:row>
    <x:row r="16">
      <x:c r="A16" t="str">
        <x:v>WIN-NC-10</x:v>
      </x:c>
      <x:c r="B16" t="str">
        <x:v>WIN-NC</x:v>
      </x:c>
      <x:c r="C16" t="str">
        <x:v>Strengthening</x:v>
      </x:c>
      <x:c r="D16" t="str">
        <x:v>B</x:v>
      </x:c>
      <x:c r="E16" t="str">
        <x:v>Quality</x:v>
      </x:c>
      <x:c r="F16" t="str">
        <x:v>NDT and dimensional acceptance</x:v>
      </x:c>
      <x:c r="G16" t="str"/>
      <x:c r="H16" t="str">
        <x:v>FS</x:v>
      </x:c>
      <x:c r="I16" t="n">
        <x:v>168</x:v>
      </x:c>
      <x:c r="J16" t="n">
        <x:v>205</x:v>
      </x:c>
      <x:c r="K16" t="n">
        <x:v>38</x:v>
      </x:c>
      <x:c r="L16" t="str">
        <x:v>QAQC Manager</x:v>
      </x:c>
      <x:c r="M16" t="str">
        <x:v>joints</x:v>
      </x:c>
      <x:c r="N16"/>
      <x:c r="O16"/>
      <x:c r="P16"/>
      <x:c r="Q16" t="n">
        <x:v>0</x:v>
      </x:c>
      <x:c r="R16" t="str">
        <x:v>Not started</x:v>
      </x:c>
      <x:c r="S16" t="str">
        <x:v>Provisional</x:v>
      </x:c>
      <x:c r="T16" t="str">
        <x:v>Verify measured scope, resources and predecessor logic</x:v>
      </x:c>
    </x:row>
    <x:row r="17">
      <x:c r="A17" t="str">
        <x:v>WIN-NC-11</x:v>
      </x:c>
      <x:c r="B17" t="str">
        <x:v>WIN-NC</x:v>
      </x:c>
      <x:c r="C17" t="str">
        <x:v>Strengthening</x:v>
      </x:c>
      <x:c r="D17" t="str">
        <x:v>B</x:v>
      </x:c>
      <x:c r="E17" t="str">
        <x:v>Quality</x:v>
      </x:c>
      <x:c r="F17" t="str">
        <x:v>Blast, coat and preserve</x:v>
      </x:c>
      <x:c r="G17" t="str">
        <x:v>WIN-NC-10</x:v>
      </x:c>
      <x:c r="H17" t="str">
        <x:v>FS</x:v>
      </x:c>
      <x:c r="I17" t="n">
        <x:v>183</x:v>
      </x:c>
      <x:c r="J17" t="n">
        <x:v>213</x:v>
      </x:c>
      <x:c r="K17" t="n">
        <x:v>31</x:v>
      </x:c>
      <x:c r="L17" t="str">
        <x:v>QAQC Manager</x:v>
      </x:c>
      <x:c r="M17" t="str">
        <x:v>m2</x:v>
      </x:c>
      <x:c r="N17"/>
      <x:c r="O17"/>
      <x:c r="P17"/>
      <x:c r="Q17" t="n">
        <x:v>0</x:v>
      </x:c>
      <x:c r="R17" t="str">
        <x:v>Not started</x:v>
      </x:c>
      <x:c r="S17" t="str">
        <x:v>Provisional</x:v>
      </x:c>
      <x:c r="T17" t="str">
        <x:v>Verify measured scope, resources and predecessor logic</x:v>
      </x:c>
    </x:row>
    <x:row r="18">
      <x:c r="A18" t="str">
        <x:v>SCA-SC1-10</x:v>
      </x:c>
      <x:c r="B18" t="str">
        <x:v>SCA-SC1</x:v>
      </x:c>
      <x:c r="C18" t="str">
        <x:v>Strengthening</x:v>
      </x:c>
      <x:c r="D18" t="str">
        <x:v>B</x:v>
      </x:c>
      <x:c r="E18" t="str">
        <x:v>Quality</x:v>
      </x:c>
      <x:c r="F18" t="str">
        <x:v>NDT and dimensional acceptance</x:v>
      </x:c>
      <x:c r="G18" t="str"/>
      <x:c r="H18" t="str">
        <x:v>FS</x:v>
      </x:c>
      <x:c r="I18" t="n">
        <x:v>180</x:v>
      </x:c>
      <x:c r="J18" t="n">
        <x:v>217</x:v>
      </x:c>
      <x:c r="K18" t="n">
        <x:v>38</x:v>
      </x:c>
      <x:c r="L18" t="str">
        <x:v>QAQC Manager</x:v>
      </x:c>
      <x:c r="M18" t="str">
        <x:v>joints</x:v>
      </x:c>
      <x:c r="N18"/>
      <x:c r="O18"/>
      <x:c r="P18"/>
      <x:c r="Q18" t="n">
        <x:v>0</x:v>
      </x:c>
      <x:c r="R18" t="str">
        <x:v>Not started</x:v>
      </x:c>
      <x:c r="S18" t="str">
        <x:v>Provisional</x:v>
      </x:c>
      <x:c r="T18" t="str">
        <x:v>Verify measured scope, resources and predecessor logic</x:v>
      </x:c>
    </x:row>
    <x:row r="19">
      <x:c r="A19" t="str">
        <x:v>SCA-SC1-11</x:v>
      </x:c>
      <x:c r="B19" t="str">
        <x:v>SCA-SC1</x:v>
      </x:c>
      <x:c r="C19" t="str">
        <x:v>Strengthening</x:v>
      </x:c>
      <x:c r="D19" t="str">
        <x:v>B</x:v>
      </x:c>
      <x:c r="E19" t="str">
        <x:v>Quality</x:v>
      </x:c>
      <x:c r="F19" t="str">
        <x:v>Blast, coat and preserve</x:v>
      </x:c>
      <x:c r="G19" t="str">
        <x:v>SCA-SC1-10</x:v>
      </x:c>
      <x:c r="H19" t="str">
        <x:v>FS</x:v>
      </x:c>
      <x:c r="I19" t="n">
        <x:v>195</x:v>
      </x:c>
      <x:c r="J19" t="n">
        <x:v>225</x:v>
      </x:c>
      <x:c r="K19" t="n">
        <x:v>31</x:v>
      </x:c>
      <x:c r="L19" t="str">
        <x:v>QAQC Manager</x:v>
      </x:c>
      <x:c r="M19" t="str">
        <x:v>m2</x:v>
      </x:c>
      <x:c r="N19"/>
      <x:c r="O19"/>
      <x:c r="P19"/>
      <x:c r="Q19" t="n">
        <x:v>0</x:v>
      </x:c>
      <x:c r="R19" t="str">
        <x:v>Not started</x:v>
      </x:c>
      <x:c r="S19" t="str">
        <x:v>Provisional</x:v>
      </x:c>
      <x:c r="T19" t="str">
        <x:v>Verify measured scope, resources and predecessor logic</x:v>
      </x:c>
    </x:row>
    <x:row r="20">
      <x:c r="A20" t="str">
        <x:v>SCA-SCF-10</x:v>
      </x:c>
      <x:c r="B20" t="str">
        <x:v>SCA-SCF</x:v>
      </x:c>
      <x:c r="C20" t="str">
        <x:v>Strengthening</x:v>
      </x:c>
      <x:c r="D20" t="str">
        <x:v>B</x:v>
      </x:c>
      <x:c r="E20" t="str">
        <x:v>Quality</x:v>
      </x:c>
      <x:c r="F20" t="str">
        <x:v>NDT and dimensional acceptance</x:v>
      </x:c>
      <x:c r="G20" t="str"/>
      <x:c r="H20" t="str">
        <x:v>FS</x:v>
      </x:c>
      <x:c r="I20" t="n">
        <x:v>192</x:v>
      </x:c>
      <x:c r="J20" t="n">
        <x:v>229</x:v>
      </x:c>
      <x:c r="K20" t="n">
        <x:v>38</x:v>
      </x:c>
      <x:c r="L20" t="str">
        <x:v>QAQC Manager</x:v>
      </x:c>
      <x:c r="M20" t="str">
        <x:v>joints</x:v>
      </x:c>
      <x:c r="N20"/>
      <x:c r="O20"/>
      <x:c r="P20"/>
      <x:c r="Q20" t="n">
        <x:v>0</x:v>
      </x:c>
      <x:c r="R20" t="str">
        <x:v>Not started</x:v>
      </x:c>
      <x:c r="S20" t="str">
        <x:v>Provisional</x:v>
      </x:c>
      <x:c r="T20" t="str">
        <x:v>Verify measured scope, resources and predecessor logic</x:v>
      </x:c>
    </x:row>
    <x:row r="21">
      <x:c r="A21" t="str">
        <x:v>SCA-SCF-11</x:v>
      </x:c>
      <x:c r="B21" t="str">
        <x:v>SCA-SCF</x:v>
      </x:c>
      <x:c r="C21" t="str">
        <x:v>Strengthening</x:v>
      </x:c>
      <x:c r="D21" t="str">
        <x:v>B</x:v>
      </x:c>
      <x:c r="E21" t="str">
        <x:v>Quality</x:v>
      </x:c>
      <x:c r="F21" t="str">
        <x:v>Blast, coat and preserve</x:v>
      </x:c>
      <x:c r="G21" t="str">
        <x:v>SCA-SCF-10</x:v>
      </x:c>
      <x:c r="H21" t="str">
        <x:v>FS</x:v>
      </x:c>
      <x:c r="I21" t="n">
        <x:v>207</x:v>
      </x:c>
      <x:c r="J21" t="n">
        <x:v>237</x:v>
      </x:c>
      <x:c r="K21" t="n">
        <x:v>31</x:v>
      </x:c>
      <x:c r="L21" t="str">
        <x:v>QAQC Manager</x:v>
      </x:c>
      <x:c r="M21" t="str">
        <x:v>m2</x:v>
      </x:c>
      <x:c r="N21"/>
      <x:c r="O21"/>
      <x:c r="P21"/>
      <x:c r="Q21" t="n">
        <x:v>0</x:v>
      </x:c>
      <x:c r="R21" t="str">
        <x:v>Not started</x:v>
      </x:c>
      <x:c r="S21" t="str">
        <x:v>Provisional</x:v>
      </x:c>
      <x:c r="T21" t="str">
        <x:v>Verify measured scope, resources and predecessor logic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7" hidden="0" customWidth="1"/>
    <x:col min="4" max="4" width="10" hidden="0" customWidth="1"/>
    <x:col min="5" max="5" width="19" hidden="0" customWidth="1"/>
    <x:col min="6" max="6" width="44" hidden="0" customWidth="1"/>
    <x:col min="7" max="7" width="25" hidden="0" customWidth="1"/>
    <x:col min="8" max="8" width="10" hidden="0" customWidth="1"/>
    <x:col min="9" max="9" width="14" hidden="0" customWidth="1"/>
    <x:col min="10" max="10" width="14" hidden="0" customWidth="1"/>
    <x:col min="11" max="11" width="16" hidden="0" customWidth="1"/>
    <x:col min="12" max="12" width="26" hidden="0" customWidth="1"/>
    <x:col min="13" max="13" width="17" hidden="0" customWidth="1"/>
    <x:col min="14" max="14" width="16" hidden="0" customWidth="1"/>
    <x:col min="15" max="15" width="16" hidden="0" customWidth="1"/>
    <x:col min="16" max="16" width="16" hidden="0" customWidth="1"/>
    <x:col min="17" max="17" width="15" hidden="0" customWidth="1"/>
    <x:col min="18" max="18" width="18" hidden="0" customWidth="1"/>
    <x:col min="19" max="19" width="17" hidden="0" customWidth="1"/>
    <x:col min="20" max="20" width="65" hidden="0" customWidth="1"/>
  </x:cols>
  <x:sheetData>
    <x:row r="1" ht="30" customHeight="1">
      <x:c r="A1" s="4" t="str">
        <x:v>Activity ID</x:v>
      </x:c>
      <x:c r="B1" s="4" t="str">
        <x:v>Bridge ID</x:v>
      </x:c>
      <x:c r="C1" s="4" t="str">
        <x:v>Work Type</x:v>
      </x:c>
      <x:c r="D1" s="4" t="str">
        <x:v>Team</x:v>
      </x:c>
      <x:c r="E1" s="4" t="str">
        <x:v>Discipline</x:v>
      </x:c>
      <x:c r="F1" s="4" t="str">
        <x:v>Activity</x:v>
      </x:c>
      <x:c r="G1" s="4" t="str">
        <x:v>Predecessor ID</x:v>
      </x:c>
      <x:c r="H1" s="4" t="str">
        <x:v>Link</x:v>
      </x:c>
      <x:c r="I1" s="4" t="str">
        <x:v>Start Day</x:v>
      </x:c>
      <x:c r="J1" s="4" t="str">
        <x:v>Finish Day</x:v>
      </x:c>
      <x:c r="K1" s="4" t="str">
        <x:v>Duration Days</x:v>
      </x:c>
      <x:c r="L1" s="4" t="str">
        <x:v>Responsible</x:v>
      </x:c>
      <x:c r="M1" s="4" t="str">
        <x:v>Unit</x:v>
      </x:c>
      <x:c r="N1" s="4" t="str">
        <x:v>Budget Qty</x:v>
      </x:c>
      <x:c r="O1" s="4" t="str">
        <x:v>Actual Qty</x:v>
      </x:c>
      <x:c r="P1" s="4" t="str">
        <x:v>Budget MH</x:v>
      </x:c>
      <x:c r="Q1" s="4" t="str">
        <x:v>Progress %</x:v>
      </x:c>
      <x:c r="R1" s="4" t="str">
        <x:v>Status</x:v>
      </x:c>
      <x:c r="S1" s="4" t="str">
        <x:v>Basis</x:v>
      </x:c>
      <x:c r="T1" s="4" t="str">
        <x:v>Constraints / Notes</x:v>
      </x:c>
    </x:row>
    <x:row r="2">
      <x:c r="A2" t="str">
        <x:v>ICW-ICG-LD-12</x:v>
      </x:c>
      <x:c r="B2" t="str">
        <x:v>ICW-ICG-LD</x:v>
      </x:c>
      <x:c r="C2" t="str">
        <x:v>Installation</x:v>
      </x:c>
      <x:c r="D2" t="str">
        <x:v>C</x:v>
      </x:c>
      <x:c r="E2" t="str">
        <x:v>Logistics</x:v>
      </x:c>
      <x:c r="F2" t="str">
        <x:v>Module weight COG and loadout engineering</x:v>
      </x:c>
      <x:c r="G2" t="str"/>
      <x:c r="H2" t="str">
        <x:v>FS</x:v>
      </x:c>
      <x:c r="I2" t="n">
        <x:v>90</x:v>
      </x:c>
      <x:c r="J2" t="n">
        <x:v>162</x:v>
      </x:c>
      <x:c r="K2" t="n">
        <x:v>73</x:v>
      </x:c>
      <x:c r="L2" t="str">
        <x:v>Marine Manager</x:v>
      </x:c>
      <x:c r="M2" t="str">
        <x:v>modules</x:v>
      </x:c>
      <x:c r="N2"/>
      <x:c r="O2"/>
      <x:c r="P2"/>
      <x:c r="Q2" t="n">
        <x:v>0</x:v>
      </x:c>
      <x:c r="R2" t="str">
        <x:v>Not started</x:v>
      </x:c>
      <x:c r="S2" t="str">
        <x:v>Provisional</x:v>
      </x:c>
      <x:c r="T2" t="str">
        <x:v>Verify measured scope, resources and predecessor logic</x:v>
      </x:c>
    </x:row>
    <x:row r="3">
      <x:c r="A3" t="str">
        <x:v>ICW-ICG-LD-13</x:v>
      </x:c>
      <x:c r="B3" t="str">
        <x:v>ICW-ICG-LD</x:v>
      </x:c>
      <x:c r="C3" t="str">
        <x:v>Installation</x:v>
      </x:c>
      <x:c r="D3" t="str">
        <x:v>C</x:v>
      </x:c>
      <x:c r="E3" t="str">
        <x:v>Logistics</x:v>
      </x:c>
      <x:c r="F3" t="str">
        <x:v>Cargo manifest and shore base transfer</x:v>
      </x:c>
      <x:c r="G3" t="str">
        <x:v>ICW-ICG-LD-12</x:v>
      </x:c>
      <x:c r="H3" t="str">
        <x:v>FS</x:v>
      </x:c>
      <x:c r="I3" t="n">
        <x:v>135</x:v>
      </x:c>
      <x:c r="J3" t="n">
        <x:v>175</x:v>
      </x:c>
      <x:c r="K3" t="n">
        <x:v>41</x:v>
      </x:c>
      <x:c r="L3" t="str">
        <x:v>Logistics Manager</x:v>
      </x:c>
      <x:c r="M3" t="str">
        <x:v>shipments</x:v>
      </x:c>
      <x:c r="N3"/>
      <x:c r="O3"/>
      <x:c r="P3"/>
      <x:c r="Q3" t="n">
        <x:v>0</x:v>
      </x:c>
      <x:c r="R3" t="str">
        <x:v>Not started</x:v>
      </x:c>
      <x:c r="S3" t="str">
        <x:v>Provisional</x:v>
      </x:c>
      <x:c r="T3" t="str">
        <x:v>Verify measured scope, resources and predecessor logic</x:v>
      </x:c>
    </x:row>
    <x:row r="4">
      <x:c r="A4" t="str">
        <x:v>ICG-ICP-LD-12</x:v>
      </x:c>
      <x:c r="B4" t="str">
        <x:v>ICG-ICP-LD</x:v>
      </x:c>
      <x:c r="C4" t="str">
        <x:v>Installation</x:v>
      </x:c>
      <x:c r="D4" t="str">
        <x:v>C</x:v>
      </x:c>
      <x:c r="E4" t="str">
        <x:v>Logistics</x:v>
      </x:c>
      <x:c r="F4" t="str">
        <x:v>Module weight COG and loadout engineering</x:v>
      </x:c>
      <x:c r="G4" t="str"/>
      <x:c r="H4" t="str">
        <x:v>FS</x:v>
      </x:c>
      <x:c r="I4" t="n">
        <x:v>118</x:v>
      </x:c>
      <x:c r="J4" t="n">
        <x:v>190</x:v>
      </x:c>
      <x:c r="K4" t="n">
        <x:v>73</x:v>
      </x:c>
      <x:c r="L4" t="str">
        <x:v>Marine Manager</x:v>
      </x:c>
      <x:c r="M4" t="str">
        <x:v>modules</x:v>
      </x:c>
      <x:c r="N4"/>
      <x:c r="O4"/>
      <x:c r="P4"/>
      <x:c r="Q4" t="n">
        <x:v>0</x:v>
      </x:c>
      <x:c r="R4" t="str">
        <x:v>Not started</x:v>
      </x:c>
      <x:c r="S4" t="str">
        <x:v>Provisional</x:v>
      </x:c>
      <x:c r="T4" t="str">
        <x:v>Verify measured scope, resources and predecessor logic</x:v>
      </x:c>
    </x:row>
    <x:row r="5">
      <x:c r="A5" t="str">
        <x:v>ICG-ICP-LD-13</x:v>
      </x:c>
      <x:c r="B5" t="str">
        <x:v>ICG-ICP-LD</x:v>
      </x:c>
      <x:c r="C5" t="str">
        <x:v>Installation</x:v>
      </x:c>
      <x:c r="D5" t="str">
        <x:v>C</x:v>
      </x:c>
      <x:c r="E5" t="str">
        <x:v>Logistics</x:v>
      </x:c>
      <x:c r="F5" t="str">
        <x:v>Cargo manifest and shore base transfer</x:v>
      </x:c>
      <x:c r="G5" t="str">
        <x:v>ICG-ICP-LD-12</x:v>
      </x:c>
      <x:c r="H5" t="str">
        <x:v>FS</x:v>
      </x:c>
      <x:c r="I5" t="n">
        <x:v>163</x:v>
      </x:c>
      <x:c r="J5" t="n">
        <x:v>203</x:v>
      </x:c>
      <x:c r="K5" t="n">
        <x:v>41</x:v>
      </x:c>
      <x:c r="L5" t="str">
        <x:v>Logistics Manager</x:v>
      </x:c>
      <x:c r="M5" t="str">
        <x:v>shipments</x:v>
      </x:c>
      <x:c r="N5"/>
      <x:c r="O5"/>
      <x:c r="P5"/>
      <x:c r="Q5" t="n">
        <x:v>0</x:v>
      </x:c>
      <x:c r="R5" t="str">
        <x:v>Not started</x:v>
      </x:c>
      <x:c r="S5" t="str">
        <x:v>Provisional</x:v>
      </x:c>
      <x:c r="T5" t="str">
        <x:v>Verify measured scope, resources and predecessor logic</x:v>
      </x:c>
    </x:row>
    <x:row r="6">
      <x:c r="A6" t="str">
        <x:v>BHS-SLQ-12</x:v>
      </x:c>
      <x:c r="B6" t="str">
        <x:v>BHS-SLQ</x:v>
      </x:c>
      <x:c r="C6" t="str">
        <x:v>Replacement</x:v>
      </x:c>
      <x:c r="D6" t="str">
        <x:v>C</x:v>
      </x:c>
      <x:c r="E6" t="str">
        <x:v>Logistics</x:v>
      </x:c>
      <x:c r="F6" t="str">
        <x:v>Module weight COG and loadout engineering</x:v>
      </x:c>
      <x:c r="G6" t="str"/>
      <x:c r="H6" t="str">
        <x:v>FS</x:v>
      </x:c>
      <x:c r="I6" t="n">
        <x:v>150</x:v>
      </x:c>
      <x:c r="J6" t="n">
        <x:v>222</x:v>
      </x:c>
      <x:c r="K6" t="n">
        <x:v>73</x:v>
      </x:c>
      <x:c r="L6" t="str">
        <x:v>Marine Manager</x:v>
      </x:c>
      <x:c r="M6" t="str">
        <x:v>modules</x:v>
      </x:c>
      <x:c r="N6"/>
      <x:c r="O6"/>
      <x:c r="P6"/>
      <x:c r="Q6" t="n">
        <x:v>0</x:v>
      </x:c>
      <x:c r="R6" t="str">
        <x:v>Not started</x:v>
      </x:c>
      <x:c r="S6" t="str">
        <x:v>Provisional</x:v>
      </x:c>
      <x:c r="T6" t="str">
        <x:v>Verify measured scope, resources and predecessor logic</x:v>
      </x:c>
    </x:row>
    <x:row r="7">
      <x:c r="A7" t="str">
        <x:v>BHS-SLQ-13</x:v>
      </x:c>
      <x:c r="B7" t="str">
        <x:v>BHS-SLQ</x:v>
      </x:c>
      <x:c r="C7" t="str">
        <x:v>Replacement</x:v>
      </x:c>
      <x:c r="D7" t="str">
        <x:v>C</x:v>
      </x:c>
      <x:c r="E7" t="str">
        <x:v>Logistics</x:v>
      </x:c>
      <x:c r="F7" t="str">
        <x:v>Cargo manifest and shore base transfer</x:v>
      </x:c>
      <x:c r="G7" t="str">
        <x:v>BHS-SLQ-12</x:v>
      </x:c>
      <x:c r="H7" t="str">
        <x:v>FS</x:v>
      </x:c>
      <x:c r="I7" t="n">
        <x:v>195</x:v>
      </x:c>
      <x:c r="J7" t="n">
        <x:v>235</x:v>
      </x:c>
      <x:c r="K7" t="n">
        <x:v>41</x:v>
      </x:c>
      <x:c r="L7" t="str">
        <x:v>Logistics Manager</x:v>
      </x:c>
      <x:c r="M7" t="str">
        <x:v>shipments</x:v>
      </x:c>
      <x:c r="N7"/>
      <x:c r="O7"/>
      <x:c r="P7"/>
      <x:c r="Q7" t="n">
        <x:v>0</x:v>
      </x:c>
      <x:c r="R7" t="str">
        <x:v>Not started</x:v>
      </x:c>
      <x:c r="S7" t="str">
        <x:v>Provisional</x:v>
      </x:c>
      <x:c r="T7" t="str">
        <x:v>Verify measured scope, resources and predecessor logic</x:v>
      </x:c>
    </x:row>
    <x:row r="8">
      <x:c r="A8" t="str">
        <x:v>ICW-ICG-UD-13</x:v>
      </x:c>
      <x:c r="B8" t="str">
        <x:v>ICW-ICG-UD</x:v>
      </x:c>
      <x:c r="C8" t="str">
        <x:v>Strengthening</x:v>
      </x:c>
      <x:c r="D8" t="str">
        <x:v>A</x:v>
      </x:c>
      <x:c r="E8" t="str">
        <x:v>Logistics</x:v>
      </x:c>
      <x:c r="F8" t="str">
        <x:v>Cargo manifest and shore base transfer</x:v>
      </x:c>
      <x:c r="G8" t="str"/>
      <x:c r="H8" t="str">
        <x:v>FS</x:v>
      </x:c>
      <x:c r="I8" t="n">
        <x:v>135</x:v>
      </x:c>
      <x:c r="J8" t="n">
        <x:v>175</x:v>
      </x:c>
      <x:c r="K8" t="n">
        <x:v>41</x:v>
      </x:c>
      <x:c r="L8" t="str">
        <x:v>Logistics Manager</x:v>
      </x:c>
      <x:c r="M8" t="str">
        <x:v>shipments</x:v>
      </x:c>
      <x:c r="N8"/>
      <x:c r="O8"/>
      <x:c r="P8"/>
      <x:c r="Q8" t="n">
        <x:v>0</x:v>
      </x:c>
      <x:c r="R8" t="str">
        <x:v>Not started</x:v>
      </x:c>
      <x:c r="S8" t="str">
        <x:v>Provisional</x:v>
      </x:c>
      <x:c r="T8" t="str">
        <x:v>Verify measured scope, resources and predecessor logic</x:v>
      </x:c>
    </x:row>
    <x:row r="9">
      <x:c r="A9" t="str">
        <x:v>ICG-ICP-UD-13</x:v>
      </x:c>
      <x:c r="B9" t="str">
        <x:v>ICG-ICP-UD</x:v>
      </x:c>
      <x:c r="C9" t="str">
        <x:v>Strengthening</x:v>
      </x:c>
      <x:c r="D9" t="str">
        <x:v>A</x:v>
      </x:c>
      <x:c r="E9" t="str">
        <x:v>Logistics</x:v>
      </x:c>
      <x:c r="F9" t="str">
        <x:v>Cargo manifest and shore base transfer</x:v>
      </x:c>
      <x:c r="G9" t="str"/>
      <x:c r="H9" t="str">
        <x:v>FS</x:v>
      </x:c>
      <x:c r="I9" t="n">
        <x:v>147</x:v>
      </x:c>
      <x:c r="J9" t="n">
        <x:v>187</x:v>
      </x:c>
      <x:c r="K9" t="n">
        <x:v>41</x:v>
      </x:c>
      <x:c r="L9" t="str">
        <x:v>Logistics Manager</x:v>
      </x:c>
      <x:c r="M9" t="str">
        <x:v>shipments</x:v>
      </x:c>
      <x:c r="N9"/>
      <x:c r="O9"/>
      <x:c r="P9"/>
      <x:c r="Q9" t="n">
        <x:v>0</x:v>
      </x:c>
      <x:c r="R9" t="str">
        <x:v>Not started</x:v>
      </x:c>
      <x:c r="S9" t="str">
        <x:v>Provisional</x:v>
      </x:c>
      <x:c r="T9" t="str">
        <x:v>Verify measured scope, resources and predecessor logic</x:v>
      </x:c>
    </x:row>
    <x:row r="10">
      <x:c r="A10" t="str">
        <x:v>SLQ-WIS-13</x:v>
      </x:c>
      <x:c r="B10" t="str">
        <x:v>SLQ-WIS</x:v>
      </x:c>
      <x:c r="C10" t="str">
        <x:v>Strengthening</x:v>
      </x:c>
      <x:c r="D10" t="str">
        <x:v>A</x:v>
      </x:c>
      <x:c r="E10" t="str">
        <x:v>Logistics</x:v>
      </x:c>
      <x:c r="F10" t="str">
        <x:v>Cargo manifest and shore base transfer</x:v>
      </x:c>
      <x:c r="G10" t="str"/>
      <x:c r="H10" t="str">
        <x:v>FS</x:v>
      </x:c>
      <x:c r="I10" t="n">
        <x:v>159</x:v>
      </x:c>
      <x:c r="J10" t="n">
        <x:v>199</x:v>
      </x:c>
      <x:c r="K10" t="n">
        <x:v>41</x:v>
      </x:c>
      <x:c r="L10" t="str">
        <x:v>Logistics Manager</x:v>
      </x:c>
      <x:c r="M10" t="str">
        <x:v>shipments</x:v>
      </x:c>
      <x:c r="N10"/>
      <x:c r="O10"/>
      <x:c r="P10"/>
      <x:c r="Q10" t="n">
        <x:v>0</x:v>
      </x:c>
      <x:c r="R10" t="str">
        <x:v>Not started</x:v>
      </x:c>
      <x:c r="S10" t="str">
        <x:v>Provisional</x:v>
      </x:c>
      <x:c r="T10" t="str">
        <x:v>Verify measured scope, resources and predecessor logic</x:v>
      </x:c>
    </x:row>
    <x:row r="11">
      <x:c r="A11" t="str">
        <x:v>NQO-NQD-13</x:v>
      </x:c>
      <x:c r="B11" t="str">
        <x:v>NQO-NQD</x:v>
      </x:c>
      <x:c r="C11" t="str">
        <x:v>Strengthening</x:v>
      </x:c>
      <x:c r="D11" t="str">
        <x:v>B</x:v>
      </x:c>
      <x:c r="E11" t="str">
        <x:v>Logistics</x:v>
      </x:c>
      <x:c r="F11" t="str">
        <x:v>Cargo manifest and shore base transfer</x:v>
      </x:c>
      <x:c r="G11" t="str"/>
      <x:c r="H11" t="str">
        <x:v>FS</x:v>
      </x:c>
      <x:c r="I11" t="n">
        <x:v>171</x:v>
      </x:c>
      <x:c r="J11" t="n">
        <x:v>211</x:v>
      </x:c>
      <x:c r="K11" t="n">
        <x:v>41</x:v>
      </x:c>
      <x:c r="L11" t="str">
        <x:v>Logistics Manager</x:v>
      </x:c>
      <x:c r="M11" t="str">
        <x:v>shipments</x:v>
      </x:c>
      <x:c r="N11"/>
      <x:c r="O11"/>
      <x:c r="P11"/>
      <x:c r="Q11" t="n">
        <x:v>0</x:v>
      </x:c>
      <x:c r="R11" t="str">
        <x:v>Not started</x:v>
      </x:c>
      <x:c r="S11" t="str">
        <x:v>Provisional</x:v>
      </x:c>
      <x:c r="T11" t="str">
        <x:v>Verify measured scope, resources and predecessor logic</x:v>
      </x:c>
    </x:row>
    <x:row r="12">
      <x:c r="A12" t="str">
        <x:v>WIN-NC-13</x:v>
      </x:c>
      <x:c r="B12" t="str">
        <x:v>WIN-NC</x:v>
      </x:c>
      <x:c r="C12" t="str">
        <x:v>Strengthening</x:v>
      </x:c>
      <x:c r="D12" t="str">
        <x:v>B</x:v>
      </x:c>
      <x:c r="E12" t="str">
        <x:v>Logistics</x:v>
      </x:c>
      <x:c r="F12" t="str">
        <x:v>Cargo manifest and shore base transfer</x:v>
      </x:c>
      <x:c r="G12" t="str"/>
      <x:c r="H12" t="str">
        <x:v>FS</x:v>
      </x:c>
      <x:c r="I12" t="n">
        <x:v>183</x:v>
      </x:c>
      <x:c r="J12" t="n">
        <x:v>223</x:v>
      </x:c>
      <x:c r="K12" t="n">
        <x:v>41</x:v>
      </x:c>
      <x:c r="L12" t="str">
        <x:v>Logistics Manager</x:v>
      </x:c>
      <x:c r="M12" t="str">
        <x:v>shipments</x:v>
      </x:c>
      <x:c r="N12"/>
      <x:c r="O12"/>
      <x:c r="P12"/>
      <x:c r="Q12" t="n">
        <x:v>0</x:v>
      </x:c>
      <x:c r="R12" t="str">
        <x:v>Not started</x:v>
      </x:c>
      <x:c r="S12" t="str">
        <x:v>Provisional</x:v>
      </x:c>
      <x:c r="T12" t="str">
        <x:v>Verify measured scope, resources and predecessor logic</x:v>
      </x:c>
    </x:row>
    <x:row r="13">
      <x:c r="A13" t="str">
        <x:v>SCA-SC1-13</x:v>
      </x:c>
      <x:c r="B13" t="str">
        <x:v>SCA-SC1</x:v>
      </x:c>
      <x:c r="C13" t="str">
        <x:v>Strengthening</x:v>
      </x:c>
      <x:c r="D13" t="str">
        <x:v>B</x:v>
      </x:c>
      <x:c r="E13" t="str">
        <x:v>Logistics</x:v>
      </x:c>
      <x:c r="F13" t="str">
        <x:v>Cargo manifest and shore base transfer</x:v>
      </x:c>
      <x:c r="G13" t="str"/>
      <x:c r="H13" t="str">
        <x:v>FS</x:v>
      </x:c>
      <x:c r="I13" t="n">
        <x:v>195</x:v>
      </x:c>
      <x:c r="J13" t="n">
        <x:v>235</x:v>
      </x:c>
      <x:c r="K13" t="n">
        <x:v>41</x:v>
      </x:c>
      <x:c r="L13" t="str">
        <x:v>Logistics Manager</x:v>
      </x:c>
      <x:c r="M13" t="str">
        <x:v>shipments</x:v>
      </x:c>
      <x:c r="N13"/>
      <x:c r="O13"/>
      <x:c r="P13"/>
      <x:c r="Q13" t="n">
        <x:v>0</x:v>
      </x:c>
      <x:c r="R13" t="str">
        <x:v>Not started</x:v>
      </x:c>
      <x:c r="S13" t="str">
        <x:v>Provisional</x:v>
      </x:c>
      <x:c r="T13" t="str">
        <x:v>Verify measured scope, resources and predecessor logic</x:v>
      </x:c>
    </x:row>
    <x:row r="14">
      <x:c r="A14" t="str">
        <x:v>SCA-SCF-13</x:v>
      </x:c>
      <x:c r="B14" t="str">
        <x:v>SCA-SCF</x:v>
      </x:c>
      <x:c r="C14" t="str">
        <x:v>Strengthening</x:v>
      </x:c>
      <x:c r="D14" t="str">
        <x:v>B</x:v>
      </x:c>
      <x:c r="E14" t="str">
        <x:v>Logistics</x:v>
      </x:c>
      <x:c r="F14" t="str">
        <x:v>Cargo manifest and shore base transfer</x:v>
      </x:c>
      <x:c r="G14" t="str"/>
      <x:c r="H14" t="str">
        <x:v>FS</x:v>
      </x:c>
      <x:c r="I14" t="n">
        <x:v>207</x:v>
      </x:c>
      <x:c r="J14" t="n">
        <x:v>247</x:v>
      </x:c>
      <x:c r="K14" t="n">
        <x:v>41</x:v>
      </x:c>
      <x:c r="L14" t="str">
        <x:v>Logistics Manager</x:v>
      </x:c>
      <x:c r="M14" t="str">
        <x:v>shipments</x:v>
      </x:c>
      <x:c r="N14"/>
      <x:c r="O14"/>
      <x:c r="P14"/>
      <x:c r="Q14" t="n">
        <x:v>0</x:v>
      </x:c>
      <x:c r="R14" t="str">
        <x:v>Not started</x:v>
      </x:c>
      <x:c r="S14" t="str">
        <x:v>Provisional</x:v>
      </x:c>
      <x:c r="T14" t="str">
        <x:v>Verify measured scope, resources and predecessor logic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7" hidden="0" customWidth="1"/>
    <x:col min="4" max="4" width="10" hidden="0" customWidth="1"/>
    <x:col min="5" max="5" width="19" hidden="0" customWidth="1"/>
    <x:col min="6" max="6" width="44" hidden="0" customWidth="1"/>
    <x:col min="7" max="7" width="25" hidden="0" customWidth="1"/>
    <x:col min="8" max="8" width="10" hidden="0" customWidth="1"/>
    <x:col min="9" max="9" width="14" hidden="0" customWidth="1"/>
    <x:col min="10" max="10" width="14" hidden="0" customWidth="1"/>
    <x:col min="11" max="11" width="16" hidden="0" customWidth="1"/>
    <x:col min="12" max="12" width="26" hidden="0" customWidth="1"/>
    <x:col min="13" max="13" width="17" hidden="0" customWidth="1"/>
    <x:col min="14" max="14" width="16" hidden="0" customWidth="1"/>
    <x:col min="15" max="15" width="16" hidden="0" customWidth="1"/>
    <x:col min="16" max="16" width="16" hidden="0" customWidth="1"/>
    <x:col min="17" max="17" width="15" hidden="0" customWidth="1"/>
    <x:col min="18" max="18" width="18" hidden="0" customWidth="1"/>
    <x:col min="19" max="19" width="17" hidden="0" customWidth="1"/>
    <x:col min="20" max="20" width="65" hidden="0" customWidth="1"/>
  </x:cols>
  <x:sheetData>
    <x:row r="1" ht="30" customHeight="1">
      <x:c r="A1" s="4" t="str">
        <x:v>Activity ID</x:v>
      </x:c>
      <x:c r="B1" s="4" t="str">
        <x:v>Bridge ID</x:v>
      </x:c>
      <x:c r="C1" s="4" t="str">
        <x:v>Work Type</x:v>
      </x:c>
      <x:c r="D1" s="4" t="str">
        <x:v>Team</x:v>
      </x:c>
      <x:c r="E1" s="4" t="str">
        <x:v>Discipline</x:v>
      </x:c>
      <x:c r="F1" s="4" t="str">
        <x:v>Activity</x:v>
      </x:c>
      <x:c r="G1" s="4" t="str">
        <x:v>Predecessor ID</x:v>
      </x:c>
      <x:c r="H1" s="4" t="str">
        <x:v>Link</x:v>
      </x:c>
      <x:c r="I1" s="4" t="str">
        <x:v>Start Day</x:v>
      </x:c>
      <x:c r="J1" s="4" t="str">
        <x:v>Finish Day</x:v>
      </x:c>
      <x:c r="K1" s="4" t="str">
        <x:v>Duration Days</x:v>
      </x:c>
      <x:c r="L1" s="4" t="str">
        <x:v>Responsible</x:v>
      </x:c>
      <x:c r="M1" s="4" t="str">
        <x:v>Unit</x:v>
      </x:c>
      <x:c r="N1" s="4" t="str">
        <x:v>Budget Qty</x:v>
      </x:c>
      <x:c r="O1" s="4" t="str">
        <x:v>Actual Qty</x:v>
      </x:c>
      <x:c r="P1" s="4" t="str">
        <x:v>Budget MH</x:v>
      </x:c>
      <x:c r="Q1" s="4" t="str">
        <x:v>Progress %</x:v>
      </x:c>
      <x:c r="R1" s="4" t="str">
        <x:v>Status</x:v>
      </x:c>
      <x:c r="S1" s="4" t="str">
        <x:v>Basis</x:v>
      </x:c>
      <x:c r="T1" s="4" t="str">
        <x:v>Constraints / Notes</x:v>
      </x:c>
    </x:row>
    <x:row r="2">
      <x:c r="A2" t="str">
        <x:v>ICW-ICG-LD-14</x:v>
      </x:c>
      <x:c r="B2" t="str">
        <x:v>ICW-ICG-LD</x:v>
      </x:c>
      <x:c r="C2" t="str">
        <x:v>Installation</x:v>
      </x:c>
      <x:c r="D2" t="str">
        <x:v>C</x:v>
      </x:c>
      <x:c r="E2" t="str">
        <x:v>Marine</x:v>
      </x:c>
      <x:c r="F2" t="str">
        <x:v>Vessel technical selection and assurance</x:v>
      </x:c>
      <x:c r="G2" t="str"/>
      <x:c r="H2" t="str">
        <x:v>FS</x:v>
      </x:c>
      <x:c r="I2" t="n">
        <x:v>45</x:v>
      </x:c>
      <x:c r="J2" t="n">
        <x:v>135</x:v>
      </x:c>
      <x:c r="K2" t="n">
        <x:v>91</x:v>
      </x:c>
      <x:c r="L2" t="str">
        <x:v>Marine Manager</x:v>
      </x:c>
      <x:c r="M2" t="str">
        <x:v>vessel</x:v>
      </x:c>
      <x:c r="N2"/>
      <x:c r="O2"/>
      <x:c r="P2"/>
      <x:c r="Q2" t="n">
        <x:v>0</x:v>
      </x:c>
      <x:c r="R2" t="str">
        <x:v>Not started</x:v>
      </x:c>
      <x:c r="S2" t="str">
        <x:v>Provisional</x:v>
      </x:c>
      <x:c r="T2" t="str">
        <x:v>Verify measured scope, resources and predecessor logic</x:v>
      </x:c>
    </x:row>
    <x:row r="3">
      <x:c r="A3" t="str">
        <x:v>ICW-ICG-LD-15</x:v>
      </x:c>
      <x:c r="B3" t="str">
        <x:v>ICW-ICG-LD</x:v>
      </x:c>
      <x:c r="C3" t="str">
        <x:v>Installation</x:v>
      </x:c>
      <x:c r="D3" t="str">
        <x:v>C</x:v>
      </x:c>
      <x:c r="E3" t="str">
        <x:v>Marine</x:v>
      </x:c>
      <x:c r="F3" t="str">
        <x:v>Marine mobilisation and readiness</x:v>
      </x:c>
      <x:c r="G3" t="str">
        <x:v>ICW-ICG-LD-14</x:v>
      </x:c>
      <x:c r="H3" t="str">
        <x:v>FS</x:v>
      </x:c>
      <x:c r="I3" t="n">
        <x:v>130</x:v>
      </x:c>
      <x:c r="J3" t="n">
        <x:v>170</x:v>
      </x:c>
      <x:c r="K3" t="n">
        <x:v>41</x:v>
      </x:c>
      <x:c r="L3" t="str">
        <x:v>Marine Manager</x:v>
      </x:c>
      <x:c r="M3" t="str">
        <x:v>days</x:v>
      </x:c>
      <x:c r="N3"/>
      <x:c r="O3"/>
      <x:c r="P3"/>
      <x:c r="Q3" t="n">
        <x:v>0</x:v>
      </x:c>
      <x:c r="R3" t="str">
        <x:v>Not started</x:v>
      </x:c>
      <x:c r="S3" t="str">
        <x:v>Provisional</x:v>
      </x:c>
      <x:c r="T3" t="str">
        <x:v>Verify measured scope, resources and predecessor logic</x:v>
      </x:c>
    </x:row>
    <x:row r="4">
      <x:c r="A4" t="str">
        <x:v>ICG-ICP-LD-14</x:v>
      </x:c>
      <x:c r="B4" t="str">
        <x:v>ICG-ICP-LD</x:v>
      </x:c>
      <x:c r="C4" t="str">
        <x:v>Installation</x:v>
      </x:c>
      <x:c r="D4" t="str">
        <x:v>C</x:v>
      </x:c>
      <x:c r="E4" t="str">
        <x:v>Marine</x:v>
      </x:c>
      <x:c r="F4" t="str">
        <x:v>Vessel technical selection and assurance</x:v>
      </x:c>
      <x:c r="G4" t="str"/>
      <x:c r="H4" t="str">
        <x:v>FS</x:v>
      </x:c>
      <x:c r="I4" t="n">
        <x:v>73</x:v>
      </x:c>
      <x:c r="J4" t="n">
        <x:v>163</x:v>
      </x:c>
      <x:c r="K4" t="n">
        <x:v>91</x:v>
      </x:c>
      <x:c r="L4" t="str">
        <x:v>Marine Manager</x:v>
      </x:c>
      <x:c r="M4" t="str">
        <x:v>vessel</x:v>
      </x:c>
      <x:c r="N4"/>
      <x:c r="O4"/>
      <x:c r="P4"/>
      <x:c r="Q4" t="n">
        <x:v>0</x:v>
      </x:c>
      <x:c r="R4" t="str">
        <x:v>Not started</x:v>
      </x:c>
      <x:c r="S4" t="str">
        <x:v>Provisional</x:v>
      </x:c>
      <x:c r="T4" t="str">
        <x:v>Verify measured scope, resources and predecessor logic</x:v>
      </x:c>
    </x:row>
    <x:row r="5">
      <x:c r="A5" t="str">
        <x:v>ICG-ICP-LD-15</x:v>
      </x:c>
      <x:c r="B5" t="str">
        <x:v>ICG-ICP-LD</x:v>
      </x:c>
      <x:c r="C5" t="str">
        <x:v>Installation</x:v>
      </x:c>
      <x:c r="D5" t="str">
        <x:v>C</x:v>
      </x:c>
      <x:c r="E5" t="str">
        <x:v>Marine</x:v>
      </x:c>
      <x:c r="F5" t="str">
        <x:v>Marine mobilisation and readiness</x:v>
      </x:c>
      <x:c r="G5" t="str">
        <x:v>ICG-ICP-LD-14</x:v>
      </x:c>
      <x:c r="H5" t="str">
        <x:v>FS</x:v>
      </x:c>
      <x:c r="I5" t="n">
        <x:v>158</x:v>
      </x:c>
      <x:c r="J5" t="n">
        <x:v>198</x:v>
      </x:c>
      <x:c r="K5" t="n">
        <x:v>41</x:v>
      </x:c>
      <x:c r="L5" t="str">
        <x:v>Marine Manager</x:v>
      </x:c>
      <x:c r="M5" t="str">
        <x:v>days</x:v>
      </x:c>
      <x:c r="N5"/>
      <x:c r="O5"/>
      <x:c r="P5"/>
      <x:c r="Q5" t="n">
        <x:v>0</x:v>
      </x:c>
      <x:c r="R5" t="str">
        <x:v>Not started</x:v>
      </x:c>
      <x:c r="S5" t="str">
        <x:v>Provisional</x:v>
      </x:c>
      <x:c r="T5" t="str">
        <x:v>Verify measured scope, resources and predecessor logic</x:v>
      </x:c>
    </x:row>
    <x:row r="6">
      <x:c r="A6" t="str">
        <x:v>BHS-SLQ-14</x:v>
      </x:c>
      <x:c r="B6" t="str">
        <x:v>BHS-SLQ</x:v>
      </x:c>
      <x:c r="C6" t="str">
        <x:v>Replacement</x:v>
      </x:c>
      <x:c r="D6" t="str">
        <x:v>C</x:v>
      </x:c>
      <x:c r="E6" t="str">
        <x:v>Marine</x:v>
      </x:c>
      <x:c r="F6" t="str">
        <x:v>Vessel technical selection and assurance</x:v>
      </x:c>
      <x:c r="G6" t="str"/>
      <x:c r="H6" t="str">
        <x:v>FS</x:v>
      </x:c>
      <x:c r="I6" t="n">
        <x:v>105</x:v>
      </x:c>
      <x:c r="J6" t="n">
        <x:v>195</x:v>
      </x:c>
      <x:c r="K6" t="n">
        <x:v>91</x:v>
      </x:c>
      <x:c r="L6" t="str">
        <x:v>Marine Manager</x:v>
      </x:c>
      <x:c r="M6" t="str">
        <x:v>vessel</x:v>
      </x:c>
      <x:c r="N6"/>
      <x:c r="O6"/>
      <x:c r="P6"/>
      <x:c r="Q6" t="n">
        <x:v>0</x:v>
      </x:c>
      <x:c r="R6" t="str">
        <x:v>Not started</x:v>
      </x:c>
      <x:c r="S6" t="str">
        <x:v>Provisional</x:v>
      </x:c>
      <x:c r="T6" t="str">
        <x:v>Verify measured scope, resources and predecessor logic</x:v>
      </x:c>
    </x:row>
    <x:row r="7">
      <x:c r="A7" t="str">
        <x:v>BHS-SLQ-15</x:v>
      </x:c>
      <x:c r="B7" t="str">
        <x:v>BHS-SLQ</x:v>
      </x:c>
      <x:c r="C7" t="str">
        <x:v>Replacement</x:v>
      </x:c>
      <x:c r="D7" t="str">
        <x:v>C</x:v>
      </x:c>
      <x:c r="E7" t="str">
        <x:v>Marine</x:v>
      </x:c>
      <x:c r="F7" t="str">
        <x:v>Marine mobilisation and readiness</x:v>
      </x:c>
      <x:c r="G7" t="str">
        <x:v>BHS-SLQ-14</x:v>
      </x:c>
      <x:c r="H7" t="str">
        <x:v>FS</x:v>
      </x:c>
      <x:c r="I7" t="n">
        <x:v>190</x:v>
      </x:c>
      <x:c r="J7" t="n">
        <x:v>230</x:v>
      </x:c>
      <x:c r="K7" t="n">
        <x:v>41</x:v>
      </x:c>
      <x:c r="L7" t="str">
        <x:v>Marine Manager</x:v>
      </x:c>
      <x:c r="M7" t="str">
        <x:v>days</x:v>
      </x:c>
      <x:c r="N7"/>
      <x:c r="O7"/>
      <x:c r="P7"/>
      <x:c r="Q7" t="n">
        <x:v>0</x:v>
      </x:c>
      <x:c r="R7" t="str">
        <x:v>Not started</x:v>
      </x:c>
      <x:c r="S7" t="str">
        <x:v>Provisional</x:v>
      </x:c>
      <x:c r="T7" t="str">
        <x:v>Verify measured scope, resources and predecessor logic</x:v>
      </x:c>
    </x:row>
    <x:row r="8">
      <x:c r="A8" t="str">
        <x:v>ICW-ICG-UD-14</x:v>
      </x:c>
      <x:c r="B8" t="str">
        <x:v>ICW-ICG-UD</x:v>
      </x:c>
      <x:c r="C8" t="str">
        <x:v>Strengthening</x:v>
      </x:c>
      <x:c r="D8" t="str">
        <x:v>A</x:v>
      </x:c>
      <x:c r="E8" t="str">
        <x:v>Marine</x:v>
      </x:c>
      <x:c r="F8" t="str">
        <x:v>Vessel technical selection and assurance</x:v>
      </x:c>
      <x:c r="G8" t="str"/>
      <x:c r="H8" t="str">
        <x:v>FS</x:v>
      </x:c>
      <x:c r="I8" t="n">
        <x:v>45</x:v>
      </x:c>
      <x:c r="J8" t="n">
        <x:v>135</x:v>
      </x:c>
      <x:c r="K8" t="n">
        <x:v>91</x:v>
      </x:c>
      <x:c r="L8" t="str">
        <x:v>Marine Manager</x:v>
      </x:c>
      <x:c r="M8" t="str">
        <x:v>vessel</x:v>
      </x:c>
      <x:c r="N8"/>
      <x:c r="O8"/>
      <x:c r="P8"/>
      <x:c r="Q8" t="n">
        <x:v>0</x:v>
      </x:c>
      <x:c r="R8" t="str">
        <x:v>Not started</x:v>
      </x:c>
      <x:c r="S8" t="str">
        <x:v>Provisional</x:v>
      </x:c>
      <x:c r="T8" t="str">
        <x:v>Verify measured scope, resources and predecessor logic</x:v>
      </x:c>
    </x:row>
    <x:row r="9">
      <x:c r="A9" t="str">
        <x:v>ICG-ICP-UD-14</x:v>
      </x:c>
      <x:c r="B9" t="str">
        <x:v>ICG-ICP-UD</x:v>
      </x:c>
      <x:c r="C9" t="str">
        <x:v>Strengthening</x:v>
      </x:c>
      <x:c r="D9" t="str">
        <x:v>A</x:v>
      </x:c>
      <x:c r="E9" t="str">
        <x:v>Marine</x:v>
      </x:c>
      <x:c r="F9" t="str">
        <x:v>Vessel technical selection and assurance</x:v>
      </x:c>
      <x:c r="G9" t="str"/>
      <x:c r="H9" t="str">
        <x:v>FS</x:v>
      </x:c>
      <x:c r="I9" t="n">
        <x:v>57</x:v>
      </x:c>
      <x:c r="J9" t="n">
        <x:v>147</x:v>
      </x:c>
      <x:c r="K9" t="n">
        <x:v>91</x:v>
      </x:c>
      <x:c r="L9" t="str">
        <x:v>Marine Manager</x:v>
      </x:c>
      <x:c r="M9" t="str">
        <x:v>vessel</x:v>
      </x:c>
      <x:c r="N9"/>
      <x:c r="O9"/>
      <x:c r="P9"/>
      <x:c r="Q9" t="n">
        <x:v>0</x:v>
      </x:c>
      <x:c r="R9" t="str">
        <x:v>Not started</x:v>
      </x:c>
      <x:c r="S9" t="str">
        <x:v>Provisional</x:v>
      </x:c>
      <x:c r="T9" t="str">
        <x:v>Verify measured scope, resources and predecessor logic</x:v>
      </x:c>
    </x:row>
    <x:row r="10">
      <x:c r="A10" t="str">
        <x:v>SLQ-WIS-14</x:v>
      </x:c>
      <x:c r="B10" t="str">
        <x:v>SLQ-WIS</x:v>
      </x:c>
      <x:c r="C10" t="str">
        <x:v>Strengthening</x:v>
      </x:c>
      <x:c r="D10" t="str">
        <x:v>A</x:v>
      </x:c>
      <x:c r="E10" t="str">
        <x:v>Marine</x:v>
      </x:c>
      <x:c r="F10" t="str">
        <x:v>Vessel technical selection and assurance</x:v>
      </x:c>
      <x:c r="G10" t="str"/>
      <x:c r="H10" t="str">
        <x:v>FS</x:v>
      </x:c>
      <x:c r="I10" t="n">
        <x:v>69</x:v>
      </x:c>
      <x:c r="J10" t="n">
        <x:v>159</x:v>
      </x:c>
      <x:c r="K10" t="n">
        <x:v>91</x:v>
      </x:c>
      <x:c r="L10" t="str">
        <x:v>Marine Manager</x:v>
      </x:c>
      <x:c r="M10" t="str">
        <x:v>vessel</x:v>
      </x:c>
      <x:c r="N10"/>
      <x:c r="O10"/>
      <x:c r="P10"/>
      <x:c r="Q10" t="n">
        <x:v>0</x:v>
      </x:c>
      <x:c r="R10" t="str">
        <x:v>Not started</x:v>
      </x:c>
      <x:c r="S10" t="str">
        <x:v>Provisional</x:v>
      </x:c>
      <x:c r="T10" t="str">
        <x:v>Verify measured scope, resources and predecessor logic</x:v>
      </x:c>
    </x:row>
    <x:row r="11">
      <x:c r="A11" t="str">
        <x:v>NQO-NQD-14</x:v>
      </x:c>
      <x:c r="B11" t="str">
        <x:v>NQO-NQD</x:v>
      </x:c>
      <x:c r="C11" t="str">
        <x:v>Strengthening</x:v>
      </x:c>
      <x:c r="D11" t="str">
        <x:v>B</x:v>
      </x:c>
      <x:c r="E11" t="str">
        <x:v>Marine</x:v>
      </x:c>
      <x:c r="F11" t="str">
        <x:v>Vessel technical selection and assurance</x:v>
      </x:c>
      <x:c r="G11" t="str"/>
      <x:c r="H11" t="str">
        <x:v>FS</x:v>
      </x:c>
      <x:c r="I11" t="n">
        <x:v>81</x:v>
      </x:c>
      <x:c r="J11" t="n">
        <x:v>171</x:v>
      </x:c>
      <x:c r="K11" t="n">
        <x:v>91</x:v>
      </x:c>
      <x:c r="L11" t="str">
        <x:v>Marine Manager</x:v>
      </x:c>
      <x:c r="M11" t="str">
        <x:v>vessel</x:v>
      </x:c>
      <x:c r="N11"/>
      <x:c r="O11"/>
      <x:c r="P11"/>
      <x:c r="Q11" t="n">
        <x:v>0</x:v>
      </x:c>
      <x:c r="R11" t="str">
        <x:v>Not started</x:v>
      </x:c>
      <x:c r="S11" t="str">
        <x:v>Provisional</x:v>
      </x:c>
      <x:c r="T11" t="str">
        <x:v>Verify measured scope, resources and predecessor logic</x:v>
      </x:c>
    </x:row>
    <x:row r="12">
      <x:c r="A12" t="str">
        <x:v>WIN-NC-14</x:v>
      </x:c>
      <x:c r="B12" t="str">
        <x:v>WIN-NC</x:v>
      </x:c>
      <x:c r="C12" t="str">
        <x:v>Strengthening</x:v>
      </x:c>
      <x:c r="D12" t="str">
        <x:v>B</x:v>
      </x:c>
      <x:c r="E12" t="str">
        <x:v>Marine</x:v>
      </x:c>
      <x:c r="F12" t="str">
        <x:v>Vessel technical selection and assurance</x:v>
      </x:c>
      <x:c r="G12" t="str"/>
      <x:c r="H12" t="str">
        <x:v>FS</x:v>
      </x:c>
      <x:c r="I12" t="n">
        <x:v>93</x:v>
      </x:c>
      <x:c r="J12" t="n">
        <x:v>183</x:v>
      </x:c>
      <x:c r="K12" t="n">
        <x:v>91</x:v>
      </x:c>
      <x:c r="L12" t="str">
        <x:v>Marine Manager</x:v>
      </x:c>
      <x:c r="M12" t="str">
        <x:v>vessel</x:v>
      </x:c>
      <x:c r="N12"/>
      <x:c r="O12"/>
      <x:c r="P12"/>
      <x:c r="Q12" t="n">
        <x:v>0</x:v>
      </x:c>
      <x:c r="R12" t="str">
        <x:v>Not started</x:v>
      </x:c>
      <x:c r="S12" t="str">
        <x:v>Provisional</x:v>
      </x:c>
      <x:c r="T12" t="str">
        <x:v>Verify measured scope, resources and predecessor logic</x:v>
      </x:c>
    </x:row>
    <x:row r="13">
      <x:c r="A13" t="str">
        <x:v>SCA-SC1-14</x:v>
      </x:c>
      <x:c r="B13" t="str">
        <x:v>SCA-SC1</x:v>
      </x:c>
      <x:c r="C13" t="str">
        <x:v>Strengthening</x:v>
      </x:c>
      <x:c r="D13" t="str">
        <x:v>B</x:v>
      </x:c>
      <x:c r="E13" t="str">
        <x:v>Marine</x:v>
      </x:c>
      <x:c r="F13" t="str">
        <x:v>Vessel technical selection and assurance</x:v>
      </x:c>
      <x:c r="G13" t="str"/>
      <x:c r="H13" t="str">
        <x:v>FS</x:v>
      </x:c>
      <x:c r="I13" t="n">
        <x:v>105</x:v>
      </x:c>
      <x:c r="J13" t="n">
        <x:v>195</x:v>
      </x:c>
      <x:c r="K13" t="n">
        <x:v>91</x:v>
      </x:c>
      <x:c r="L13" t="str">
        <x:v>Marine Manager</x:v>
      </x:c>
      <x:c r="M13" t="str">
        <x:v>vessel</x:v>
      </x:c>
      <x:c r="N13"/>
      <x:c r="O13"/>
      <x:c r="P13"/>
      <x:c r="Q13" t="n">
        <x:v>0</x:v>
      </x:c>
      <x:c r="R13" t="str">
        <x:v>Not started</x:v>
      </x:c>
      <x:c r="S13" t="str">
        <x:v>Provisional</x:v>
      </x:c>
      <x:c r="T13" t="str">
        <x:v>Verify measured scope, resources and predecessor logic</x:v>
      </x:c>
    </x:row>
    <x:row r="14">
      <x:c r="A14" t="str">
        <x:v>SCA-SCF-14</x:v>
      </x:c>
      <x:c r="B14" t="str">
        <x:v>SCA-SCF</x:v>
      </x:c>
      <x:c r="C14" t="str">
        <x:v>Strengthening</x:v>
      </x:c>
      <x:c r="D14" t="str">
        <x:v>B</x:v>
      </x:c>
      <x:c r="E14" t="str">
        <x:v>Marine</x:v>
      </x:c>
      <x:c r="F14" t="str">
        <x:v>Vessel technical selection and assurance</x:v>
      </x:c>
      <x:c r="G14" t="str"/>
      <x:c r="H14" t="str">
        <x:v>FS</x:v>
      </x:c>
      <x:c r="I14" t="n">
        <x:v>117</x:v>
      </x:c>
      <x:c r="J14" t="n">
        <x:v>207</x:v>
      </x:c>
      <x:c r="K14" t="n">
        <x:v>91</x:v>
      </x:c>
      <x:c r="L14" t="str">
        <x:v>Marine Manager</x:v>
      </x:c>
      <x:c r="M14" t="str">
        <x:v>vessel</x:v>
      </x:c>
      <x:c r="N14"/>
      <x:c r="O14"/>
      <x:c r="P14"/>
      <x:c r="Q14" t="n">
        <x:v>0</x:v>
      </x:c>
      <x:c r="R14" t="str">
        <x:v>Not started</x:v>
      </x:c>
      <x:c r="S14" t="str">
        <x:v>Provisional</x:v>
      </x:c>
      <x:c r="T14" t="str">
        <x:v>Verify measured scope, resources and predecessor logic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7" hidden="0" customWidth="1"/>
    <x:col min="4" max="4" width="10" hidden="0" customWidth="1"/>
    <x:col min="5" max="5" width="19" hidden="0" customWidth="1"/>
    <x:col min="6" max="6" width="44" hidden="0" customWidth="1"/>
    <x:col min="7" max="7" width="25" hidden="0" customWidth="1"/>
    <x:col min="8" max="8" width="10" hidden="0" customWidth="1"/>
    <x:col min="9" max="9" width="14" hidden="0" customWidth="1"/>
    <x:col min="10" max="10" width="14" hidden="0" customWidth="1"/>
    <x:col min="11" max="11" width="16" hidden="0" customWidth="1"/>
    <x:col min="12" max="12" width="26" hidden="0" customWidth="1"/>
    <x:col min="13" max="13" width="17" hidden="0" customWidth="1"/>
    <x:col min="14" max="14" width="16" hidden="0" customWidth="1"/>
    <x:col min="15" max="15" width="16" hidden="0" customWidth="1"/>
    <x:col min="16" max="16" width="16" hidden="0" customWidth="1"/>
    <x:col min="17" max="17" width="15" hidden="0" customWidth="1"/>
    <x:col min="18" max="18" width="18" hidden="0" customWidth="1"/>
    <x:col min="19" max="19" width="17" hidden="0" customWidth="1"/>
    <x:col min="20" max="20" width="65" hidden="0" customWidth="1"/>
  </x:cols>
  <x:sheetData>
    <x:row r="1" ht="30" customHeight="1">
      <x:c r="A1" s="4" t="str">
        <x:v>Activity ID</x:v>
      </x:c>
      <x:c r="B1" s="4" t="str">
        <x:v>Bridge ID</x:v>
      </x:c>
      <x:c r="C1" s="4" t="str">
        <x:v>Work Type</x:v>
      </x:c>
      <x:c r="D1" s="4" t="str">
        <x:v>Team</x:v>
      </x:c>
      <x:c r="E1" s="4" t="str">
        <x:v>Discipline</x:v>
      </x:c>
      <x:c r="F1" s="4" t="str">
        <x:v>Activity</x:v>
      </x:c>
      <x:c r="G1" s="4" t="str">
        <x:v>Predecessor ID</x:v>
      </x:c>
      <x:c r="H1" s="4" t="str">
        <x:v>Link</x:v>
      </x:c>
      <x:c r="I1" s="4" t="str">
        <x:v>Start Day</x:v>
      </x:c>
      <x:c r="J1" s="4" t="str">
        <x:v>Finish Day</x:v>
      </x:c>
      <x:c r="K1" s="4" t="str">
        <x:v>Duration Days</x:v>
      </x:c>
      <x:c r="L1" s="4" t="str">
        <x:v>Responsible</x:v>
      </x:c>
      <x:c r="M1" s="4" t="str">
        <x:v>Unit</x:v>
      </x:c>
      <x:c r="N1" s="4" t="str">
        <x:v>Budget Qty</x:v>
      </x:c>
      <x:c r="O1" s="4" t="str">
        <x:v>Actual Qty</x:v>
      </x:c>
      <x:c r="P1" s="4" t="str">
        <x:v>Budget MH</x:v>
      </x:c>
      <x:c r="Q1" s="4" t="str">
        <x:v>Progress %</x:v>
      </x:c>
      <x:c r="R1" s="4" t="str">
        <x:v>Status</x:v>
      </x:c>
      <x:c r="S1" s="4" t="str">
        <x:v>Basis</x:v>
      </x:c>
      <x:c r="T1" s="4" t="str">
        <x:v>Constraints / Notes</x:v>
      </x:c>
    </x:row>
    <x:row r="2">
      <x:c r="A2" t="str">
        <x:v>ICW-ICG-LD-16</x:v>
      </x:c>
      <x:c r="B2" t="str">
        <x:v>ICW-ICG-LD</x:v>
      </x:c>
      <x:c r="C2" t="str">
        <x:v>Installation</x:v>
      </x:c>
      <x:c r="D2" t="str">
        <x:v>C</x:v>
      </x:c>
      <x:c r="E2" t="str">
        <x:v>Offshore</x:v>
      </x:c>
      <x:c r="F2" t="str">
        <x:v>Access and permit readiness</x:v>
      </x:c>
      <x:c r="G2" t="str"/>
      <x:c r="H2" t="str">
        <x:v>FS</x:v>
      </x:c>
      <x:c r="I2" t="n">
        <x:v>75</x:v>
      </x:c>
      <x:c r="J2" t="n">
        <x:v>155</x:v>
      </x:c>
      <x:c r="K2" t="n">
        <x:v>81</x:v>
      </x:c>
      <x:c r="L2" t="str">
        <x:v>Offshore Manager</x:v>
      </x:c>
      <x:c r="M2" t="str">
        <x:v>fronts</x:v>
      </x:c>
      <x:c r="N2"/>
      <x:c r="O2"/>
      <x:c r="P2"/>
      <x:c r="Q2" t="n">
        <x:v>0</x:v>
      </x:c>
      <x:c r="R2" t="str">
        <x:v>Not started</x:v>
      </x:c>
      <x:c r="S2" t="str">
        <x:v>Provisional</x:v>
      </x:c>
      <x:c r="T2" t="str">
        <x:v>Verify measured scope, resources and predecessor logic</x:v>
      </x:c>
    </x:row>
    <x:row r="3">
      <x:c r="A3" t="str">
        <x:v>ICW-ICG-LD-18</x:v>
      </x:c>
      <x:c r="B3" t="str">
        <x:v>ICW-ICG-LD</x:v>
      </x:c>
      <x:c r="C3" t="str">
        <x:v>Installation</x:v>
      </x:c>
      <x:c r="D3" t="str">
        <x:v>C</x:v>
      </x:c>
      <x:c r="E3" t="str">
        <x:v>Offshore</x:v>
      </x:c>
      <x:c r="F3" t="str">
        <x:v>Structural fit-up or landing</x:v>
      </x:c>
      <x:c r="G3" t="str">
        <x:v>ICW-ICG-LD-16</x:v>
      </x:c>
      <x:c r="H3" t="str">
        <x:v>FS</x:v>
      </x:c>
      <x:c r="I3" t="n">
        <x:v>125</x:v>
      </x:c>
      <x:c r="J3" t="n">
        <x:v>215</x:v>
      </x:c>
      <x:c r="K3" t="n">
        <x:v>91</x:v>
      </x:c>
      <x:c r="L3" t="str">
        <x:v>Offshore Manager</x:v>
      </x:c>
      <x:c r="M3" t="str">
        <x:v>assemblies</x:v>
      </x:c>
      <x:c r="N3"/>
      <x:c r="O3"/>
      <x:c r="P3"/>
      <x:c r="Q3" t="n">
        <x:v>0</x:v>
      </x:c>
      <x:c r="R3" t="str">
        <x:v>Not started</x:v>
      </x:c>
      <x:c r="S3" t="str">
        <x:v>Provisional</x:v>
      </x:c>
      <x:c r="T3" t="str">
        <x:v>Verify measured scope, resources and predecessor logic</x:v>
      </x:c>
    </x:row>
    <x:row r="4">
      <x:c r="A4" t="str">
        <x:v>ICW-ICG-LD-19</x:v>
      </x:c>
      <x:c r="B4" t="str">
        <x:v>ICW-ICG-LD</x:v>
      </x:c>
      <x:c r="C4" t="str">
        <x:v>Installation</x:v>
      </x:c>
      <x:c r="D4" t="str">
        <x:v>C</x:v>
      </x:c>
      <x:c r="E4" t="str">
        <x:v>Offshore</x:v>
      </x:c>
      <x:c r="F4" t="str">
        <x:v>Connection welding and bolting</x:v>
      </x:c>
      <x:c r="G4" t="str">
        <x:v>ICW-ICG-LD-18</x:v>
      </x:c>
      <x:c r="H4" t="str">
        <x:v>FS</x:v>
      </x:c>
      <x:c r="I4" t="n">
        <x:v>140</x:v>
      </x:c>
      <x:c r="J4" t="n">
        <x:v>230</x:v>
      </x:c>
      <x:c r="K4" t="n">
        <x:v>91</x:v>
      </x:c>
      <x:c r="L4" t="str">
        <x:v>Offshore Manager</x:v>
      </x:c>
      <x:c r="M4" t="str">
        <x:v>joints</x:v>
      </x:c>
      <x:c r="N4"/>
      <x:c r="O4"/>
      <x:c r="P4"/>
      <x:c r="Q4" t="n">
        <x:v>0</x:v>
      </x:c>
      <x:c r="R4" t="str">
        <x:v>Not started</x:v>
      </x:c>
      <x:c r="S4" t="str">
        <x:v>Provisional</x:v>
      </x:c>
      <x:c r="T4" t="str">
        <x:v>Verify measured scope, resources and predecessor logic</x:v>
      </x:c>
    </x:row>
    <x:row r="5">
      <x:c r="A5" t="str">
        <x:v>ICW-ICG-LD-20</x:v>
      </x:c>
      <x:c r="B5" t="str">
        <x:v>ICW-ICG-LD</x:v>
      </x:c>
      <x:c r="C5" t="str">
        <x:v>Installation</x:v>
      </x:c>
      <x:c r="D5" t="str">
        <x:v>C</x:v>
      </x:c>
      <x:c r="E5" t="str">
        <x:v>Offshore</x:v>
      </x:c>
      <x:c r="F5" t="str">
        <x:v>Inspection and coating restoration</x:v>
      </x:c>
      <x:c r="G5" t="str">
        <x:v>ICW-ICG-LD-19</x:v>
      </x:c>
      <x:c r="H5" t="str">
        <x:v>FS</x:v>
      </x:c>
      <x:c r="I5" t="n">
        <x:v>160</x:v>
      </x:c>
      <x:c r="J5" t="n">
        <x:v>250</x:v>
      </x:c>
      <x:c r="K5" t="n">
        <x:v>91</x:v>
      </x:c>
      <x:c r="L5" t="str">
        <x:v>QAQC Manager</x:v>
      </x:c>
      <x:c r="M5" t="str">
        <x:v>joints</x:v>
      </x:c>
      <x:c r="N5"/>
      <x:c r="O5"/>
      <x:c r="P5"/>
      <x:c r="Q5" t="n">
        <x:v>0</x:v>
      </x:c>
      <x:c r="R5" t="str">
        <x:v>Not started</x:v>
      </x:c>
      <x:c r="S5" t="str">
        <x:v>Provisional</x:v>
      </x:c>
      <x:c r="T5" t="str">
        <x:v>Verify measured scope, resources and predecessor logic</x:v>
      </x:c>
    </x:row>
    <x:row r="6">
      <x:c r="A6" t="str">
        <x:v>ICG-ICP-LD-16</x:v>
      </x:c>
      <x:c r="B6" t="str">
        <x:v>ICG-ICP-LD</x:v>
      </x:c>
      <x:c r="C6" t="str">
        <x:v>Installation</x:v>
      </x:c>
      <x:c r="D6" t="str">
        <x:v>C</x:v>
      </x:c>
      <x:c r="E6" t="str">
        <x:v>Offshore</x:v>
      </x:c>
      <x:c r="F6" t="str">
        <x:v>Access and permit readiness</x:v>
      </x:c>
      <x:c r="G6" t="str"/>
      <x:c r="H6" t="str">
        <x:v>FS</x:v>
      </x:c>
      <x:c r="I6" t="n">
        <x:v>103</x:v>
      </x:c>
      <x:c r="J6" t="n">
        <x:v>183</x:v>
      </x:c>
      <x:c r="K6" t="n">
        <x:v>81</x:v>
      </x:c>
      <x:c r="L6" t="str">
        <x:v>Offshore Manager</x:v>
      </x:c>
      <x:c r="M6" t="str">
        <x:v>fronts</x:v>
      </x:c>
      <x:c r="N6"/>
      <x:c r="O6"/>
      <x:c r="P6"/>
      <x:c r="Q6" t="n">
        <x:v>0</x:v>
      </x:c>
      <x:c r="R6" t="str">
        <x:v>Not started</x:v>
      </x:c>
      <x:c r="S6" t="str">
        <x:v>Provisional</x:v>
      </x:c>
      <x:c r="T6" t="str">
        <x:v>Verify measured scope, resources and predecessor logic</x:v>
      </x:c>
    </x:row>
    <x:row r="7">
      <x:c r="A7" t="str">
        <x:v>ICG-ICP-LD-18</x:v>
      </x:c>
      <x:c r="B7" t="str">
        <x:v>ICG-ICP-LD</x:v>
      </x:c>
      <x:c r="C7" t="str">
        <x:v>Installation</x:v>
      </x:c>
      <x:c r="D7" t="str">
        <x:v>C</x:v>
      </x:c>
      <x:c r="E7" t="str">
        <x:v>Offshore</x:v>
      </x:c>
      <x:c r="F7" t="str">
        <x:v>Structural fit-up or landing</x:v>
      </x:c>
      <x:c r="G7" t="str">
        <x:v>ICG-ICP-LD-16</x:v>
      </x:c>
      <x:c r="H7" t="str">
        <x:v>FS</x:v>
      </x:c>
      <x:c r="I7" t="n">
        <x:v>153</x:v>
      </x:c>
      <x:c r="J7" t="n">
        <x:v>243</x:v>
      </x:c>
      <x:c r="K7" t="n">
        <x:v>91</x:v>
      </x:c>
      <x:c r="L7" t="str">
        <x:v>Offshore Manager</x:v>
      </x:c>
      <x:c r="M7" t="str">
        <x:v>assemblies</x:v>
      </x:c>
      <x:c r="N7"/>
      <x:c r="O7"/>
      <x:c r="P7"/>
      <x:c r="Q7" t="n">
        <x:v>0</x:v>
      </x:c>
      <x:c r="R7" t="str">
        <x:v>Not started</x:v>
      </x:c>
      <x:c r="S7" t="str">
        <x:v>Provisional</x:v>
      </x:c>
      <x:c r="T7" t="str">
        <x:v>Verify measured scope, resources and predecessor logic</x:v>
      </x:c>
    </x:row>
    <x:row r="8">
      <x:c r="A8" t="str">
        <x:v>ICG-ICP-LD-19</x:v>
      </x:c>
      <x:c r="B8" t="str">
        <x:v>ICG-ICP-LD</x:v>
      </x:c>
      <x:c r="C8" t="str">
        <x:v>Installation</x:v>
      </x:c>
      <x:c r="D8" t="str">
        <x:v>C</x:v>
      </x:c>
      <x:c r="E8" t="str">
        <x:v>Offshore</x:v>
      </x:c>
      <x:c r="F8" t="str">
        <x:v>Connection welding and bolting</x:v>
      </x:c>
      <x:c r="G8" t="str">
        <x:v>ICG-ICP-LD-18</x:v>
      </x:c>
      <x:c r="H8" t="str">
        <x:v>FS</x:v>
      </x:c>
      <x:c r="I8" t="n">
        <x:v>168</x:v>
      </x:c>
      <x:c r="J8" t="n">
        <x:v>258</x:v>
      </x:c>
      <x:c r="K8" t="n">
        <x:v>91</x:v>
      </x:c>
      <x:c r="L8" t="str">
        <x:v>Offshore Manager</x:v>
      </x:c>
      <x:c r="M8" t="str">
        <x:v>joints</x:v>
      </x:c>
      <x:c r="N8"/>
      <x:c r="O8"/>
      <x:c r="P8"/>
      <x:c r="Q8" t="n">
        <x:v>0</x:v>
      </x:c>
      <x:c r="R8" t="str">
        <x:v>Not started</x:v>
      </x:c>
      <x:c r="S8" t="str">
        <x:v>Provisional</x:v>
      </x:c>
      <x:c r="T8" t="str">
        <x:v>Verify measured scope, resources and predecessor logic</x:v>
      </x:c>
    </x:row>
    <x:row r="9">
      <x:c r="A9" t="str">
        <x:v>ICG-ICP-LD-20</x:v>
      </x:c>
      <x:c r="B9" t="str">
        <x:v>ICG-ICP-LD</x:v>
      </x:c>
      <x:c r="C9" t="str">
        <x:v>Installation</x:v>
      </x:c>
      <x:c r="D9" t="str">
        <x:v>C</x:v>
      </x:c>
      <x:c r="E9" t="str">
        <x:v>Offshore</x:v>
      </x:c>
      <x:c r="F9" t="str">
        <x:v>Inspection and coating restoration</x:v>
      </x:c>
      <x:c r="G9" t="str">
        <x:v>ICG-ICP-LD-19</x:v>
      </x:c>
      <x:c r="H9" t="str">
        <x:v>FS</x:v>
      </x:c>
      <x:c r="I9" t="n">
        <x:v>188</x:v>
      </x:c>
      <x:c r="J9" t="n">
        <x:v>278</x:v>
      </x:c>
      <x:c r="K9" t="n">
        <x:v>91</x:v>
      </x:c>
      <x:c r="L9" t="str">
        <x:v>QAQC Manager</x:v>
      </x:c>
      <x:c r="M9" t="str">
        <x:v>joints</x:v>
      </x:c>
      <x:c r="N9"/>
      <x:c r="O9"/>
      <x:c r="P9"/>
      <x:c r="Q9" t="n">
        <x:v>0</x:v>
      </x:c>
      <x:c r="R9" t="str">
        <x:v>Not started</x:v>
      </x:c>
      <x:c r="S9" t="str">
        <x:v>Provisional</x:v>
      </x:c>
      <x:c r="T9" t="str">
        <x:v>Verify measured scope, resources and predecessor logic</x:v>
      </x:c>
    </x:row>
    <x:row r="10">
      <x:c r="A10" t="str">
        <x:v>BHS-SLQ-16</x:v>
      </x:c>
      <x:c r="B10" t="str">
        <x:v>BHS-SLQ</x:v>
      </x:c>
      <x:c r="C10" t="str">
        <x:v>Replacement</x:v>
      </x:c>
      <x:c r="D10" t="str">
        <x:v>C</x:v>
      </x:c>
      <x:c r="E10" t="str">
        <x:v>Offshore</x:v>
      </x:c>
      <x:c r="F10" t="str">
        <x:v>Access and permit readiness</x:v>
      </x:c>
      <x:c r="G10" t="str"/>
      <x:c r="H10" t="str">
        <x:v>FS</x:v>
      </x:c>
      <x:c r="I10" t="n">
        <x:v>135</x:v>
      </x:c>
      <x:c r="J10" t="n">
        <x:v>215</x:v>
      </x:c>
      <x:c r="K10" t="n">
        <x:v>81</x:v>
      </x:c>
      <x:c r="L10" t="str">
        <x:v>Offshore Manager</x:v>
      </x:c>
      <x:c r="M10" t="str">
        <x:v>fronts</x:v>
      </x:c>
      <x:c r="N10"/>
      <x:c r="O10"/>
      <x:c r="P10"/>
      <x:c r="Q10" t="n">
        <x:v>0</x:v>
      </x:c>
      <x:c r="R10" t="str">
        <x:v>Not started</x:v>
      </x:c>
      <x:c r="S10" t="str">
        <x:v>Provisional</x:v>
      </x:c>
      <x:c r="T10" t="str">
        <x:v>Verify measured scope, resources and predecessor logic</x:v>
      </x:c>
    </x:row>
    <x:row r="11">
      <x:c r="A11" t="str">
        <x:v>BHS-SLQ-17</x:v>
      </x:c>
      <x:c r="B11" t="str">
        <x:v>BHS-SLQ</x:v>
      </x:c>
      <x:c r="C11" t="str">
        <x:v>Replacement</x:v>
      </x:c>
      <x:c r="D11" t="str">
        <x:v>C</x:v>
      </x:c>
      <x:c r="E11" t="str">
        <x:v>Offshore</x:v>
      </x:c>
      <x:c r="F11" t="str">
        <x:v>Temporary access and works</x:v>
      </x:c>
      <x:c r="G11" t="str">
        <x:v>BHS-SLQ-16</x:v>
      </x:c>
      <x:c r="H11" t="str">
        <x:v>FS</x:v>
      </x:c>
      <x:c r="I11" t="n">
        <x:v>160</x:v>
      </x:c>
      <x:c r="J11" t="n">
        <x:v>250</x:v>
      </x:c>
      <x:c r="K11" t="n">
        <x:v>91</x:v>
      </x:c>
      <x:c r="L11" t="str">
        <x:v>Offshore Manager</x:v>
      </x:c>
      <x:c r="M11" t="str">
        <x:v>workfronts</x:v>
      </x:c>
      <x:c r="N11"/>
      <x:c r="O11"/>
      <x:c r="P11"/>
      <x:c r="Q11" t="n">
        <x:v>0</x:v>
      </x:c>
      <x:c r="R11" t="str">
        <x:v>Not started</x:v>
      </x:c>
      <x:c r="S11" t="str">
        <x:v>Provisional</x:v>
      </x:c>
      <x:c r="T11" t="str">
        <x:v>Verify measured scope, resources and predecessor logic</x:v>
      </x:c>
    </x:row>
    <x:row r="12">
      <x:c r="A12" t="str">
        <x:v>BHS-SLQ-18</x:v>
      </x:c>
      <x:c r="B12" t="str">
        <x:v>BHS-SLQ</x:v>
      </x:c>
      <x:c r="C12" t="str">
        <x:v>Replacement</x:v>
      </x:c>
      <x:c r="D12" t="str">
        <x:v>C</x:v>
      </x:c>
      <x:c r="E12" t="str">
        <x:v>Offshore</x:v>
      </x:c>
      <x:c r="F12" t="str">
        <x:v>Structural fit-up or landing</x:v>
      </x:c>
      <x:c r="G12" t="str">
        <x:v>BHS-SLQ-17</x:v>
      </x:c>
      <x:c r="H12" t="str">
        <x:v>FS</x:v>
      </x:c>
      <x:c r="I12" t="n">
        <x:v>185</x:v>
      </x:c>
      <x:c r="J12" t="n">
        <x:v>275</x:v>
      </x:c>
      <x:c r="K12" t="n">
        <x:v>91</x:v>
      </x:c>
      <x:c r="L12" t="str">
        <x:v>Offshore Manager</x:v>
      </x:c>
      <x:c r="M12" t="str">
        <x:v>assemblies</x:v>
      </x:c>
      <x:c r="N12"/>
      <x:c r="O12"/>
      <x:c r="P12"/>
      <x:c r="Q12" t="n">
        <x:v>0</x:v>
      </x:c>
      <x:c r="R12" t="str">
        <x:v>Not started</x:v>
      </x:c>
      <x:c r="S12" t="str">
        <x:v>Provisional</x:v>
      </x:c>
      <x:c r="T12" t="str">
        <x:v>Verify measured scope, resources and predecessor logic</x:v>
      </x:c>
    </x:row>
    <x:row r="13">
      <x:c r="A13" t="str">
        <x:v>BHS-SLQ-19</x:v>
      </x:c>
      <x:c r="B13" t="str">
        <x:v>BHS-SLQ</x:v>
      </x:c>
      <x:c r="C13" t="str">
        <x:v>Replacement</x:v>
      </x:c>
      <x:c r="D13" t="str">
        <x:v>C</x:v>
      </x:c>
      <x:c r="E13" t="str">
        <x:v>Offshore</x:v>
      </x:c>
      <x:c r="F13" t="str">
        <x:v>Connection welding and bolting</x:v>
      </x:c>
      <x:c r="G13" t="str">
        <x:v>BHS-SLQ-18</x:v>
      </x:c>
      <x:c r="H13" t="str">
        <x:v>FS</x:v>
      </x:c>
      <x:c r="I13" t="n">
        <x:v>200</x:v>
      </x:c>
      <x:c r="J13" t="n">
        <x:v>290</x:v>
      </x:c>
      <x:c r="K13" t="n">
        <x:v>91</x:v>
      </x:c>
      <x:c r="L13" t="str">
        <x:v>Offshore Manager</x:v>
      </x:c>
      <x:c r="M13" t="str">
        <x:v>joints</x:v>
      </x:c>
      <x:c r="N13"/>
      <x:c r="O13"/>
      <x:c r="P13"/>
      <x:c r="Q13" t="n">
        <x:v>0</x:v>
      </x:c>
      <x:c r="R13" t="str">
        <x:v>Not started</x:v>
      </x:c>
      <x:c r="S13" t="str">
        <x:v>Provisional</x:v>
      </x:c>
      <x:c r="T13" t="str">
        <x:v>Verify measured scope, resources and predecessor logic</x:v>
      </x:c>
    </x:row>
    <x:row r="14">
      <x:c r="A14" t="str">
        <x:v>BHS-SLQ-20</x:v>
      </x:c>
      <x:c r="B14" t="str">
        <x:v>BHS-SLQ</x:v>
      </x:c>
      <x:c r="C14" t="str">
        <x:v>Replacement</x:v>
      </x:c>
      <x:c r="D14" t="str">
        <x:v>C</x:v>
      </x:c>
      <x:c r="E14" t="str">
        <x:v>Offshore</x:v>
      </x:c>
      <x:c r="F14" t="str">
        <x:v>Inspection and coating restoration</x:v>
      </x:c>
      <x:c r="G14" t="str">
        <x:v>BHS-SLQ-19</x:v>
      </x:c>
      <x:c r="H14" t="str">
        <x:v>FS</x:v>
      </x:c>
      <x:c r="I14" t="n">
        <x:v>220</x:v>
      </x:c>
      <x:c r="J14" t="n">
        <x:v>310</x:v>
      </x:c>
      <x:c r="K14" t="n">
        <x:v>91</x:v>
      </x:c>
      <x:c r="L14" t="str">
        <x:v>QAQC Manager</x:v>
      </x:c>
      <x:c r="M14" t="str">
        <x:v>joints</x:v>
      </x:c>
      <x:c r="N14"/>
      <x:c r="O14"/>
      <x:c r="P14"/>
      <x:c r="Q14" t="n">
        <x:v>0</x:v>
      </x:c>
      <x:c r="R14" t="str">
        <x:v>Not started</x:v>
      </x:c>
      <x:c r="S14" t="str">
        <x:v>Provisional</x:v>
      </x:c>
      <x:c r="T14" t="str">
        <x:v>Verify measured scope, resources and predecessor logic</x:v>
      </x:c>
    </x:row>
    <x:row r="15">
      <x:c r="A15" t="str">
        <x:v>ICW-ICG-UD-16</x:v>
      </x:c>
      <x:c r="B15" t="str">
        <x:v>ICW-ICG-UD</x:v>
      </x:c>
      <x:c r="C15" t="str">
        <x:v>Strengthening</x:v>
      </x:c>
      <x:c r="D15" t="str">
        <x:v>A</x:v>
      </x:c>
      <x:c r="E15" t="str">
        <x:v>Offshore</x:v>
      </x:c>
      <x:c r="F15" t="str">
        <x:v>Access and permit readiness</x:v>
      </x:c>
      <x:c r="G15" t="str"/>
      <x:c r="H15" t="str">
        <x:v>FS</x:v>
      </x:c>
      <x:c r="I15" t="n">
        <x:v>60</x:v>
      </x:c>
      <x:c r="J15" t="n">
        <x:v>140</x:v>
      </x:c>
      <x:c r="K15" t="n">
        <x:v>81</x:v>
      </x:c>
      <x:c r="L15" t="str">
        <x:v>Offshore Manager</x:v>
      </x:c>
      <x:c r="M15" t="str">
        <x:v>fronts</x:v>
      </x:c>
      <x:c r="N15"/>
      <x:c r="O15"/>
      <x:c r="P15"/>
      <x:c r="Q15" t="n">
        <x:v>0</x:v>
      </x:c>
      <x:c r="R15" t="str">
        <x:v>Not started</x:v>
      </x:c>
      <x:c r="S15" t="str">
        <x:v>Provisional</x:v>
      </x:c>
      <x:c r="T15" t="str">
        <x:v>Verify measured scope, resources and predecessor logic</x:v>
      </x:c>
    </x:row>
    <x:row r="16">
      <x:c r="A16" t="str">
        <x:v>ICW-ICG-UD-17</x:v>
      </x:c>
      <x:c r="B16" t="str">
        <x:v>ICW-ICG-UD</x:v>
      </x:c>
      <x:c r="C16" t="str">
        <x:v>Strengthening</x:v>
      </x:c>
      <x:c r="D16" t="str">
        <x:v>A</x:v>
      </x:c>
      <x:c r="E16" t="str">
        <x:v>Offshore</x:v>
      </x:c>
      <x:c r="F16" t="str">
        <x:v>Temporary access and works</x:v>
      </x:c>
      <x:c r="G16" t="str">
        <x:v>ICW-ICG-UD-16</x:v>
      </x:c>
      <x:c r="H16" t="str">
        <x:v>FS</x:v>
      </x:c>
      <x:c r="I16" t="n">
        <x:v>85</x:v>
      </x:c>
      <x:c r="J16" t="n">
        <x:v>175</x:v>
      </x:c>
      <x:c r="K16" t="n">
        <x:v>91</x:v>
      </x:c>
      <x:c r="L16" t="str">
        <x:v>Offshore Manager</x:v>
      </x:c>
      <x:c r="M16" t="str">
        <x:v>workfronts</x:v>
      </x:c>
      <x:c r="N16"/>
      <x:c r="O16"/>
      <x:c r="P16"/>
      <x:c r="Q16" t="n">
        <x:v>0</x:v>
      </x:c>
      <x:c r="R16" t="str">
        <x:v>Not started</x:v>
      </x:c>
      <x:c r="S16" t="str">
        <x:v>Provisional</x:v>
      </x:c>
      <x:c r="T16" t="str">
        <x:v>Verify measured scope, resources and predecessor logic</x:v>
      </x:c>
    </x:row>
    <x:row r="17">
      <x:c r="A17" t="str">
        <x:v>ICW-ICG-UD-18</x:v>
      </x:c>
      <x:c r="B17" t="str">
        <x:v>ICW-ICG-UD</x:v>
      </x:c>
      <x:c r="C17" t="str">
        <x:v>Strengthening</x:v>
      </x:c>
      <x:c r="D17" t="str">
        <x:v>A</x:v>
      </x:c>
      <x:c r="E17" t="str">
        <x:v>Offshore</x:v>
      </x:c>
      <x:c r="F17" t="str">
        <x:v>Structural fit-up or landing</x:v>
      </x:c>
      <x:c r="G17" t="str">
        <x:v>ICW-ICG-UD-17</x:v>
      </x:c>
      <x:c r="H17" t="str">
        <x:v>FS</x:v>
      </x:c>
      <x:c r="I17" t="n">
        <x:v>110</x:v>
      </x:c>
      <x:c r="J17" t="n">
        <x:v>200</x:v>
      </x:c>
      <x:c r="K17" t="n">
        <x:v>91</x:v>
      </x:c>
      <x:c r="L17" t="str">
        <x:v>Offshore Manager</x:v>
      </x:c>
      <x:c r="M17" t="str">
        <x:v>assemblies</x:v>
      </x:c>
      <x:c r="N17"/>
      <x:c r="O17"/>
      <x:c r="P17"/>
      <x:c r="Q17" t="n">
        <x:v>0</x:v>
      </x:c>
      <x:c r="R17" t="str">
        <x:v>Not started</x:v>
      </x:c>
      <x:c r="S17" t="str">
        <x:v>Provisional</x:v>
      </x:c>
      <x:c r="T17" t="str">
        <x:v>Verify measured scope, resources and predecessor logic</x:v>
      </x:c>
    </x:row>
    <x:row r="18">
      <x:c r="A18" t="str">
        <x:v>ICW-ICG-UD-19</x:v>
      </x:c>
      <x:c r="B18" t="str">
        <x:v>ICW-ICG-UD</x:v>
      </x:c>
      <x:c r="C18" t="str">
        <x:v>Strengthening</x:v>
      </x:c>
      <x:c r="D18" t="str">
        <x:v>A</x:v>
      </x:c>
      <x:c r="E18" t="str">
        <x:v>Offshore</x:v>
      </x:c>
      <x:c r="F18" t="str">
        <x:v>Connection welding and bolting</x:v>
      </x:c>
      <x:c r="G18" t="str">
        <x:v>ICW-ICG-UD-18</x:v>
      </x:c>
      <x:c r="H18" t="str">
        <x:v>FS</x:v>
      </x:c>
      <x:c r="I18" t="n">
        <x:v>125</x:v>
      </x:c>
      <x:c r="J18" t="n">
        <x:v>215</x:v>
      </x:c>
      <x:c r="K18" t="n">
        <x:v>91</x:v>
      </x:c>
      <x:c r="L18" t="str">
        <x:v>Offshore Manager</x:v>
      </x:c>
      <x:c r="M18" t="str">
        <x:v>joints</x:v>
      </x:c>
      <x:c r="N18"/>
      <x:c r="O18"/>
      <x:c r="P18"/>
      <x:c r="Q18" t="n">
        <x:v>0</x:v>
      </x:c>
      <x:c r="R18" t="str">
        <x:v>Not started</x:v>
      </x:c>
      <x:c r="S18" t="str">
        <x:v>Provisional</x:v>
      </x:c>
      <x:c r="T18" t="str">
        <x:v>Verify measured scope, resources and predecessor logic</x:v>
      </x:c>
    </x:row>
    <x:row r="19">
      <x:c r="A19" t="str">
        <x:v>ICW-ICG-UD-20</x:v>
      </x:c>
      <x:c r="B19" t="str">
        <x:v>ICW-ICG-UD</x:v>
      </x:c>
      <x:c r="C19" t="str">
        <x:v>Strengthening</x:v>
      </x:c>
      <x:c r="D19" t="str">
        <x:v>A</x:v>
      </x:c>
      <x:c r="E19" t="str">
        <x:v>Offshore</x:v>
      </x:c>
      <x:c r="F19" t="str">
        <x:v>Inspection and coating restoration</x:v>
      </x:c>
      <x:c r="G19" t="str">
        <x:v>ICW-ICG-UD-19</x:v>
      </x:c>
      <x:c r="H19" t="str">
        <x:v>FS</x:v>
      </x:c>
      <x:c r="I19" t="n">
        <x:v>145</x:v>
      </x:c>
      <x:c r="J19" t="n">
        <x:v>235</x:v>
      </x:c>
      <x:c r="K19" t="n">
        <x:v>91</x:v>
      </x:c>
      <x:c r="L19" t="str">
        <x:v>QAQC Manager</x:v>
      </x:c>
      <x:c r="M19" t="str">
        <x:v>joints</x:v>
      </x:c>
      <x:c r="N19"/>
      <x:c r="O19"/>
      <x:c r="P19"/>
      <x:c r="Q19" t="n">
        <x:v>0</x:v>
      </x:c>
      <x:c r="R19" t="str">
        <x:v>Not started</x:v>
      </x:c>
      <x:c r="S19" t="str">
        <x:v>Provisional</x:v>
      </x:c>
      <x:c r="T19" t="str">
        <x:v>Verify measured scope, resources and predecessor logic</x:v>
      </x:c>
    </x:row>
    <x:row r="20">
      <x:c r="A20" t="str">
        <x:v>ICG-ICP-UD-16</x:v>
      </x:c>
      <x:c r="B20" t="str">
        <x:v>ICG-ICP-UD</x:v>
      </x:c>
      <x:c r="C20" t="str">
        <x:v>Strengthening</x:v>
      </x:c>
      <x:c r="D20" t="str">
        <x:v>A</x:v>
      </x:c>
      <x:c r="E20" t="str">
        <x:v>Offshore</x:v>
      </x:c>
      <x:c r="F20" t="str">
        <x:v>Access and permit readiness</x:v>
      </x:c>
      <x:c r="G20" t="str"/>
      <x:c r="H20" t="str">
        <x:v>FS</x:v>
      </x:c>
      <x:c r="I20" t="n">
        <x:v>72</x:v>
      </x:c>
      <x:c r="J20" t="n">
        <x:v>152</x:v>
      </x:c>
      <x:c r="K20" t="n">
        <x:v>81</x:v>
      </x:c>
      <x:c r="L20" t="str">
        <x:v>Offshore Manager</x:v>
      </x:c>
      <x:c r="M20" t="str">
        <x:v>fronts</x:v>
      </x:c>
      <x:c r="N20"/>
      <x:c r="O20"/>
      <x:c r="P20"/>
      <x:c r="Q20" t="n">
        <x:v>0</x:v>
      </x:c>
      <x:c r="R20" t="str">
        <x:v>Not started</x:v>
      </x:c>
      <x:c r="S20" t="str">
        <x:v>Provisional</x:v>
      </x:c>
      <x:c r="T20" t="str">
        <x:v>Verify measured scope, resources and predecessor logic</x:v>
      </x:c>
    </x:row>
    <x:row r="21">
      <x:c r="A21" t="str">
        <x:v>ICG-ICP-UD-17</x:v>
      </x:c>
      <x:c r="B21" t="str">
        <x:v>ICG-ICP-UD</x:v>
      </x:c>
      <x:c r="C21" t="str">
        <x:v>Strengthening</x:v>
      </x:c>
      <x:c r="D21" t="str">
        <x:v>A</x:v>
      </x:c>
      <x:c r="E21" t="str">
        <x:v>Offshore</x:v>
      </x:c>
      <x:c r="F21" t="str">
        <x:v>Temporary access and works</x:v>
      </x:c>
      <x:c r="G21" t="str">
        <x:v>ICG-ICP-UD-16</x:v>
      </x:c>
      <x:c r="H21" t="str">
        <x:v>FS</x:v>
      </x:c>
      <x:c r="I21" t="n">
        <x:v>97</x:v>
      </x:c>
      <x:c r="J21" t="n">
        <x:v>187</x:v>
      </x:c>
      <x:c r="K21" t="n">
        <x:v>91</x:v>
      </x:c>
      <x:c r="L21" t="str">
        <x:v>Offshore Manager</x:v>
      </x:c>
      <x:c r="M21" t="str">
        <x:v>workfronts</x:v>
      </x:c>
      <x:c r="N21"/>
      <x:c r="O21"/>
      <x:c r="P21"/>
      <x:c r="Q21" t="n">
        <x:v>0</x:v>
      </x:c>
      <x:c r="R21" t="str">
        <x:v>Not started</x:v>
      </x:c>
      <x:c r="S21" t="str">
        <x:v>Provisional</x:v>
      </x:c>
      <x:c r="T21" t="str">
        <x:v>Verify measured scope, resources and predecessor logic</x:v>
      </x:c>
    </x:row>
    <x:row r="22">
      <x:c r="A22" t="str">
        <x:v>ICG-ICP-UD-18</x:v>
      </x:c>
      <x:c r="B22" t="str">
        <x:v>ICG-ICP-UD</x:v>
      </x:c>
      <x:c r="C22" t="str">
        <x:v>Strengthening</x:v>
      </x:c>
      <x:c r="D22" t="str">
        <x:v>A</x:v>
      </x:c>
      <x:c r="E22" t="str">
        <x:v>Offshore</x:v>
      </x:c>
      <x:c r="F22" t="str">
        <x:v>Structural fit-up or landing</x:v>
      </x:c>
      <x:c r="G22" t="str">
        <x:v>ICG-ICP-UD-17</x:v>
      </x:c>
      <x:c r="H22" t="str">
        <x:v>FS</x:v>
      </x:c>
      <x:c r="I22" t="n">
        <x:v>122</x:v>
      </x:c>
      <x:c r="J22" t="n">
        <x:v>212</x:v>
      </x:c>
      <x:c r="K22" t="n">
        <x:v>91</x:v>
      </x:c>
      <x:c r="L22" t="str">
        <x:v>Offshore Manager</x:v>
      </x:c>
      <x:c r="M22" t="str">
        <x:v>assemblies</x:v>
      </x:c>
      <x:c r="N22"/>
      <x:c r="O22"/>
      <x:c r="P22"/>
      <x:c r="Q22" t="n">
        <x:v>0</x:v>
      </x:c>
      <x:c r="R22" t="str">
        <x:v>Not started</x:v>
      </x:c>
      <x:c r="S22" t="str">
        <x:v>Provisional</x:v>
      </x:c>
      <x:c r="T22" t="str">
        <x:v>Verify measured scope, resources and predecessor logic</x:v>
      </x:c>
    </x:row>
    <x:row r="23">
      <x:c r="A23" t="str">
        <x:v>ICG-ICP-UD-19</x:v>
      </x:c>
      <x:c r="B23" t="str">
        <x:v>ICG-ICP-UD</x:v>
      </x:c>
      <x:c r="C23" t="str">
        <x:v>Strengthening</x:v>
      </x:c>
      <x:c r="D23" t="str">
        <x:v>A</x:v>
      </x:c>
      <x:c r="E23" t="str">
        <x:v>Offshore</x:v>
      </x:c>
      <x:c r="F23" t="str">
        <x:v>Connection welding and bolting</x:v>
      </x:c>
      <x:c r="G23" t="str">
        <x:v>ICG-ICP-UD-18</x:v>
      </x:c>
      <x:c r="H23" t="str">
        <x:v>FS</x:v>
      </x:c>
      <x:c r="I23" t="n">
        <x:v>137</x:v>
      </x:c>
      <x:c r="J23" t="n">
        <x:v>227</x:v>
      </x:c>
      <x:c r="K23" t="n">
        <x:v>91</x:v>
      </x:c>
      <x:c r="L23" t="str">
        <x:v>Offshore Manager</x:v>
      </x:c>
      <x:c r="M23" t="str">
        <x:v>joints</x:v>
      </x:c>
      <x:c r="N23"/>
      <x:c r="O23"/>
      <x:c r="P23"/>
      <x:c r="Q23" t="n">
        <x:v>0</x:v>
      </x:c>
      <x:c r="R23" t="str">
        <x:v>Not started</x:v>
      </x:c>
      <x:c r="S23" t="str">
        <x:v>Provisional</x:v>
      </x:c>
      <x:c r="T23" t="str">
        <x:v>Verify measured scope, resources and predecessor logic</x:v>
      </x:c>
    </x:row>
    <x:row r="24">
      <x:c r="A24" t="str">
        <x:v>ICG-ICP-UD-20</x:v>
      </x:c>
      <x:c r="B24" t="str">
        <x:v>ICG-ICP-UD</x:v>
      </x:c>
      <x:c r="C24" t="str">
        <x:v>Strengthening</x:v>
      </x:c>
      <x:c r="D24" t="str">
        <x:v>A</x:v>
      </x:c>
      <x:c r="E24" t="str">
        <x:v>Offshore</x:v>
      </x:c>
      <x:c r="F24" t="str">
        <x:v>Inspection and coating restoration</x:v>
      </x:c>
      <x:c r="G24" t="str">
        <x:v>ICG-ICP-UD-19</x:v>
      </x:c>
      <x:c r="H24" t="str">
        <x:v>FS</x:v>
      </x:c>
      <x:c r="I24" t="n">
        <x:v>157</x:v>
      </x:c>
      <x:c r="J24" t="n">
        <x:v>247</x:v>
      </x:c>
      <x:c r="K24" t="n">
        <x:v>91</x:v>
      </x:c>
      <x:c r="L24" t="str">
        <x:v>QAQC Manager</x:v>
      </x:c>
      <x:c r="M24" t="str">
        <x:v>joints</x:v>
      </x:c>
      <x:c r="N24"/>
      <x:c r="O24"/>
      <x:c r="P24"/>
      <x:c r="Q24" t="n">
        <x:v>0</x:v>
      </x:c>
      <x:c r="R24" t="str">
        <x:v>Not started</x:v>
      </x:c>
      <x:c r="S24" t="str">
        <x:v>Provisional</x:v>
      </x:c>
      <x:c r="T24" t="str">
        <x:v>Verify measured scope, resources and predecessor logic</x:v>
      </x:c>
    </x:row>
    <x:row r="25">
      <x:c r="A25" t="str">
        <x:v>SLQ-WIS-16</x:v>
      </x:c>
      <x:c r="B25" t="str">
        <x:v>SLQ-WIS</x:v>
      </x:c>
      <x:c r="C25" t="str">
        <x:v>Strengthening</x:v>
      </x:c>
      <x:c r="D25" t="str">
        <x:v>A</x:v>
      </x:c>
      <x:c r="E25" t="str">
        <x:v>Offshore</x:v>
      </x:c>
      <x:c r="F25" t="str">
        <x:v>Access and permit readiness</x:v>
      </x:c>
      <x:c r="G25" t="str"/>
      <x:c r="H25" t="str">
        <x:v>FS</x:v>
      </x:c>
      <x:c r="I25" t="n">
        <x:v>84</x:v>
      </x:c>
      <x:c r="J25" t="n">
        <x:v>164</x:v>
      </x:c>
      <x:c r="K25" t="n">
        <x:v>81</x:v>
      </x:c>
      <x:c r="L25" t="str">
        <x:v>Offshore Manager</x:v>
      </x:c>
      <x:c r="M25" t="str">
        <x:v>fronts</x:v>
      </x:c>
      <x:c r="N25"/>
      <x:c r="O25"/>
      <x:c r="P25"/>
      <x:c r="Q25" t="n">
        <x:v>0</x:v>
      </x:c>
      <x:c r="R25" t="str">
        <x:v>Not started</x:v>
      </x:c>
      <x:c r="S25" t="str">
        <x:v>Provisional</x:v>
      </x:c>
      <x:c r="T25" t="str">
        <x:v>Verify measured scope, resources and predecessor logic</x:v>
      </x:c>
    </x:row>
    <x:row r="26">
      <x:c r="A26" t="str">
        <x:v>SLQ-WIS-17</x:v>
      </x:c>
      <x:c r="B26" t="str">
        <x:v>SLQ-WIS</x:v>
      </x:c>
      <x:c r="C26" t="str">
        <x:v>Strengthening</x:v>
      </x:c>
      <x:c r="D26" t="str">
        <x:v>A</x:v>
      </x:c>
      <x:c r="E26" t="str">
        <x:v>Offshore</x:v>
      </x:c>
      <x:c r="F26" t="str">
        <x:v>Temporary access and works</x:v>
      </x:c>
      <x:c r="G26" t="str">
        <x:v>SLQ-WIS-16</x:v>
      </x:c>
      <x:c r="H26" t="str">
        <x:v>FS</x:v>
      </x:c>
      <x:c r="I26" t="n">
        <x:v>109</x:v>
      </x:c>
      <x:c r="J26" t="n">
        <x:v>199</x:v>
      </x:c>
      <x:c r="K26" t="n">
        <x:v>91</x:v>
      </x:c>
      <x:c r="L26" t="str">
        <x:v>Offshore Manager</x:v>
      </x:c>
      <x:c r="M26" t="str">
        <x:v>workfronts</x:v>
      </x:c>
      <x:c r="N26"/>
      <x:c r="O26"/>
      <x:c r="P26"/>
      <x:c r="Q26" t="n">
        <x:v>0</x:v>
      </x:c>
      <x:c r="R26" t="str">
        <x:v>Not started</x:v>
      </x:c>
      <x:c r="S26" t="str">
        <x:v>Provisional</x:v>
      </x:c>
      <x:c r="T26" t="str">
        <x:v>Verify measured scope, resources and predecessor logic</x:v>
      </x:c>
    </x:row>
    <x:row r="27">
      <x:c r="A27" t="str">
        <x:v>SLQ-WIS-18</x:v>
      </x:c>
      <x:c r="B27" t="str">
        <x:v>SLQ-WIS</x:v>
      </x:c>
      <x:c r="C27" t="str">
        <x:v>Strengthening</x:v>
      </x:c>
      <x:c r="D27" t="str">
        <x:v>A</x:v>
      </x:c>
      <x:c r="E27" t="str">
        <x:v>Offshore</x:v>
      </x:c>
      <x:c r="F27" t="str">
        <x:v>Structural fit-up or landing</x:v>
      </x:c>
      <x:c r="G27" t="str">
        <x:v>SLQ-WIS-17</x:v>
      </x:c>
      <x:c r="H27" t="str">
        <x:v>FS</x:v>
      </x:c>
      <x:c r="I27" t="n">
        <x:v>134</x:v>
      </x:c>
      <x:c r="J27" t="n">
        <x:v>224</x:v>
      </x:c>
      <x:c r="K27" t="n">
        <x:v>91</x:v>
      </x:c>
      <x:c r="L27" t="str">
        <x:v>Offshore Manager</x:v>
      </x:c>
      <x:c r="M27" t="str">
        <x:v>assemblies</x:v>
      </x:c>
      <x:c r="N27"/>
      <x:c r="O27"/>
      <x:c r="P27"/>
      <x:c r="Q27" t="n">
        <x:v>0</x:v>
      </x:c>
      <x:c r="R27" t="str">
        <x:v>Not started</x:v>
      </x:c>
      <x:c r="S27" t="str">
        <x:v>Provisional</x:v>
      </x:c>
      <x:c r="T27" t="str">
        <x:v>Verify measured scope, resources and predecessor logic</x:v>
      </x:c>
    </x:row>
    <x:row r="28">
      <x:c r="A28" t="str">
        <x:v>SLQ-WIS-19</x:v>
      </x:c>
      <x:c r="B28" t="str">
        <x:v>SLQ-WIS</x:v>
      </x:c>
      <x:c r="C28" t="str">
        <x:v>Strengthening</x:v>
      </x:c>
      <x:c r="D28" t="str">
        <x:v>A</x:v>
      </x:c>
      <x:c r="E28" t="str">
        <x:v>Offshore</x:v>
      </x:c>
      <x:c r="F28" t="str">
        <x:v>Connection welding and bolting</x:v>
      </x:c>
      <x:c r="G28" t="str">
        <x:v>SLQ-WIS-18</x:v>
      </x:c>
      <x:c r="H28" t="str">
        <x:v>FS</x:v>
      </x:c>
      <x:c r="I28" t="n">
        <x:v>149</x:v>
      </x:c>
      <x:c r="J28" t="n">
        <x:v>239</x:v>
      </x:c>
      <x:c r="K28" t="n">
        <x:v>91</x:v>
      </x:c>
      <x:c r="L28" t="str">
        <x:v>Offshore Manager</x:v>
      </x:c>
      <x:c r="M28" t="str">
        <x:v>joints</x:v>
      </x:c>
      <x:c r="N28"/>
      <x:c r="O28"/>
      <x:c r="P28"/>
      <x:c r="Q28" t="n">
        <x:v>0</x:v>
      </x:c>
      <x:c r="R28" t="str">
        <x:v>Not started</x:v>
      </x:c>
      <x:c r="S28" t="str">
        <x:v>Provisional</x:v>
      </x:c>
      <x:c r="T28" t="str">
        <x:v>Verify measured scope, resources and predecessor logic</x:v>
      </x:c>
    </x:row>
    <x:row r="29">
      <x:c r="A29" t="str">
        <x:v>SLQ-WIS-20</x:v>
      </x:c>
      <x:c r="B29" t="str">
        <x:v>SLQ-WIS</x:v>
      </x:c>
      <x:c r="C29" t="str">
        <x:v>Strengthening</x:v>
      </x:c>
      <x:c r="D29" t="str">
        <x:v>A</x:v>
      </x:c>
      <x:c r="E29" t="str">
        <x:v>Offshore</x:v>
      </x:c>
      <x:c r="F29" t="str">
        <x:v>Inspection and coating restoration</x:v>
      </x:c>
      <x:c r="G29" t="str">
        <x:v>SLQ-WIS-19</x:v>
      </x:c>
      <x:c r="H29" t="str">
        <x:v>FS</x:v>
      </x:c>
      <x:c r="I29" t="n">
        <x:v>169</x:v>
      </x:c>
      <x:c r="J29" t="n">
        <x:v>259</x:v>
      </x:c>
      <x:c r="K29" t="n">
        <x:v>91</x:v>
      </x:c>
      <x:c r="L29" t="str">
        <x:v>QAQC Manager</x:v>
      </x:c>
      <x:c r="M29" t="str">
        <x:v>joints</x:v>
      </x:c>
      <x:c r="N29"/>
      <x:c r="O29"/>
      <x:c r="P29"/>
      <x:c r="Q29" t="n">
        <x:v>0</x:v>
      </x:c>
      <x:c r="R29" t="str">
        <x:v>Not started</x:v>
      </x:c>
      <x:c r="S29" t="str">
        <x:v>Provisional</x:v>
      </x:c>
      <x:c r="T29" t="str">
        <x:v>Verify measured scope, resources and predecessor logic</x:v>
      </x:c>
    </x:row>
    <x:row r="30">
      <x:c r="A30" t="str">
        <x:v>NQO-NQD-16</x:v>
      </x:c>
      <x:c r="B30" t="str">
        <x:v>NQO-NQD</x:v>
      </x:c>
      <x:c r="C30" t="str">
        <x:v>Strengthening</x:v>
      </x:c>
      <x:c r="D30" t="str">
        <x:v>B</x:v>
      </x:c>
      <x:c r="E30" t="str">
        <x:v>Offshore</x:v>
      </x:c>
      <x:c r="F30" t="str">
        <x:v>Access and permit readiness</x:v>
      </x:c>
      <x:c r="G30" t="str"/>
      <x:c r="H30" t="str">
        <x:v>FS</x:v>
      </x:c>
      <x:c r="I30" t="n">
        <x:v>96</x:v>
      </x:c>
      <x:c r="J30" t="n">
        <x:v>176</x:v>
      </x:c>
      <x:c r="K30" t="n">
        <x:v>81</x:v>
      </x:c>
      <x:c r="L30" t="str">
        <x:v>Offshore Manager</x:v>
      </x:c>
      <x:c r="M30" t="str">
        <x:v>fronts</x:v>
      </x:c>
      <x:c r="N30"/>
      <x:c r="O30"/>
      <x:c r="P30"/>
      <x:c r="Q30" t="n">
        <x:v>0</x:v>
      </x:c>
      <x:c r="R30" t="str">
        <x:v>Not started</x:v>
      </x:c>
      <x:c r="S30" t="str">
        <x:v>Provisional</x:v>
      </x:c>
      <x:c r="T30" t="str">
        <x:v>Verify measured scope, resources and predecessor logic</x:v>
      </x:c>
    </x:row>
    <x:row r="31">
      <x:c r="A31" t="str">
        <x:v>NQO-NQD-17</x:v>
      </x:c>
      <x:c r="B31" t="str">
        <x:v>NQO-NQD</x:v>
      </x:c>
      <x:c r="C31" t="str">
        <x:v>Strengthening</x:v>
      </x:c>
      <x:c r="D31" t="str">
        <x:v>B</x:v>
      </x:c>
      <x:c r="E31" t="str">
        <x:v>Offshore</x:v>
      </x:c>
      <x:c r="F31" t="str">
        <x:v>Temporary access and works</x:v>
      </x:c>
      <x:c r="G31" t="str">
        <x:v>NQO-NQD-16</x:v>
      </x:c>
      <x:c r="H31" t="str">
        <x:v>FS</x:v>
      </x:c>
      <x:c r="I31" t="n">
        <x:v>121</x:v>
      </x:c>
      <x:c r="J31" t="n">
        <x:v>211</x:v>
      </x:c>
      <x:c r="K31" t="n">
        <x:v>91</x:v>
      </x:c>
      <x:c r="L31" t="str">
        <x:v>Offshore Manager</x:v>
      </x:c>
      <x:c r="M31" t="str">
        <x:v>workfronts</x:v>
      </x:c>
      <x:c r="N31"/>
      <x:c r="O31"/>
      <x:c r="P31"/>
      <x:c r="Q31" t="n">
        <x:v>0</x:v>
      </x:c>
      <x:c r="R31" t="str">
        <x:v>Not started</x:v>
      </x:c>
      <x:c r="S31" t="str">
        <x:v>Provisional</x:v>
      </x:c>
      <x:c r="T31" t="str">
        <x:v>Verify measured scope, resources and predecessor logic</x:v>
      </x:c>
    </x:row>
    <x:row r="32">
      <x:c r="A32" t="str">
        <x:v>NQO-NQD-18</x:v>
      </x:c>
      <x:c r="B32" t="str">
        <x:v>NQO-NQD</x:v>
      </x:c>
      <x:c r="C32" t="str">
        <x:v>Strengthening</x:v>
      </x:c>
      <x:c r="D32" t="str">
        <x:v>B</x:v>
      </x:c>
      <x:c r="E32" t="str">
        <x:v>Offshore</x:v>
      </x:c>
      <x:c r="F32" t="str">
        <x:v>Structural fit-up or landing</x:v>
      </x:c>
      <x:c r="G32" t="str">
        <x:v>NQO-NQD-17</x:v>
      </x:c>
      <x:c r="H32" t="str">
        <x:v>FS</x:v>
      </x:c>
      <x:c r="I32" t="n">
        <x:v>146</x:v>
      </x:c>
      <x:c r="J32" t="n">
        <x:v>236</x:v>
      </x:c>
      <x:c r="K32" t="n">
        <x:v>91</x:v>
      </x:c>
      <x:c r="L32" t="str">
        <x:v>Offshore Manager</x:v>
      </x:c>
      <x:c r="M32" t="str">
        <x:v>assemblies</x:v>
      </x:c>
      <x:c r="N32"/>
      <x:c r="O32"/>
      <x:c r="P32"/>
      <x:c r="Q32" t="n">
        <x:v>0</x:v>
      </x:c>
      <x:c r="R32" t="str">
        <x:v>Not started</x:v>
      </x:c>
      <x:c r="S32" t="str">
        <x:v>Provisional</x:v>
      </x:c>
      <x:c r="T32" t="str">
        <x:v>Verify measured scope, resources and predecessor logic</x:v>
      </x:c>
    </x:row>
    <x:row r="33">
      <x:c r="A33" t="str">
        <x:v>NQO-NQD-19</x:v>
      </x:c>
      <x:c r="B33" t="str">
        <x:v>NQO-NQD</x:v>
      </x:c>
      <x:c r="C33" t="str">
        <x:v>Strengthening</x:v>
      </x:c>
      <x:c r="D33" t="str">
        <x:v>B</x:v>
      </x:c>
      <x:c r="E33" t="str">
        <x:v>Offshore</x:v>
      </x:c>
      <x:c r="F33" t="str">
        <x:v>Connection welding and bolting</x:v>
      </x:c>
      <x:c r="G33" t="str">
        <x:v>NQO-NQD-18</x:v>
      </x:c>
      <x:c r="H33" t="str">
        <x:v>FS</x:v>
      </x:c>
      <x:c r="I33" t="n">
        <x:v>161</x:v>
      </x:c>
      <x:c r="J33" t="n">
        <x:v>251</x:v>
      </x:c>
      <x:c r="K33" t="n">
        <x:v>91</x:v>
      </x:c>
      <x:c r="L33" t="str">
        <x:v>Offshore Manager</x:v>
      </x:c>
      <x:c r="M33" t="str">
        <x:v>joints</x:v>
      </x:c>
      <x:c r="N33"/>
      <x:c r="O33"/>
      <x:c r="P33"/>
      <x:c r="Q33" t="n">
        <x:v>0</x:v>
      </x:c>
      <x:c r="R33" t="str">
        <x:v>Not started</x:v>
      </x:c>
      <x:c r="S33" t="str">
        <x:v>Provisional</x:v>
      </x:c>
      <x:c r="T33" t="str">
        <x:v>Verify measured scope, resources and predecessor logic</x:v>
      </x:c>
    </x:row>
    <x:row r="34">
      <x:c r="A34" t="str">
        <x:v>NQO-NQD-20</x:v>
      </x:c>
      <x:c r="B34" t="str">
        <x:v>NQO-NQD</x:v>
      </x:c>
      <x:c r="C34" t="str">
        <x:v>Strengthening</x:v>
      </x:c>
      <x:c r="D34" t="str">
        <x:v>B</x:v>
      </x:c>
      <x:c r="E34" t="str">
        <x:v>Offshore</x:v>
      </x:c>
      <x:c r="F34" t="str">
        <x:v>Inspection and coating restoration</x:v>
      </x:c>
      <x:c r="G34" t="str">
        <x:v>NQO-NQD-19</x:v>
      </x:c>
      <x:c r="H34" t="str">
        <x:v>FS</x:v>
      </x:c>
      <x:c r="I34" t="n">
        <x:v>181</x:v>
      </x:c>
      <x:c r="J34" t="n">
        <x:v>271</x:v>
      </x:c>
      <x:c r="K34" t="n">
        <x:v>91</x:v>
      </x:c>
      <x:c r="L34" t="str">
        <x:v>QAQC Manager</x:v>
      </x:c>
      <x:c r="M34" t="str">
        <x:v>joints</x:v>
      </x:c>
      <x:c r="N34"/>
      <x:c r="O34"/>
      <x:c r="P34"/>
      <x:c r="Q34" t="n">
        <x:v>0</x:v>
      </x:c>
      <x:c r="R34" t="str">
        <x:v>Not started</x:v>
      </x:c>
      <x:c r="S34" t="str">
        <x:v>Provisional</x:v>
      </x:c>
      <x:c r="T34" t="str">
        <x:v>Verify measured scope, resources and predecessor logic</x:v>
      </x:c>
    </x:row>
    <x:row r="35">
      <x:c r="A35" t="str">
        <x:v>WIN-NC-16</x:v>
      </x:c>
      <x:c r="B35" t="str">
        <x:v>WIN-NC</x:v>
      </x:c>
      <x:c r="C35" t="str">
        <x:v>Strengthening</x:v>
      </x:c>
      <x:c r="D35" t="str">
        <x:v>B</x:v>
      </x:c>
      <x:c r="E35" t="str">
        <x:v>Offshore</x:v>
      </x:c>
      <x:c r="F35" t="str">
        <x:v>Access and permit readiness</x:v>
      </x:c>
      <x:c r="G35" t="str"/>
      <x:c r="H35" t="str">
        <x:v>FS</x:v>
      </x:c>
      <x:c r="I35" t="n">
        <x:v>108</x:v>
      </x:c>
      <x:c r="J35" t="n">
        <x:v>188</x:v>
      </x:c>
      <x:c r="K35" t="n">
        <x:v>81</x:v>
      </x:c>
      <x:c r="L35" t="str">
        <x:v>Offshore Manager</x:v>
      </x:c>
      <x:c r="M35" t="str">
        <x:v>fronts</x:v>
      </x:c>
      <x:c r="N35"/>
      <x:c r="O35"/>
      <x:c r="P35"/>
      <x:c r="Q35" t="n">
        <x:v>0</x:v>
      </x:c>
      <x:c r="R35" t="str">
        <x:v>Not started</x:v>
      </x:c>
      <x:c r="S35" t="str">
        <x:v>Provisional</x:v>
      </x:c>
      <x:c r="T35" t="str">
        <x:v>Verify measured scope, resources and predecessor logic</x:v>
      </x:c>
    </x:row>
    <x:row r="36">
      <x:c r="A36" t="str">
        <x:v>WIN-NC-17</x:v>
      </x:c>
      <x:c r="B36" t="str">
        <x:v>WIN-NC</x:v>
      </x:c>
      <x:c r="C36" t="str">
        <x:v>Strengthening</x:v>
      </x:c>
      <x:c r="D36" t="str">
        <x:v>B</x:v>
      </x:c>
      <x:c r="E36" t="str">
        <x:v>Offshore</x:v>
      </x:c>
      <x:c r="F36" t="str">
        <x:v>Temporary access and works</x:v>
      </x:c>
      <x:c r="G36" t="str">
        <x:v>WIN-NC-16</x:v>
      </x:c>
      <x:c r="H36" t="str">
        <x:v>FS</x:v>
      </x:c>
      <x:c r="I36" t="n">
        <x:v>133</x:v>
      </x:c>
      <x:c r="J36" t="n">
        <x:v>223</x:v>
      </x:c>
      <x:c r="K36" t="n">
        <x:v>91</x:v>
      </x:c>
      <x:c r="L36" t="str">
        <x:v>Offshore Manager</x:v>
      </x:c>
      <x:c r="M36" t="str">
        <x:v>workfronts</x:v>
      </x:c>
      <x:c r="N36"/>
      <x:c r="O36"/>
      <x:c r="P36"/>
      <x:c r="Q36" t="n">
        <x:v>0</x:v>
      </x:c>
      <x:c r="R36" t="str">
        <x:v>Not started</x:v>
      </x:c>
      <x:c r="S36" t="str">
        <x:v>Provisional</x:v>
      </x:c>
      <x:c r="T36" t="str">
        <x:v>Verify measured scope, resources and predecessor logic</x:v>
      </x:c>
    </x:row>
    <x:row r="37">
      <x:c r="A37" t="str">
        <x:v>WIN-NC-18</x:v>
      </x:c>
      <x:c r="B37" t="str">
        <x:v>WIN-NC</x:v>
      </x:c>
      <x:c r="C37" t="str">
        <x:v>Strengthening</x:v>
      </x:c>
      <x:c r="D37" t="str">
        <x:v>B</x:v>
      </x:c>
      <x:c r="E37" t="str">
        <x:v>Offshore</x:v>
      </x:c>
      <x:c r="F37" t="str">
        <x:v>Structural fit-up or landing</x:v>
      </x:c>
      <x:c r="G37" t="str">
        <x:v>WIN-NC-17</x:v>
      </x:c>
      <x:c r="H37" t="str">
        <x:v>FS</x:v>
      </x:c>
      <x:c r="I37" t="n">
        <x:v>158</x:v>
      </x:c>
      <x:c r="J37" t="n">
        <x:v>248</x:v>
      </x:c>
      <x:c r="K37" t="n">
        <x:v>91</x:v>
      </x:c>
      <x:c r="L37" t="str">
        <x:v>Offshore Manager</x:v>
      </x:c>
      <x:c r="M37" t="str">
        <x:v>assemblies</x:v>
      </x:c>
      <x:c r="N37"/>
      <x:c r="O37"/>
      <x:c r="P37"/>
      <x:c r="Q37" t="n">
        <x:v>0</x:v>
      </x:c>
      <x:c r="R37" t="str">
        <x:v>Not started</x:v>
      </x:c>
      <x:c r="S37" t="str">
        <x:v>Provisional</x:v>
      </x:c>
      <x:c r="T37" t="str">
        <x:v>Verify measured scope, resources and predecessor logic</x:v>
      </x:c>
    </x:row>
    <x:row r="38">
      <x:c r="A38" t="str">
        <x:v>WIN-NC-19</x:v>
      </x:c>
      <x:c r="B38" t="str">
        <x:v>WIN-NC</x:v>
      </x:c>
      <x:c r="C38" t="str">
        <x:v>Strengthening</x:v>
      </x:c>
      <x:c r="D38" t="str">
        <x:v>B</x:v>
      </x:c>
      <x:c r="E38" t="str">
        <x:v>Offshore</x:v>
      </x:c>
      <x:c r="F38" t="str">
        <x:v>Connection welding and bolting</x:v>
      </x:c>
      <x:c r="G38" t="str">
        <x:v>WIN-NC-18</x:v>
      </x:c>
      <x:c r="H38" t="str">
        <x:v>FS</x:v>
      </x:c>
      <x:c r="I38" t="n">
        <x:v>173</x:v>
      </x:c>
      <x:c r="J38" t="n">
        <x:v>263</x:v>
      </x:c>
      <x:c r="K38" t="n">
        <x:v>91</x:v>
      </x:c>
      <x:c r="L38" t="str">
        <x:v>Offshore Manager</x:v>
      </x:c>
      <x:c r="M38" t="str">
        <x:v>joints</x:v>
      </x:c>
      <x:c r="N38"/>
      <x:c r="O38"/>
      <x:c r="P38"/>
      <x:c r="Q38" t="n">
        <x:v>0</x:v>
      </x:c>
      <x:c r="R38" t="str">
        <x:v>Not started</x:v>
      </x:c>
      <x:c r="S38" t="str">
        <x:v>Provisional</x:v>
      </x:c>
      <x:c r="T38" t="str">
        <x:v>Verify measured scope, resources and predecessor logic</x:v>
      </x:c>
    </x:row>
    <x:row r="39">
      <x:c r="A39" t="str">
        <x:v>WIN-NC-20</x:v>
      </x:c>
      <x:c r="B39" t="str">
        <x:v>WIN-NC</x:v>
      </x:c>
      <x:c r="C39" t="str">
        <x:v>Strengthening</x:v>
      </x:c>
      <x:c r="D39" t="str">
        <x:v>B</x:v>
      </x:c>
      <x:c r="E39" t="str">
        <x:v>Offshore</x:v>
      </x:c>
      <x:c r="F39" t="str">
        <x:v>Inspection and coating restoration</x:v>
      </x:c>
      <x:c r="G39" t="str">
        <x:v>WIN-NC-19</x:v>
      </x:c>
      <x:c r="H39" t="str">
        <x:v>FS</x:v>
      </x:c>
      <x:c r="I39" t="n">
        <x:v>193</x:v>
      </x:c>
      <x:c r="J39" t="n">
        <x:v>283</x:v>
      </x:c>
      <x:c r="K39" t="n">
        <x:v>91</x:v>
      </x:c>
      <x:c r="L39" t="str">
        <x:v>QAQC Manager</x:v>
      </x:c>
      <x:c r="M39" t="str">
        <x:v>joints</x:v>
      </x:c>
      <x:c r="N39"/>
      <x:c r="O39"/>
      <x:c r="P39"/>
      <x:c r="Q39" t="n">
        <x:v>0</x:v>
      </x:c>
      <x:c r="R39" t="str">
        <x:v>Not started</x:v>
      </x:c>
      <x:c r="S39" t="str">
        <x:v>Provisional</x:v>
      </x:c>
      <x:c r="T39" t="str">
        <x:v>Verify measured scope, resources and predecessor logic</x:v>
      </x:c>
    </x:row>
    <x:row r="40">
      <x:c r="A40" t="str">
        <x:v>SCA-SC1-16</x:v>
      </x:c>
      <x:c r="B40" t="str">
        <x:v>SCA-SC1</x:v>
      </x:c>
      <x:c r="C40" t="str">
        <x:v>Strengthening</x:v>
      </x:c>
      <x:c r="D40" t="str">
        <x:v>B</x:v>
      </x:c>
      <x:c r="E40" t="str">
        <x:v>Offshore</x:v>
      </x:c>
      <x:c r="F40" t="str">
        <x:v>Access and permit readiness</x:v>
      </x:c>
      <x:c r="G40" t="str"/>
      <x:c r="H40" t="str">
        <x:v>FS</x:v>
      </x:c>
      <x:c r="I40" t="n">
        <x:v>120</x:v>
      </x:c>
      <x:c r="J40" t="n">
        <x:v>200</x:v>
      </x:c>
      <x:c r="K40" t="n">
        <x:v>81</x:v>
      </x:c>
      <x:c r="L40" t="str">
        <x:v>Offshore Manager</x:v>
      </x:c>
      <x:c r="M40" t="str">
        <x:v>fronts</x:v>
      </x:c>
      <x:c r="N40"/>
      <x:c r="O40"/>
      <x:c r="P40"/>
      <x:c r="Q40" t="n">
        <x:v>0</x:v>
      </x:c>
      <x:c r="R40" t="str">
        <x:v>Not started</x:v>
      </x:c>
      <x:c r="S40" t="str">
        <x:v>Provisional</x:v>
      </x:c>
      <x:c r="T40" t="str">
        <x:v>Verify measured scope, resources and predecessor logic</x:v>
      </x:c>
    </x:row>
    <x:row r="41">
      <x:c r="A41" t="str">
        <x:v>SCA-SC1-17</x:v>
      </x:c>
      <x:c r="B41" t="str">
        <x:v>SCA-SC1</x:v>
      </x:c>
      <x:c r="C41" t="str">
        <x:v>Strengthening</x:v>
      </x:c>
      <x:c r="D41" t="str">
        <x:v>B</x:v>
      </x:c>
      <x:c r="E41" t="str">
        <x:v>Offshore</x:v>
      </x:c>
      <x:c r="F41" t="str">
        <x:v>Temporary access and works</x:v>
      </x:c>
      <x:c r="G41" t="str">
        <x:v>SCA-SC1-16</x:v>
      </x:c>
      <x:c r="H41" t="str">
        <x:v>FS</x:v>
      </x:c>
      <x:c r="I41" t="n">
        <x:v>145</x:v>
      </x:c>
      <x:c r="J41" t="n">
        <x:v>235</x:v>
      </x:c>
      <x:c r="K41" t="n">
        <x:v>91</x:v>
      </x:c>
      <x:c r="L41" t="str">
        <x:v>Offshore Manager</x:v>
      </x:c>
      <x:c r="M41" t="str">
        <x:v>workfronts</x:v>
      </x:c>
      <x:c r="N41"/>
      <x:c r="O41"/>
      <x:c r="P41"/>
      <x:c r="Q41" t="n">
        <x:v>0</x:v>
      </x:c>
      <x:c r="R41" t="str">
        <x:v>Not started</x:v>
      </x:c>
      <x:c r="S41" t="str">
        <x:v>Provisional</x:v>
      </x:c>
      <x:c r="T41" t="str">
        <x:v>Verify measured scope, resources and predecessor logic</x:v>
      </x:c>
    </x:row>
    <x:row r="42">
      <x:c r="A42" t="str">
        <x:v>SCA-SC1-18</x:v>
      </x:c>
      <x:c r="B42" t="str">
        <x:v>SCA-SC1</x:v>
      </x:c>
      <x:c r="C42" t="str">
        <x:v>Strengthening</x:v>
      </x:c>
      <x:c r="D42" t="str">
        <x:v>B</x:v>
      </x:c>
      <x:c r="E42" t="str">
        <x:v>Offshore</x:v>
      </x:c>
      <x:c r="F42" t="str">
        <x:v>Structural fit-up or landing</x:v>
      </x:c>
      <x:c r="G42" t="str">
        <x:v>SCA-SC1-17</x:v>
      </x:c>
      <x:c r="H42" t="str">
        <x:v>FS</x:v>
      </x:c>
      <x:c r="I42" t="n">
        <x:v>170</x:v>
      </x:c>
      <x:c r="J42" t="n">
        <x:v>260</x:v>
      </x:c>
      <x:c r="K42" t="n">
        <x:v>91</x:v>
      </x:c>
      <x:c r="L42" t="str">
        <x:v>Offshore Manager</x:v>
      </x:c>
      <x:c r="M42" t="str">
        <x:v>assemblies</x:v>
      </x:c>
      <x:c r="N42"/>
      <x:c r="O42"/>
      <x:c r="P42"/>
      <x:c r="Q42" t="n">
        <x:v>0</x:v>
      </x:c>
      <x:c r="R42" t="str">
        <x:v>Not started</x:v>
      </x:c>
      <x:c r="S42" t="str">
        <x:v>Provisional</x:v>
      </x:c>
      <x:c r="T42" t="str">
        <x:v>Verify measured scope, resources and predecessor logic</x:v>
      </x:c>
    </x:row>
    <x:row r="43">
      <x:c r="A43" t="str">
        <x:v>SCA-SC1-19</x:v>
      </x:c>
      <x:c r="B43" t="str">
        <x:v>SCA-SC1</x:v>
      </x:c>
      <x:c r="C43" t="str">
        <x:v>Strengthening</x:v>
      </x:c>
      <x:c r="D43" t="str">
        <x:v>B</x:v>
      </x:c>
      <x:c r="E43" t="str">
        <x:v>Offshore</x:v>
      </x:c>
      <x:c r="F43" t="str">
        <x:v>Connection welding and bolting</x:v>
      </x:c>
      <x:c r="G43" t="str">
        <x:v>SCA-SC1-18</x:v>
      </x:c>
      <x:c r="H43" t="str">
        <x:v>FS</x:v>
      </x:c>
      <x:c r="I43" t="n">
        <x:v>185</x:v>
      </x:c>
      <x:c r="J43" t="n">
        <x:v>275</x:v>
      </x:c>
      <x:c r="K43" t="n">
        <x:v>91</x:v>
      </x:c>
      <x:c r="L43" t="str">
        <x:v>Offshore Manager</x:v>
      </x:c>
      <x:c r="M43" t="str">
        <x:v>joints</x:v>
      </x:c>
      <x:c r="N43"/>
      <x:c r="O43"/>
      <x:c r="P43"/>
      <x:c r="Q43" t="n">
        <x:v>0</x:v>
      </x:c>
      <x:c r="R43" t="str">
        <x:v>Not started</x:v>
      </x:c>
      <x:c r="S43" t="str">
        <x:v>Provisional</x:v>
      </x:c>
      <x:c r="T43" t="str">
        <x:v>Verify measured scope, resources and predecessor logic</x:v>
      </x:c>
    </x:row>
    <x:row r="44">
      <x:c r="A44" t="str">
        <x:v>SCA-SC1-20</x:v>
      </x:c>
      <x:c r="B44" t="str">
        <x:v>SCA-SC1</x:v>
      </x:c>
      <x:c r="C44" t="str">
        <x:v>Strengthening</x:v>
      </x:c>
      <x:c r="D44" t="str">
        <x:v>B</x:v>
      </x:c>
      <x:c r="E44" t="str">
        <x:v>Offshore</x:v>
      </x:c>
      <x:c r="F44" t="str">
        <x:v>Inspection and coating restoration</x:v>
      </x:c>
      <x:c r="G44" t="str">
        <x:v>SCA-SC1-19</x:v>
      </x:c>
      <x:c r="H44" t="str">
        <x:v>FS</x:v>
      </x:c>
      <x:c r="I44" t="n">
        <x:v>205</x:v>
      </x:c>
      <x:c r="J44" t="n">
        <x:v>295</x:v>
      </x:c>
      <x:c r="K44" t="n">
        <x:v>91</x:v>
      </x:c>
      <x:c r="L44" t="str">
        <x:v>QAQC Manager</x:v>
      </x:c>
      <x:c r="M44" t="str">
        <x:v>joints</x:v>
      </x:c>
      <x:c r="N44"/>
      <x:c r="O44"/>
      <x:c r="P44"/>
      <x:c r="Q44" t="n">
        <x:v>0</x:v>
      </x:c>
      <x:c r="R44" t="str">
        <x:v>Not started</x:v>
      </x:c>
      <x:c r="S44" t="str">
        <x:v>Provisional</x:v>
      </x:c>
      <x:c r="T44" t="str">
        <x:v>Verify measured scope, resources and predecessor logic</x:v>
      </x:c>
    </x:row>
    <x:row r="45">
      <x:c r="A45" t="str">
        <x:v>SCA-SCF-16</x:v>
      </x:c>
      <x:c r="B45" t="str">
        <x:v>SCA-SCF</x:v>
      </x:c>
      <x:c r="C45" t="str">
        <x:v>Strengthening</x:v>
      </x:c>
      <x:c r="D45" t="str">
        <x:v>B</x:v>
      </x:c>
      <x:c r="E45" t="str">
        <x:v>Offshore</x:v>
      </x:c>
      <x:c r="F45" t="str">
        <x:v>Access and permit readiness</x:v>
      </x:c>
      <x:c r="G45" t="str"/>
      <x:c r="H45" t="str">
        <x:v>FS</x:v>
      </x:c>
      <x:c r="I45" t="n">
        <x:v>132</x:v>
      </x:c>
      <x:c r="J45" t="n">
        <x:v>212</x:v>
      </x:c>
      <x:c r="K45" t="n">
        <x:v>81</x:v>
      </x:c>
      <x:c r="L45" t="str">
        <x:v>Offshore Manager</x:v>
      </x:c>
      <x:c r="M45" t="str">
        <x:v>fronts</x:v>
      </x:c>
      <x:c r="N45"/>
      <x:c r="O45"/>
      <x:c r="P45"/>
      <x:c r="Q45" t="n">
        <x:v>0</x:v>
      </x:c>
      <x:c r="R45" t="str">
        <x:v>Not started</x:v>
      </x:c>
      <x:c r="S45" t="str">
        <x:v>Provisional</x:v>
      </x:c>
      <x:c r="T45" t="str">
        <x:v>Verify measured scope, resources and predecessor logic</x:v>
      </x:c>
    </x:row>
    <x:row r="46">
      <x:c r="A46" t="str">
        <x:v>SCA-SCF-17</x:v>
      </x:c>
      <x:c r="B46" t="str">
        <x:v>SCA-SCF</x:v>
      </x:c>
      <x:c r="C46" t="str">
        <x:v>Strengthening</x:v>
      </x:c>
      <x:c r="D46" t="str">
        <x:v>B</x:v>
      </x:c>
      <x:c r="E46" t="str">
        <x:v>Offshore</x:v>
      </x:c>
      <x:c r="F46" t="str">
        <x:v>Temporary access and works</x:v>
      </x:c>
      <x:c r="G46" t="str">
        <x:v>SCA-SCF-16</x:v>
      </x:c>
      <x:c r="H46" t="str">
        <x:v>FS</x:v>
      </x:c>
      <x:c r="I46" t="n">
        <x:v>157</x:v>
      </x:c>
      <x:c r="J46" t="n">
        <x:v>247</x:v>
      </x:c>
      <x:c r="K46" t="n">
        <x:v>91</x:v>
      </x:c>
      <x:c r="L46" t="str">
        <x:v>Offshore Manager</x:v>
      </x:c>
      <x:c r="M46" t="str">
        <x:v>workfronts</x:v>
      </x:c>
      <x:c r="N46"/>
      <x:c r="O46"/>
      <x:c r="P46"/>
      <x:c r="Q46" t="n">
        <x:v>0</x:v>
      </x:c>
      <x:c r="R46" t="str">
        <x:v>Not started</x:v>
      </x:c>
      <x:c r="S46" t="str">
        <x:v>Provisional</x:v>
      </x:c>
      <x:c r="T46" t="str">
        <x:v>Verify measured scope, resources and predecessor logic</x:v>
      </x:c>
    </x:row>
    <x:row r="47">
      <x:c r="A47" t="str">
        <x:v>SCA-SCF-18</x:v>
      </x:c>
      <x:c r="B47" t="str">
        <x:v>SCA-SCF</x:v>
      </x:c>
      <x:c r="C47" t="str">
        <x:v>Strengthening</x:v>
      </x:c>
      <x:c r="D47" t="str">
        <x:v>B</x:v>
      </x:c>
      <x:c r="E47" t="str">
        <x:v>Offshore</x:v>
      </x:c>
      <x:c r="F47" t="str">
        <x:v>Structural fit-up or landing</x:v>
      </x:c>
      <x:c r="G47" t="str">
        <x:v>SCA-SCF-17</x:v>
      </x:c>
      <x:c r="H47" t="str">
        <x:v>FS</x:v>
      </x:c>
      <x:c r="I47" t="n">
        <x:v>182</x:v>
      </x:c>
      <x:c r="J47" t="n">
        <x:v>272</x:v>
      </x:c>
      <x:c r="K47" t="n">
        <x:v>91</x:v>
      </x:c>
      <x:c r="L47" t="str">
        <x:v>Offshore Manager</x:v>
      </x:c>
      <x:c r="M47" t="str">
        <x:v>assemblies</x:v>
      </x:c>
      <x:c r="N47"/>
      <x:c r="O47"/>
      <x:c r="P47"/>
      <x:c r="Q47" t="n">
        <x:v>0</x:v>
      </x:c>
      <x:c r="R47" t="str">
        <x:v>Not started</x:v>
      </x:c>
      <x:c r="S47" t="str">
        <x:v>Provisional</x:v>
      </x:c>
      <x:c r="T47" t="str">
        <x:v>Verify measured scope, resources and predecessor logic</x:v>
      </x:c>
    </x:row>
    <x:row r="48">
      <x:c r="A48" t="str">
        <x:v>SCA-SCF-19</x:v>
      </x:c>
      <x:c r="B48" t="str">
        <x:v>SCA-SCF</x:v>
      </x:c>
      <x:c r="C48" t="str">
        <x:v>Strengthening</x:v>
      </x:c>
      <x:c r="D48" t="str">
        <x:v>B</x:v>
      </x:c>
      <x:c r="E48" t="str">
        <x:v>Offshore</x:v>
      </x:c>
      <x:c r="F48" t="str">
        <x:v>Connection welding and bolting</x:v>
      </x:c>
      <x:c r="G48" t="str">
        <x:v>SCA-SCF-18</x:v>
      </x:c>
      <x:c r="H48" t="str">
        <x:v>FS</x:v>
      </x:c>
      <x:c r="I48" t="n">
        <x:v>197</x:v>
      </x:c>
      <x:c r="J48" t="n">
        <x:v>287</x:v>
      </x:c>
      <x:c r="K48" t="n">
        <x:v>91</x:v>
      </x:c>
      <x:c r="L48" t="str">
        <x:v>Offshore Manager</x:v>
      </x:c>
      <x:c r="M48" t="str">
        <x:v>joints</x:v>
      </x:c>
      <x:c r="N48"/>
      <x:c r="O48"/>
      <x:c r="P48"/>
      <x:c r="Q48" t="n">
        <x:v>0</x:v>
      </x:c>
      <x:c r="R48" t="str">
        <x:v>Not started</x:v>
      </x:c>
      <x:c r="S48" t="str">
        <x:v>Provisional</x:v>
      </x:c>
      <x:c r="T48" t="str">
        <x:v>Verify measured scope, resources and predecessor logic</x:v>
      </x:c>
    </x:row>
    <x:row r="49">
      <x:c r="A49" t="str">
        <x:v>SCA-SCF-20</x:v>
      </x:c>
      <x:c r="B49" t="str">
        <x:v>SCA-SCF</x:v>
      </x:c>
      <x:c r="C49" t="str">
        <x:v>Strengthening</x:v>
      </x:c>
      <x:c r="D49" t="str">
        <x:v>B</x:v>
      </x:c>
      <x:c r="E49" t="str">
        <x:v>Offshore</x:v>
      </x:c>
      <x:c r="F49" t="str">
        <x:v>Inspection and coating restoration</x:v>
      </x:c>
      <x:c r="G49" t="str">
        <x:v>SCA-SCF-19</x:v>
      </x:c>
      <x:c r="H49" t="str">
        <x:v>FS</x:v>
      </x:c>
      <x:c r="I49" t="n">
        <x:v>217</x:v>
      </x:c>
      <x:c r="J49" t="n">
        <x:v>307</x:v>
      </x:c>
      <x:c r="K49" t="n">
        <x:v>91</x:v>
      </x:c>
      <x:c r="L49" t="str">
        <x:v>QAQC Manager</x:v>
      </x:c>
      <x:c r="M49" t="str">
        <x:v>joints</x:v>
      </x:c>
      <x:c r="N49"/>
      <x:c r="O49"/>
      <x:c r="P49"/>
      <x:c r="Q49" t="n">
        <x:v>0</x:v>
      </x:c>
      <x:c r="R49" t="str">
        <x:v>Not started</x:v>
      </x:c>
      <x:c r="S49" t="str">
        <x:v>Provisional</x:v>
      </x:c>
      <x:c r="T49" t="str">
        <x:v>Verify measured scope, resources and predecessor logic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7" hidden="0" customWidth="1"/>
    <x:col min="4" max="4" width="10" hidden="0" customWidth="1"/>
    <x:col min="5" max="5" width="19" hidden="0" customWidth="1"/>
    <x:col min="6" max="6" width="44" hidden="0" customWidth="1"/>
    <x:col min="7" max="7" width="25" hidden="0" customWidth="1"/>
    <x:col min="8" max="8" width="10" hidden="0" customWidth="1"/>
    <x:col min="9" max="9" width="14" hidden="0" customWidth="1"/>
    <x:col min="10" max="10" width="14" hidden="0" customWidth="1"/>
    <x:col min="11" max="11" width="16" hidden="0" customWidth="1"/>
    <x:col min="12" max="12" width="26" hidden="0" customWidth="1"/>
    <x:col min="13" max="13" width="17" hidden="0" customWidth="1"/>
    <x:col min="14" max="14" width="16" hidden="0" customWidth="1"/>
    <x:col min="15" max="15" width="16" hidden="0" customWidth="1"/>
    <x:col min="16" max="16" width="16" hidden="0" customWidth="1"/>
    <x:col min="17" max="17" width="15" hidden="0" customWidth="1"/>
    <x:col min="18" max="18" width="18" hidden="0" customWidth="1"/>
    <x:col min="19" max="19" width="17" hidden="0" customWidth="1"/>
    <x:col min="20" max="20" width="65" hidden="0" customWidth="1"/>
  </x:cols>
  <x:sheetData>
    <x:row r="1" ht="30" customHeight="1">
      <x:c r="A1" s="4" t="str">
        <x:v>Activity ID</x:v>
      </x:c>
      <x:c r="B1" s="4" t="str">
        <x:v>Bridge ID</x:v>
      </x:c>
      <x:c r="C1" s="4" t="str">
        <x:v>Work Type</x:v>
      </x:c>
      <x:c r="D1" s="4" t="str">
        <x:v>Team</x:v>
      </x:c>
      <x:c r="E1" s="4" t="str">
        <x:v>Discipline</x:v>
      </x:c>
      <x:c r="F1" s="4" t="str">
        <x:v>Activity</x:v>
      </x:c>
      <x:c r="G1" s="4" t="str">
        <x:v>Predecessor ID</x:v>
      </x:c>
      <x:c r="H1" s="4" t="str">
        <x:v>Link</x:v>
      </x:c>
      <x:c r="I1" s="4" t="str">
        <x:v>Start Day</x:v>
      </x:c>
      <x:c r="J1" s="4" t="str">
        <x:v>Finish Day</x:v>
      </x:c>
      <x:c r="K1" s="4" t="str">
        <x:v>Duration Days</x:v>
      </x:c>
      <x:c r="L1" s="4" t="str">
        <x:v>Responsible</x:v>
      </x:c>
      <x:c r="M1" s="4" t="str">
        <x:v>Unit</x:v>
      </x:c>
      <x:c r="N1" s="4" t="str">
        <x:v>Budget Qty</x:v>
      </x:c>
      <x:c r="O1" s="4" t="str">
        <x:v>Actual Qty</x:v>
      </x:c>
      <x:c r="P1" s="4" t="str">
        <x:v>Budget MH</x:v>
      </x:c>
      <x:c r="Q1" s="4" t="str">
        <x:v>Progress %</x:v>
      </x:c>
      <x:c r="R1" s="4" t="str">
        <x:v>Status</x:v>
      </x:c>
      <x:c r="S1" s="4" t="str">
        <x:v>Basis</x:v>
      </x:c>
      <x:c r="T1" s="4" t="str">
        <x:v>Constraints / Notes</x:v>
      </x:c>
    </x:row>
    <x:row r="2">
      <x:c r="A2" t="str">
        <x:v>BHS-SLQ-SP64</x:v>
      </x:c>
      <x:c r="B2" t="str">
        <x:v>BHS-SLQ</x:v>
      </x:c>
      <x:c r="C2" t="str">
        <x:v>Replacement</x:v>
      </x:c>
      <x:c r="D2" t="str">
        <x:v>C</x:v>
      </x:c>
      <x:c r="E2" t="str">
        <x:v>Demolition</x:v>
      </x:c>
      <x:c r="F2" t="str">
        <x:v>Operational isolation and service transfer</x:v>
      </x:c>
      <x:c r="G2" t="str"/>
      <x:c r="H2" t="str">
        <x:v>FS</x:v>
      </x:c>
      <x:c r="I2" t="n">
        <x:v>165</x:v>
      </x:c>
      <x:c r="J2" t="n">
        <x:v>192</x:v>
      </x:c>
      <x:c r="K2" t="n">
        <x:v>28</x:v>
      </x:c>
      <x:c r="L2" t="str">
        <x:v>Marine / Offshore Manager</x:v>
      </x:c>
      <x:c r="M2" t="str">
        <x:v>pieces</x:v>
      </x:c>
      <x:c r="N2"/>
      <x:c r="O2"/>
      <x:c r="P2"/>
      <x:c r="Q2" t="n">
        <x:v>0</x:v>
      </x:c>
      <x:c r="R2" t="str">
        <x:v>Not started</x:v>
      </x:c>
      <x:c r="S2" t="str">
        <x:v>Provisional</x:v>
      </x:c>
      <x:c r="T2" t="str">
        <x:v>Requires approved structural and operational removal sequence</x:v>
      </x:c>
    </x:row>
    <x:row r="3">
      <x:c r="A3" t="str">
        <x:v>BHS-SLQ-SP65</x:v>
      </x:c>
      <x:c r="B3" t="str">
        <x:v>BHS-SLQ</x:v>
      </x:c>
      <x:c r="C3" t="str">
        <x:v>Replacement</x:v>
      </x:c>
      <x:c r="D3" t="str">
        <x:v>C</x:v>
      </x:c>
      <x:c r="E3" t="str">
        <x:v>Demolition</x:v>
      </x:c>
      <x:c r="F3" t="str">
        <x:v>Engineered demolition and removal</x:v>
      </x:c>
      <x:c r="G3" t="str"/>
      <x:c r="H3" t="str">
        <x:v>FS</x:v>
      </x:c>
      <x:c r="I3" t="n">
        <x:v>210</x:v>
      </x:c>
      <x:c r="J3" t="n">
        <x:v>240</x:v>
      </x:c>
      <x:c r="K3" t="n">
        <x:v>31</x:v>
      </x:c>
      <x:c r="L3" t="str">
        <x:v>Marine / Offshore Manager</x:v>
      </x:c>
      <x:c r="M3" t="str">
        <x:v>pieces</x:v>
      </x:c>
      <x:c r="N3"/>
      <x:c r="O3"/>
      <x:c r="P3"/>
      <x:c r="Q3" t="n">
        <x:v>0</x:v>
      </x:c>
      <x:c r="R3" t="str">
        <x:v>Not started</x:v>
      </x:c>
      <x:c r="S3" t="str">
        <x:v>Provisional</x:v>
      </x:c>
      <x:c r="T3" t="str">
        <x:v>Requires approved structural and operational removal sequence</x:v>
      </x:c>
    </x:row>
    <x:row r="4">
      <x:c r="A4" t="str">
        <x:v>BHS-SLQ-SP66</x:v>
      </x:c>
      <x:c r="B4" t="str">
        <x:v>BHS-SLQ</x:v>
      </x:c>
      <x:c r="C4" t="str">
        <x:v>Replacement</x:v>
      </x:c>
      <x:c r="D4" t="str">
        <x:v>C</x:v>
      </x:c>
      <x:c r="E4" t="str">
        <x:v>Demolition</x:v>
      </x:c>
      <x:c r="F4" t="str">
        <x:v>Backload and disposal</x:v>
      </x:c>
      <x:c r="G4" t="str"/>
      <x:c r="H4" t="str">
        <x:v>FS</x:v>
      </x:c>
      <x:c r="I4" t="n">
        <x:v>225</x:v>
      </x:c>
      <x:c r="J4" t="n">
        <x:v>260</x:v>
      </x:c>
      <x:c r="K4" t="n">
        <x:v>36</x:v>
      </x:c>
      <x:c r="L4" t="str">
        <x:v>Marine / Offshore Manager</x:v>
      </x:c>
      <x:c r="M4" t="str">
        <x:v>pieces</x:v>
      </x:c>
      <x:c r="N4"/>
      <x:c r="O4"/>
      <x:c r="P4"/>
      <x:c r="Q4" t="n">
        <x:v>0</x:v>
      </x:c>
      <x:c r="R4" t="str">
        <x:v>Not started</x:v>
      </x:c>
      <x:c r="S4" t="str">
        <x:v>Provisional</x:v>
      </x:c>
      <x:c r="T4" t="str">
        <x:v>Requires approved structural and operational removal sequence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7" hidden="0" customWidth="1"/>
    <x:col min="4" max="4" width="10" hidden="0" customWidth="1"/>
    <x:col min="5" max="5" width="19" hidden="0" customWidth="1"/>
    <x:col min="6" max="6" width="44" hidden="0" customWidth="1"/>
    <x:col min="7" max="7" width="25" hidden="0" customWidth="1"/>
    <x:col min="8" max="8" width="10" hidden="0" customWidth="1"/>
    <x:col min="9" max="9" width="14" hidden="0" customWidth="1"/>
    <x:col min="10" max="10" width="14" hidden="0" customWidth="1"/>
    <x:col min="11" max="11" width="16" hidden="0" customWidth="1"/>
    <x:col min="12" max="12" width="26" hidden="0" customWidth="1"/>
    <x:col min="13" max="13" width="17" hidden="0" customWidth="1"/>
    <x:col min="14" max="14" width="16" hidden="0" customWidth="1"/>
    <x:col min="15" max="15" width="16" hidden="0" customWidth="1"/>
    <x:col min="16" max="16" width="16" hidden="0" customWidth="1"/>
    <x:col min="17" max="17" width="15" hidden="0" customWidth="1"/>
    <x:col min="18" max="18" width="18" hidden="0" customWidth="1"/>
    <x:col min="19" max="19" width="17" hidden="0" customWidth="1"/>
    <x:col min="20" max="20" width="65" hidden="0" customWidth="1"/>
  </x:cols>
  <x:sheetData>
    <x:row r="1" ht="30" customHeight="1">
      <x:c r="A1" s="4" t="str">
        <x:v>Activity ID</x:v>
      </x:c>
      <x:c r="B1" s="4" t="str">
        <x:v>Bridge ID</x:v>
      </x:c>
      <x:c r="C1" s="4" t="str">
        <x:v>Work Type</x:v>
      </x:c>
      <x:c r="D1" s="4" t="str">
        <x:v>Team</x:v>
      </x:c>
      <x:c r="E1" s="4" t="str">
        <x:v>Discipline</x:v>
      </x:c>
      <x:c r="F1" s="4" t="str">
        <x:v>Activity</x:v>
      </x:c>
      <x:c r="G1" s="4" t="str">
        <x:v>Predecessor ID</x:v>
      </x:c>
      <x:c r="H1" s="4" t="str">
        <x:v>Link</x:v>
      </x:c>
      <x:c r="I1" s="4" t="str">
        <x:v>Start Day</x:v>
      </x:c>
      <x:c r="J1" s="4" t="str">
        <x:v>Finish Day</x:v>
      </x:c>
      <x:c r="K1" s="4" t="str">
        <x:v>Duration Days</x:v>
      </x:c>
      <x:c r="L1" s="4" t="str">
        <x:v>Responsible</x:v>
      </x:c>
      <x:c r="M1" s="4" t="str">
        <x:v>Unit</x:v>
      </x:c>
      <x:c r="N1" s="4" t="str">
        <x:v>Budget Qty</x:v>
      </x:c>
      <x:c r="O1" s="4" t="str">
        <x:v>Actual Qty</x:v>
      </x:c>
      <x:c r="P1" s="4" t="str">
        <x:v>Budget MH</x:v>
      </x:c>
      <x:c r="Q1" s="4" t="str">
        <x:v>Progress %</x:v>
      </x:c>
      <x:c r="R1" s="4" t="str">
        <x:v>Status</x:v>
      </x:c>
      <x:c r="S1" s="4" t="str">
        <x:v>Basis</x:v>
      </x:c>
      <x:c r="T1" s="4" t="str">
        <x:v>Constraints / Notes</x:v>
      </x:c>
    </x:row>
    <x:row r="2">
      <x:c r="A2" t="str">
        <x:v>ICW-ICG-LD-21</x:v>
      </x:c>
      <x:c r="B2" t="str">
        <x:v>ICW-ICG-LD</x:v>
      </x:c>
      <x:c r="C2" t="str">
        <x:v>Installation</x:v>
      </x:c>
      <x:c r="D2" t="str">
        <x:v>C</x:v>
      </x:c>
      <x:c r="E2" t="str">
        <x:v>Closeout</x:v>
      </x:c>
      <x:c r="F2" t="str">
        <x:v>Punch closure and dossier</x:v>
      </x:c>
      <x:c r="G2" t="str"/>
      <x:c r="H2" t="str">
        <x:v>FS</x:v>
      </x:c>
      <x:c r="I2" t="n">
        <x:v>235</x:v>
      </x:c>
      <x:c r="J2" t="n">
        <x:v>320</x:v>
      </x:c>
      <x:c r="K2" t="n">
        <x:v>86</x:v>
      </x:c>
      <x:c r="L2" t="str">
        <x:v>Completion Manager</x:v>
      </x:c>
      <x:c r="M2" t="str">
        <x:v>packs</x:v>
      </x:c>
      <x:c r="N2"/>
      <x:c r="O2"/>
      <x:c r="P2"/>
      <x:c r="Q2" t="n">
        <x:v>0</x:v>
      </x:c>
      <x:c r="R2" t="str">
        <x:v>Not started</x:v>
      </x:c>
      <x:c r="S2" t="str">
        <x:v>Provisional</x:v>
      </x:c>
      <x:c r="T2" t="str">
        <x:v>Verify measured scope, resources and predecessor logic</x:v>
      </x:c>
    </x:row>
    <x:row r="3">
      <x:c r="A3" t="str">
        <x:v>ICW-ICG-LD-22</x:v>
      </x:c>
      <x:c r="B3" t="str">
        <x:v>ICW-ICG-LD</x:v>
      </x:c>
      <x:c r="C3" t="str">
        <x:v>Installation</x:v>
      </x:c>
      <x:c r="D3" t="str">
        <x:v>C</x:v>
      </x:c>
      <x:c r="E3" t="str">
        <x:v>Closeout</x:v>
      </x:c>
      <x:c r="F3" t="str">
        <x:v>Client acceptance and final handover</x:v>
      </x:c>
      <x:c r="G3" t="str">
        <x:v>ICW-ICG-LD-21</x:v>
      </x:c>
      <x:c r="H3" t="str">
        <x:v>FS</x:v>
      </x:c>
      <x:c r="I3" t="n">
        <x:v>300</x:v>
      </x:c>
      <x:c r="J3" t="n">
        <x:v>350</x:v>
      </x:c>
      <x:c r="K3" t="n">
        <x:v>51</x:v>
      </x:c>
      <x:c r="L3" t="str">
        <x:v>Project Director</x:v>
      </x:c>
      <x:c r="M3" t="str">
        <x:v>milestones</x:v>
      </x:c>
      <x:c r="N3"/>
      <x:c r="O3"/>
      <x:c r="P3"/>
      <x:c r="Q3" t="n">
        <x:v>0</x:v>
      </x:c>
      <x:c r="R3" t="str">
        <x:v>Not started</x:v>
      </x:c>
      <x:c r="S3" t="str">
        <x:v>Provisional</x:v>
      </x:c>
      <x:c r="T3" t="str">
        <x:v>Verify measured scope, resources and predecessor logic</x:v>
      </x:c>
    </x:row>
    <x:row r="4">
      <x:c r="A4" t="str">
        <x:v>ICG-ICP-LD-21</x:v>
      </x:c>
      <x:c r="B4" t="str">
        <x:v>ICG-ICP-LD</x:v>
      </x:c>
      <x:c r="C4" t="str">
        <x:v>Installation</x:v>
      </x:c>
      <x:c r="D4" t="str">
        <x:v>C</x:v>
      </x:c>
      <x:c r="E4" t="str">
        <x:v>Closeout</x:v>
      </x:c>
      <x:c r="F4" t="str">
        <x:v>Punch closure and dossier</x:v>
      </x:c>
      <x:c r="G4" t="str"/>
      <x:c r="H4" t="str">
        <x:v>FS</x:v>
      </x:c>
      <x:c r="I4" t="n">
        <x:v>263</x:v>
      </x:c>
      <x:c r="J4" t="n">
        <x:v>348</x:v>
      </x:c>
      <x:c r="K4" t="n">
        <x:v>86</x:v>
      </x:c>
      <x:c r="L4" t="str">
        <x:v>Completion Manager</x:v>
      </x:c>
      <x:c r="M4" t="str">
        <x:v>packs</x:v>
      </x:c>
      <x:c r="N4"/>
      <x:c r="O4"/>
      <x:c r="P4"/>
      <x:c r="Q4" t="n">
        <x:v>0</x:v>
      </x:c>
      <x:c r="R4" t="str">
        <x:v>Not started</x:v>
      </x:c>
      <x:c r="S4" t="str">
        <x:v>Provisional</x:v>
      </x:c>
      <x:c r="T4" t="str">
        <x:v>Verify measured scope, resources and predecessor logic</x:v>
      </x:c>
    </x:row>
    <x:row r="5">
      <x:c r="A5" t="str">
        <x:v>ICG-ICP-LD-22</x:v>
      </x:c>
      <x:c r="B5" t="str">
        <x:v>ICG-ICP-LD</x:v>
      </x:c>
      <x:c r="C5" t="str">
        <x:v>Installation</x:v>
      </x:c>
      <x:c r="D5" t="str">
        <x:v>C</x:v>
      </x:c>
      <x:c r="E5" t="str">
        <x:v>Closeout</x:v>
      </x:c>
      <x:c r="F5" t="str">
        <x:v>Client acceptance and final handover</x:v>
      </x:c>
      <x:c r="G5" t="str">
        <x:v>ICG-ICP-LD-21</x:v>
      </x:c>
      <x:c r="H5" t="str">
        <x:v>FS</x:v>
      </x:c>
      <x:c r="I5" t="n">
        <x:v>328</x:v>
      </x:c>
      <x:c r="J5" t="n">
        <x:v>355</x:v>
      </x:c>
      <x:c r="K5" t="n">
        <x:v>28</x:v>
      </x:c>
      <x:c r="L5" t="str">
        <x:v>Project Director</x:v>
      </x:c>
      <x:c r="M5" t="str">
        <x:v>milestones</x:v>
      </x:c>
      <x:c r="N5"/>
      <x:c r="O5"/>
      <x:c r="P5"/>
      <x:c r="Q5" t="n">
        <x:v>0</x:v>
      </x:c>
      <x:c r="R5" t="str">
        <x:v>Not started</x:v>
      </x:c>
      <x:c r="S5" t="str">
        <x:v>Provisional</x:v>
      </x:c>
      <x:c r="T5" t="str">
        <x:v>Verify measured scope, resources and predecessor logic</x:v>
      </x:c>
    </x:row>
    <x:row r="6">
      <x:c r="A6" t="str">
        <x:v>BHS-SLQ-21</x:v>
      </x:c>
      <x:c r="B6" t="str">
        <x:v>BHS-SLQ</x:v>
      </x:c>
      <x:c r="C6" t="str">
        <x:v>Replacement</x:v>
      </x:c>
      <x:c r="D6" t="str">
        <x:v>C</x:v>
      </x:c>
      <x:c r="E6" t="str">
        <x:v>Closeout</x:v>
      </x:c>
      <x:c r="F6" t="str">
        <x:v>Punch closure and dossier</x:v>
      </x:c>
      <x:c r="G6" t="str"/>
      <x:c r="H6" t="str">
        <x:v>FS</x:v>
      </x:c>
      <x:c r="I6" t="n">
        <x:v>295</x:v>
      </x:c>
      <x:c r="J6" t="n">
        <x:v>355</x:v>
      </x:c>
      <x:c r="K6" t="n">
        <x:v>61</x:v>
      </x:c>
      <x:c r="L6" t="str">
        <x:v>Completion Manager</x:v>
      </x:c>
      <x:c r="M6" t="str">
        <x:v>packs</x:v>
      </x:c>
      <x:c r="N6"/>
      <x:c r="O6"/>
      <x:c r="P6"/>
      <x:c r="Q6" t="n">
        <x:v>0</x:v>
      </x:c>
      <x:c r="R6" t="str">
        <x:v>Not started</x:v>
      </x:c>
      <x:c r="S6" t="str">
        <x:v>Provisional</x:v>
      </x:c>
      <x:c r="T6" t="str">
        <x:v>Verify measured scope, resources and predecessor logic</x:v>
      </x:c>
    </x:row>
    <x:row r="7">
      <x:c r="A7" t="str">
        <x:v>BHS-SLQ-22</x:v>
      </x:c>
      <x:c r="B7" t="str">
        <x:v>BHS-SLQ</x:v>
      </x:c>
      <x:c r="C7" t="str">
        <x:v>Replacement</x:v>
      </x:c>
      <x:c r="D7" t="str">
        <x:v>C</x:v>
      </x:c>
      <x:c r="E7" t="str">
        <x:v>Closeout</x:v>
      </x:c>
      <x:c r="F7" t="str">
        <x:v>Client acceptance and final handover</x:v>
      </x:c>
      <x:c r="G7" t="str">
        <x:v>BHS-SLQ-21</x:v>
      </x:c>
      <x:c r="H7" t="str">
        <x:v>FS</x:v>
      </x:c>
      <x:c r="I7" t="n">
        <x:v>345</x:v>
      </x:c>
      <x:c r="J7" t="n">
        <x:v>355</x:v>
      </x:c>
      <x:c r="K7" t="n">
        <x:v>11</x:v>
      </x:c>
      <x:c r="L7" t="str">
        <x:v>Project Director</x:v>
      </x:c>
      <x:c r="M7" t="str">
        <x:v>milestones</x:v>
      </x:c>
      <x:c r="N7"/>
      <x:c r="O7"/>
      <x:c r="P7"/>
      <x:c r="Q7" t="n">
        <x:v>0</x:v>
      </x:c>
      <x:c r="R7" t="str">
        <x:v>Not started</x:v>
      </x:c>
      <x:c r="S7" t="str">
        <x:v>Provisional</x:v>
      </x:c>
      <x:c r="T7" t="str">
        <x:v>Verify measured scope, resources and predecessor logic</x:v>
      </x:c>
    </x:row>
    <x:row r="8">
      <x:c r="A8" t="str">
        <x:v>ICW-ICG-UD-21</x:v>
      </x:c>
      <x:c r="B8" t="str">
        <x:v>ICW-ICG-UD</x:v>
      </x:c>
      <x:c r="C8" t="str">
        <x:v>Strengthening</x:v>
      </x:c>
      <x:c r="D8" t="str">
        <x:v>A</x:v>
      </x:c>
      <x:c r="E8" t="str">
        <x:v>Closeout</x:v>
      </x:c>
      <x:c r="F8" t="str">
        <x:v>Punch closure and dossier</x:v>
      </x:c>
      <x:c r="G8" t="str"/>
      <x:c r="H8" t="str">
        <x:v>FS</x:v>
      </x:c>
      <x:c r="I8" t="n">
        <x:v>235</x:v>
      </x:c>
      <x:c r="J8" t="n">
        <x:v>320</x:v>
      </x:c>
      <x:c r="K8" t="n">
        <x:v>86</x:v>
      </x:c>
      <x:c r="L8" t="str">
        <x:v>Completion Manager</x:v>
      </x:c>
      <x:c r="M8" t="str">
        <x:v>packs</x:v>
      </x:c>
      <x:c r="N8"/>
      <x:c r="O8"/>
      <x:c r="P8"/>
      <x:c r="Q8" t="n">
        <x:v>0</x:v>
      </x:c>
      <x:c r="R8" t="str">
        <x:v>Not started</x:v>
      </x:c>
      <x:c r="S8" t="str">
        <x:v>Provisional</x:v>
      </x:c>
      <x:c r="T8" t="str">
        <x:v>Verify measured scope, resources and predecessor logic</x:v>
      </x:c>
    </x:row>
    <x:row r="9">
      <x:c r="A9" t="str">
        <x:v>ICW-ICG-UD-22</x:v>
      </x:c>
      <x:c r="B9" t="str">
        <x:v>ICW-ICG-UD</x:v>
      </x:c>
      <x:c r="C9" t="str">
        <x:v>Strengthening</x:v>
      </x:c>
      <x:c r="D9" t="str">
        <x:v>A</x:v>
      </x:c>
      <x:c r="E9" t="str">
        <x:v>Closeout</x:v>
      </x:c>
      <x:c r="F9" t="str">
        <x:v>Client acceptance and final handover</x:v>
      </x:c>
      <x:c r="G9" t="str">
        <x:v>ICW-ICG-UD-21</x:v>
      </x:c>
      <x:c r="H9" t="str">
        <x:v>FS</x:v>
      </x:c>
      <x:c r="I9" t="n">
        <x:v>300</x:v>
      </x:c>
      <x:c r="J9" t="n">
        <x:v>350</x:v>
      </x:c>
      <x:c r="K9" t="n">
        <x:v>51</x:v>
      </x:c>
      <x:c r="L9" t="str">
        <x:v>Project Director</x:v>
      </x:c>
      <x:c r="M9" t="str">
        <x:v>milestones</x:v>
      </x:c>
      <x:c r="N9"/>
      <x:c r="O9"/>
      <x:c r="P9"/>
      <x:c r="Q9" t="n">
        <x:v>0</x:v>
      </x:c>
      <x:c r="R9" t="str">
        <x:v>Not started</x:v>
      </x:c>
      <x:c r="S9" t="str">
        <x:v>Provisional</x:v>
      </x:c>
      <x:c r="T9" t="str">
        <x:v>Verify measured scope, resources and predecessor logic</x:v>
      </x:c>
    </x:row>
    <x:row r="10">
      <x:c r="A10" t="str">
        <x:v>ICG-ICP-UD-21</x:v>
      </x:c>
      <x:c r="B10" t="str">
        <x:v>ICG-ICP-UD</x:v>
      </x:c>
      <x:c r="C10" t="str">
        <x:v>Strengthening</x:v>
      </x:c>
      <x:c r="D10" t="str">
        <x:v>A</x:v>
      </x:c>
      <x:c r="E10" t="str">
        <x:v>Closeout</x:v>
      </x:c>
      <x:c r="F10" t="str">
        <x:v>Punch closure and dossier</x:v>
      </x:c>
      <x:c r="G10" t="str"/>
      <x:c r="H10" t="str">
        <x:v>FS</x:v>
      </x:c>
      <x:c r="I10" t="n">
        <x:v>247</x:v>
      </x:c>
      <x:c r="J10" t="n">
        <x:v>332</x:v>
      </x:c>
      <x:c r="K10" t="n">
        <x:v>86</x:v>
      </x:c>
      <x:c r="L10" t="str">
        <x:v>Completion Manager</x:v>
      </x:c>
      <x:c r="M10" t="str">
        <x:v>packs</x:v>
      </x:c>
      <x:c r="N10"/>
      <x:c r="O10"/>
      <x:c r="P10"/>
      <x:c r="Q10" t="n">
        <x:v>0</x:v>
      </x:c>
      <x:c r="R10" t="str">
        <x:v>Not started</x:v>
      </x:c>
      <x:c r="S10" t="str">
        <x:v>Provisional</x:v>
      </x:c>
      <x:c r="T10" t="str">
        <x:v>Verify measured scope, resources and predecessor logic</x:v>
      </x:c>
    </x:row>
    <x:row r="11">
      <x:c r="A11" t="str">
        <x:v>ICG-ICP-UD-22</x:v>
      </x:c>
      <x:c r="B11" t="str">
        <x:v>ICG-ICP-UD</x:v>
      </x:c>
      <x:c r="C11" t="str">
        <x:v>Strengthening</x:v>
      </x:c>
      <x:c r="D11" t="str">
        <x:v>A</x:v>
      </x:c>
      <x:c r="E11" t="str">
        <x:v>Closeout</x:v>
      </x:c>
      <x:c r="F11" t="str">
        <x:v>Client acceptance and final handover</x:v>
      </x:c>
      <x:c r="G11" t="str">
        <x:v>ICG-ICP-UD-21</x:v>
      </x:c>
      <x:c r="H11" t="str">
        <x:v>FS</x:v>
      </x:c>
      <x:c r="I11" t="n">
        <x:v>312</x:v>
      </x:c>
      <x:c r="J11" t="n">
        <x:v>355</x:v>
      </x:c>
      <x:c r="K11" t="n">
        <x:v>44</x:v>
      </x:c>
      <x:c r="L11" t="str">
        <x:v>Project Director</x:v>
      </x:c>
      <x:c r="M11" t="str">
        <x:v>milestones</x:v>
      </x:c>
      <x:c r="N11"/>
      <x:c r="O11"/>
      <x:c r="P11"/>
      <x:c r="Q11" t="n">
        <x:v>0</x:v>
      </x:c>
      <x:c r="R11" t="str">
        <x:v>Not started</x:v>
      </x:c>
      <x:c r="S11" t="str">
        <x:v>Provisional</x:v>
      </x:c>
      <x:c r="T11" t="str">
        <x:v>Verify measured scope, resources and predecessor logic</x:v>
      </x:c>
    </x:row>
    <x:row r="12">
      <x:c r="A12" t="str">
        <x:v>SLQ-WIS-21</x:v>
      </x:c>
      <x:c r="B12" t="str">
        <x:v>SLQ-WIS</x:v>
      </x:c>
      <x:c r="C12" t="str">
        <x:v>Strengthening</x:v>
      </x:c>
      <x:c r="D12" t="str">
        <x:v>A</x:v>
      </x:c>
      <x:c r="E12" t="str">
        <x:v>Closeout</x:v>
      </x:c>
      <x:c r="F12" t="str">
        <x:v>Punch closure and dossier</x:v>
      </x:c>
      <x:c r="G12" t="str"/>
      <x:c r="H12" t="str">
        <x:v>FS</x:v>
      </x:c>
      <x:c r="I12" t="n">
        <x:v>259</x:v>
      </x:c>
      <x:c r="J12" t="n">
        <x:v>344</x:v>
      </x:c>
      <x:c r="K12" t="n">
        <x:v>86</x:v>
      </x:c>
      <x:c r="L12" t="str">
        <x:v>Completion Manager</x:v>
      </x:c>
      <x:c r="M12" t="str">
        <x:v>packs</x:v>
      </x:c>
      <x:c r="N12"/>
      <x:c r="O12"/>
      <x:c r="P12"/>
      <x:c r="Q12" t="n">
        <x:v>0</x:v>
      </x:c>
      <x:c r="R12" t="str">
        <x:v>Not started</x:v>
      </x:c>
      <x:c r="S12" t="str">
        <x:v>Provisional</x:v>
      </x:c>
      <x:c r="T12" t="str">
        <x:v>Verify measured scope, resources and predecessor logic</x:v>
      </x:c>
    </x:row>
    <x:row r="13">
      <x:c r="A13" t="str">
        <x:v>SLQ-WIS-22</x:v>
      </x:c>
      <x:c r="B13" t="str">
        <x:v>SLQ-WIS</x:v>
      </x:c>
      <x:c r="C13" t="str">
        <x:v>Strengthening</x:v>
      </x:c>
      <x:c r="D13" t="str">
        <x:v>A</x:v>
      </x:c>
      <x:c r="E13" t="str">
        <x:v>Closeout</x:v>
      </x:c>
      <x:c r="F13" t="str">
        <x:v>Client acceptance and final handover</x:v>
      </x:c>
      <x:c r="G13" t="str">
        <x:v>SLQ-WIS-21</x:v>
      </x:c>
      <x:c r="H13" t="str">
        <x:v>FS</x:v>
      </x:c>
      <x:c r="I13" t="n">
        <x:v>324</x:v>
      </x:c>
      <x:c r="J13" t="n">
        <x:v>355</x:v>
      </x:c>
      <x:c r="K13" t="n">
        <x:v>32</x:v>
      </x:c>
      <x:c r="L13" t="str">
        <x:v>Project Director</x:v>
      </x:c>
      <x:c r="M13" t="str">
        <x:v>milestones</x:v>
      </x:c>
      <x:c r="N13"/>
      <x:c r="O13"/>
      <x:c r="P13"/>
      <x:c r="Q13" t="n">
        <x:v>0</x:v>
      </x:c>
      <x:c r="R13" t="str">
        <x:v>Not started</x:v>
      </x:c>
      <x:c r="S13" t="str">
        <x:v>Provisional</x:v>
      </x:c>
      <x:c r="T13" t="str">
        <x:v>Verify measured scope, resources and predecessor logic</x:v>
      </x:c>
    </x:row>
    <x:row r="14">
      <x:c r="A14" t="str">
        <x:v>NQO-NQD-21</x:v>
      </x:c>
      <x:c r="B14" t="str">
        <x:v>NQO-NQD</x:v>
      </x:c>
      <x:c r="C14" t="str">
        <x:v>Strengthening</x:v>
      </x:c>
      <x:c r="D14" t="str">
        <x:v>B</x:v>
      </x:c>
      <x:c r="E14" t="str">
        <x:v>Closeout</x:v>
      </x:c>
      <x:c r="F14" t="str">
        <x:v>Punch closure and dossier</x:v>
      </x:c>
      <x:c r="G14" t="str"/>
      <x:c r="H14" t="str">
        <x:v>FS</x:v>
      </x:c>
      <x:c r="I14" t="n">
        <x:v>271</x:v>
      </x:c>
      <x:c r="J14" t="n">
        <x:v>355</x:v>
      </x:c>
      <x:c r="K14" t="n">
        <x:v>85</x:v>
      </x:c>
      <x:c r="L14" t="str">
        <x:v>Completion Manager</x:v>
      </x:c>
      <x:c r="M14" t="str">
        <x:v>packs</x:v>
      </x:c>
      <x:c r="N14"/>
      <x:c r="O14"/>
      <x:c r="P14"/>
      <x:c r="Q14" t="n">
        <x:v>0</x:v>
      </x:c>
      <x:c r="R14" t="str">
        <x:v>Not started</x:v>
      </x:c>
      <x:c r="S14" t="str">
        <x:v>Provisional</x:v>
      </x:c>
      <x:c r="T14" t="str">
        <x:v>Verify measured scope, resources and predecessor logic</x:v>
      </x:c>
    </x:row>
    <x:row r="15">
      <x:c r="A15" t="str">
        <x:v>NQO-NQD-22</x:v>
      </x:c>
      <x:c r="B15" t="str">
        <x:v>NQO-NQD</x:v>
      </x:c>
      <x:c r="C15" t="str">
        <x:v>Strengthening</x:v>
      </x:c>
      <x:c r="D15" t="str">
        <x:v>B</x:v>
      </x:c>
      <x:c r="E15" t="str">
        <x:v>Closeout</x:v>
      </x:c>
      <x:c r="F15" t="str">
        <x:v>Client acceptance and final handover</x:v>
      </x:c>
      <x:c r="G15" t="str">
        <x:v>NQO-NQD-21</x:v>
      </x:c>
      <x:c r="H15" t="str">
        <x:v>FS</x:v>
      </x:c>
      <x:c r="I15" t="n">
        <x:v>336</x:v>
      </x:c>
      <x:c r="J15" t="n">
        <x:v>355</x:v>
      </x:c>
      <x:c r="K15" t="n">
        <x:v>20</x:v>
      </x:c>
      <x:c r="L15" t="str">
        <x:v>Project Director</x:v>
      </x:c>
      <x:c r="M15" t="str">
        <x:v>milestones</x:v>
      </x:c>
      <x:c r="N15"/>
      <x:c r="O15"/>
      <x:c r="P15"/>
      <x:c r="Q15" t="n">
        <x:v>0</x:v>
      </x:c>
      <x:c r="R15" t="str">
        <x:v>Not started</x:v>
      </x:c>
      <x:c r="S15" t="str">
        <x:v>Provisional</x:v>
      </x:c>
      <x:c r="T15" t="str">
        <x:v>Verify measured scope, resources and predecessor logic</x:v>
      </x:c>
    </x:row>
    <x:row r="16">
      <x:c r="A16" t="str">
        <x:v>WIN-NC-21</x:v>
      </x:c>
      <x:c r="B16" t="str">
        <x:v>WIN-NC</x:v>
      </x:c>
      <x:c r="C16" t="str">
        <x:v>Strengthening</x:v>
      </x:c>
      <x:c r="D16" t="str">
        <x:v>B</x:v>
      </x:c>
      <x:c r="E16" t="str">
        <x:v>Closeout</x:v>
      </x:c>
      <x:c r="F16" t="str">
        <x:v>Punch closure and dossier</x:v>
      </x:c>
      <x:c r="G16" t="str"/>
      <x:c r="H16" t="str">
        <x:v>FS</x:v>
      </x:c>
      <x:c r="I16" t="n">
        <x:v>283</x:v>
      </x:c>
      <x:c r="J16" t="n">
        <x:v>355</x:v>
      </x:c>
      <x:c r="K16" t="n">
        <x:v>73</x:v>
      </x:c>
      <x:c r="L16" t="str">
        <x:v>Completion Manager</x:v>
      </x:c>
      <x:c r="M16" t="str">
        <x:v>packs</x:v>
      </x:c>
      <x:c r="N16"/>
      <x:c r="O16"/>
      <x:c r="P16"/>
      <x:c r="Q16" t="n">
        <x:v>0</x:v>
      </x:c>
      <x:c r="R16" t="str">
        <x:v>Not started</x:v>
      </x:c>
      <x:c r="S16" t="str">
        <x:v>Provisional</x:v>
      </x:c>
      <x:c r="T16" t="str">
        <x:v>Verify measured scope, resources and predecessor logic</x:v>
      </x:c>
    </x:row>
    <x:row r="17">
      <x:c r="A17" t="str">
        <x:v>WIN-NC-22</x:v>
      </x:c>
      <x:c r="B17" t="str">
        <x:v>WIN-NC</x:v>
      </x:c>
      <x:c r="C17" t="str">
        <x:v>Strengthening</x:v>
      </x:c>
      <x:c r="D17" t="str">
        <x:v>B</x:v>
      </x:c>
      <x:c r="E17" t="str">
        <x:v>Closeout</x:v>
      </x:c>
      <x:c r="F17" t="str">
        <x:v>Client acceptance and final handover</x:v>
      </x:c>
      <x:c r="G17" t="str">
        <x:v>WIN-NC-21</x:v>
      </x:c>
      <x:c r="H17" t="str">
        <x:v>FS</x:v>
      </x:c>
      <x:c r="I17" t="n">
        <x:v>345</x:v>
      </x:c>
      <x:c r="J17" t="n">
        <x:v>355</x:v>
      </x:c>
      <x:c r="K17" t="n">
        <x:v>11</x:v>
      </x:c>
      <x:c r="L17" t="str">
        <x:v>Project Director</x:v>
      </x:c>
      <x:c r="M17" t="str">
        <x:v>milestones</x:v>
      </x:c>
      <x:c r="N17"/>
      <x:c r="O17"/>
      <x:c r="P17"/>
      <x:c r="Q17" t="n">
        <x:v>0</x:v>
      </x:c>
      <x:c r="R17" t="str">
        <x:v>Not started</x:v>
      </x:c>
      <x:c r="S17" t="str">
        <x:v>Provisional</x:v>
      </x:c>
      <x:c r="T17" t="str">
        <x:v>Verify measured scope, resources and predecessor logic</x:v>
      </x:c>
    </x:row>
    <x:row r="18">
      <x:c r="A18" t="str">
        <x:v>SCA-SC1-21</x:v>
      </x:c>
      <x:c r="B18" t="str">
        <x:v>SCA-SC1</x:v>
      </x:c>
      <x:c r="C18" t="str">
        <x:v>Strengthening</x:v>
      </x:c>
      <x:c r="D18" t="str">
        <x:v>B</x:v>
      </x:c>
      <x:c r="E18" t="str">
        <x:v>Closeout</x:v>
      </x:c>
      <x:c r="F18" t="str">
        <x:v>Punch closure and dossier</x:v>
      </x:c>
      <x:c r="G18" t="str"/>
      <x:c r="H18" t="str">
        <x:v>FS</x:v>
      </x:c>
      <x:c r="I18" t="n">
        <x:v>295</x:v>
      </x:c>
      <x:c r="J18" t="n">
        <x:v>355</x:v>
      </x:c>
      <x:c r="K18" t="n">
        <x:v>61</x:v>
      </x:c>
      <x:c r="L18" t="str">
        <x:v>Completion Manager</x:v>
      </x:c>
      <x:c r="M18" t="str">
        <x:v>packs</x:v>
      </x:c>
      <x:c r="N18"/>
      <x:c r="O18"/>
      <x:c r="P18"/>
      <x:c r="Q18" t="n">
        <x:v>0</x:v>
      </x:c>
      <x:c r="R18" t="str">
        <x:v>Not started</x:v>
      </x:c>
      <x:c r="S18" t="str">
        <x:v>Provisional</x:v>
      </x:c>
      <x:c r="T18" t="str">
        <x:v>Verify measured scope, resources and predecessor logic</x:v>
      </x:c>
    </x:row>
    <x:row r="19">
      <x:c r="A19" t="str">
        <x:v>SCA-SC1-22</x:v>
      </x:c>
      <x:c r="B19" t="str">
        <x:v>SCA-SC1</x:v>
      </x:c>
      <x:c r="C19" t="str">
        <x:v>Strengthening</x:v>
      </x:c>
      <x:c r="D19" t="str">
        <x:v>B</x:v>
      </x:c>
      <x:c r="E19" t="str">
        <x:v>Closeout</x:v>
      </x:c>
      <x:c r="F19" t="str">
        <x:v>Client acceptance and final handover</x:v>
      </x:c>
      <x:c r="G19" t="str">
        <x:v>SCA-SC1-21</x:v>
      </x:c>
      <x:c r="H19" t="str">
        <x:v>FS</x:v>
      </x:c>
      <x:c r="I19" t="n">
        <x:v>345</x:v>
      </x:c>
      <x:c r="J19" t="n">
        <x:v>355</x:v>
      </x:c>
      <x:c r="K19" t="n">
        <x:v>11</x:v>
      </x:c>
      <x:c r="L19" t="str">
        <x:v>Project Director</x:v>
      </x:c>
      <x:c r="M19" t="str">
        <x:v>milestones</x:v>
      </x:c>
      <x:c r="N19"/>
      <x:c r="O19"/>
      <x:c r="P19"/>
      <x:c r="Q19" t="n">
        <x:v>0</x:v>
      </x:c>
      <x:c r="R19" t="str">
        <x:v>Not started</x:v>
      </x:c>
      <x:c r="S19" t="str">
        <x:v>Provisional</x:v>
      </x:c>
      <x:c r="T19" t="str">
        <x:v>Verify measured scope, resources and predecessor logic</x:v>
      </x:c>
    </x:row>
    <x:row r="20">
      <x:c r="A20" t="str">
        <x:v>SCA-SCF-21</x:v>
      </x:c>
      <x:c r="B20" t="str">
        <x:v>SCA-SCF</x:v>
      </x:c>
      <x:c r="C20" t="str">
        <x:v>Strengthening</x:v>
      </x:c>
      <x:c r="D20" t="str">
        <x:v>B</x:v>
      </x:c>
      <x:c r="E20" t="str">
        <x:v>Closeout</x:v>
      </x:c>
      <x:c r="F20" t="str">
        <x:v>Punch closure and dossier</x:v>
      </x:c>
      <x:c r="G20" t="str"/>
      <x:c r="H20" t="str">
        <x:v>FS</x:v>
      </x:c>
      <x:c r="I20" t="n">
        <x:v>307</x:v>
      </x:c>
      <x:c r="J20" t="n">
        <x:v>355</x:v>
      </x:c>
      <x:c r="K20" t="n">
        <x:v>49</x:v>
      </x:c>
      <x:c r="L20" t="str">
        <x:v>Completion Manager</x:v>
      </x:c>
      <x:c r="M20" t="str">
        <x:v>packs</x:v>
      </x:c>
      <x:c r="N20"/>
      <x:c r="O20"/>
      <x:c r="P20"/>
      <x:c r="Q20" t="n">
        <x:v>0</x:v>
      </x:c>
      <x:c r="R20" t="str">
        <x:v>Not started</x:v>
      </x:c>
      <x:c r="S20" t="str">
        <x:v>Provisional</x:v>
      </x:c>
      <x:c r="T20" t="str">
        <x:v>Verify measured scope, resources and predecessor logic</x:v>
      </x:c>
    </x:row>
    <x:row r="21">
      <x:c r="A21" t="str">
        <x:v>SCA-SCF-22</x:v>
      </x:c>
      <x:c r="B21" t="str">
        <x:v>SCA-SCF</x:v>
      </x:c>
      <x:c r="C21" t="str">
        <x:v>Strengthening</x:v>
      </x:c>
      <x:c r="D21" t="str">
        <x:v>B</x:v>
      </x:c>
      <x:c r="E21" t="str">
        <x:v>Closeout</x:v>
      </x:c>
      <x:c r="F21" t="str">
        <x:v>Client acceptance and final handover</x:v>
      </x:c>
      <x:c r="G21" t="str">
        <x:v>SCA-SCF-21</x:v>
      </x:c>
      <x:c r="H21" t="str">
        <x:v>FS</x:v>
      </x:c>
      <x:c r="I21" t="n">
        <x:v>345</x:v>
      </x:c>
      <x:c r="J21" t="n">
        <x:v>355</x:v>
      </x:c>
      <x:c r="K21" t="n">
        <x:v>11</x:v>
      </x:c>
      <x:c r="L21" t="str">
        <x:v>Project Director</x:v>
      </x:c>
      <x:c r="M21" t="str">
        <x:v>milestones</x:v>
      </x:c>
      <x:c r="N21"/>
      <x:c r="O21"/>
      <x:c r="P21"/>
      <x:c r="Q21" t="n">
        <x:v>0</x:v>
      </x:c>
      <x:c r="R21" t="str">
        <x:v>Not started</x:v>
      </x:c>
      <x:c r="S21" t="str">
        <x:v>Provisional</x:v>
      </x:c>
      <x:c r="T21" t="str">
        <x:v>Verify measured scope, resources and predecessor logic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27" hidden="0" customWidth="1"/>
    <x:col min="4" max="4" width="20" hidden="0" customWidth="1"/>
    <x:col min="5" max="5" width="17" hidden="0" customWidth="1"/>
    <x:col min="6" max="6" width="19" hidden="0" customWidth="1"/>
    <x:col min="7" max="7" width="20" hidden="0" customWidth="1"/>
    <x:col min="8" max="8" width="22" hidden="0" customWidth="1"/>
    <x:col min="9" max="9" width="17" hidden="0" customWidth="1"/>
    <x:col min="10" max="10" width="27" hidden="0" customWidth="1"/>
  </x:cols>
  <x:sheetData>
    <x:row r="1" ht="30" customHeight="1">
      <x:c r="A1" s="4" t="str">
        <x:v>Resource ID</x:v>
      </x:c>
      <x:c r="B1" s="4" t="str">
        <x:v>Type</x:v>
      </x:c>
      <x:c r="C1" s="4" t="str">
        <x:v>Trade / Equipment</x:v>
      </x:c>
      <x:c r="D1" s="4" t="str">
        <x:v>Available Qty</x:v>
      </x:c>
      <x:c r="E1" s="4" t="str">
        <x:v>Unit</x:v>
      </x:c>
      <x:c r="F1" s="4" t="str">
        <x:v>Daily Hours</x:v>
      </x:c>
      <x:c r="G1" s="4" t="str">
        <x:v>Days per Week</x:v>
      </x:c>
      <x:c r="H1" s="4" t="str">
        <x:v>Productivity Factor</x:v>
      </x:c>
      <x:c r="I1" s="4" t="str">
        <x:v>Verified?</x:v>
      </x:c>
      <x:c r="J1" s="4" t="str">
        <x:v>Assigned Owner</x:v>
      </x:c>
    </x:row>
    <x:row r="2">
      <x:c r="A2" t="str">
        <x:v>R01</x:v>
      </x:c>
      <x:c r="B2" t="str">
        <x:v>People</x:v>
      </x:c>
      <x:c r="C2" t="str">
        <x:v>Structural fitter</x:v>
      </x:c>
      <x:c r="D2"/>
      <x:c r="E2" t="str">
        <x:v>persons</x:v>
      </x:c>
      <x:c r="F2"/>
      <x:c r="G2"/>
      <x:c r="H2"/>
      <x:c r="I2" t="str">
        <x:v>No</x:v>
      </x:c>
      <x:c r="J2" t="str">
        <x:v>Fabrication Manager</x:v>
      </x:c>
    </x:row>
    <x:row r="3">
      <x:c r="A3" t="str">
        <x:v>R02</x:v>
      </x:c>
      <x:c r="B3" t="str">
        <x:v>People</x:v>
      </x:c>
      <x:c r="C3" t="str">
        <x:v>Qualified welder</x:v>
      </x:c>
      <x:c r="D3"/>
      <x:c r="E3" t="str">
        <x:v>persons</x:v>
      </x:c>
      <x:c r="F3"/>
      <x:c r="G3"/>
      <x:c r="H3"/>
      <x:c r="I3" t="str">
        <x:v>No</x:v>
      </x:c>
      <x:c r="J3" t="str">
        <x:v>Fabrication Manager</x:v>
      </x:c>
    </x:row>
    <x:row r="4">
      <x:c r="A4" t="str">
        <x:v>R03</x:v>
      </x:c>
      <x:c r="B4" t="str">
        <x:v>People</x:v>
      </x:c>
      <x:c r="C4" t="str">
        <x:v>Rigger</x:v>
      </x:c>
      <x:c r="D4"/>
      <x:c r="E4" t="str">
        <x:v>persons</x:v>
      </x:c>
      <x:c r="F4"/>
      <x:c r="G4"/>
      <x:c r="H4"/>
      <x:c r="I4" t="str">
        <x:v>No</x:v>
      </x:c>
      <x:c r="J4" t="str">
        <x:v>Offshore Manager</x:v>
      </x:c>
    </x:row>
    <x:row r="5">
      <x:c r="A5" t="str">
        <x:v>R04</x:v>
      </x:c>
      <x:c r="B5" t="str">
        <x:v>People</x:v>
      </x:c>
      <x:c r="C5" t="str">
        <x:v>Scaffolder</x:v>
      </x:c>
      <x:c r="D5"/>
      <x:c r="E5" t="str">
        <x:v>persons</x:v>
      </x:c>
      <x:c r="F5"/>
      <x:c r="G5"/>
      <x:c r="H5"/>
      <x:c r="I5" t="str">
        <x:v>No</x:v>
      </x:c>
      <x:c r="J5" t="str">
        <x:v>Offshore Manager</x:v>
      </x:c>
    </x:row>
    <x:row r="6">
      <x:c r="A6" t="str">
        <x:v>R05</x:v>
      </x:c>
      <x:c r="B6" t="str">
        <x:v>People</x:v>
      </x:c>
      <x:c r="C6" t="str">
        <x:v>NDT technician</x:v>
      </x:c>
      <x:c r="D6"/>
      <x:c r="E6" t="str">
        <x:v>persons</x:v>
      </x:c>
      <x:c r="F6"/>
      <x:c r="G6"/>
      <x:c r="H6"/>
      <x:c r="I6" t="str">
        <x:v>No</x:v>
      </x:c>
      <x:c r="J6" t="str">
        <x:v>QAQC Manager</x:v>
      </x:c>
    </x:row>
    <x:row r="7">
      <x:c r="A7" t="str">
        <x:v>R06</x:v>
      </x:c>
      <x:c r="B7" t="str">
        <x:v>Equipment</x:v>
      </x:c>
      <x:c r="C7" t="str">
        <x:v>Welding set</x:v>
      </x:c>
      <x:c r="D7"/>
      <x:c r="E7" t="str">
        <x:v>sets</x:v>
      </x:c>
      <x:c r="F7"/>
      <x:c r="G7"/>
      <x:c r="H7"/>
      <x:c r="I7" t="str">
        <x:v>No</x:v>
      </x:c>
      <x:c r="J7" t="str">
        <x:v>Fabrication Manager</x:v>
      </x:c>
    </x:row>
    <x:row r="8">
      <x:c r="A8" t="str">
        <x:v>R07</x:v>
      </x:c>
      <x:c r="B8" t="str">
        <x:v>Equipment</x:v>
      </x:c>
      <x:c r="C8" t="str">
        <x:v>Fabrication bay</x:v>
      </x:c>
      <x:c r="D8"/>
      <x:c r="E8" t="str">
        <x:v>bays</x:v>
      </x:c>
      <x:c r="F8"/>
      <x:c r="G8"/>
      <x:c r="H8"/>
      <x:c r="I8" t="str">
        <x:v>No</x:v>
      </x:c>
      <x:c r="J8" t="str">
        <x:v>Fabrication Manager</x:v>
      </x:c>
    </x:row>
    <x:row r="9">
      <x:c r="A9" t="str">
        <x:v>R08</x:v>
      </x:c>
      <x:c r="B9" t="str">
        <x:v>Marine</x:v>
      </x:c>
      <x:c r="C9" t="str">
        <x:v>Crane vessel</x:v>
      </x:c>
      <x:c r="D9"/>
      <x:c r="E9" t="str">
        <x:v>vessel-days</x:v>
      </x:c>
      <x:c r="F9"/>
      <x:c r="G9"/>
      <x:c r="H9"/>
      <x:c r="I9" t="str">
        <x:v>No</x:v>
      </x:c>
      <x:c r="J9" t="str">
        <x:v>Marine Manager</x:v>
      </x:c>
    </x:row>
    <x:row r="10">
      <x:c r="A10" t="str">
        <x:v>R09</x:v>
      </x:c>
      <x:c r="B10" t="str">
        <x:v>Marine</x:v>
      </x:c>
      <x:c r="C10" t="str">
        <x:v>Cargo barge</x:v>
      </x:c>
      <x:c r="D10"/>
      <x:c r="E10" t="str">
        <x:v>vessel-days</x:v>
      </x:c>
      <x:c r="F10"/>
      <x:c r="G10"/>
      <x:c r="H10"/>
      <x:c r="I10" t="str">
        <x:v>No</x:v>
      </x:c>
      <x:c r="J10" t="str">
        <x:v>Marine Manager</x:v>
      </x:c>
    </x:row>
    <x:row r="11">
      <x:c r="A11" t="str">
        <x:v>R10</x:v>
      </x:c>
      <x:c r="B11" t="str">
        <x:v>Marine</x:v>
      </x:c>
      <x:c r="C11" t="str">
        <x:v>Crew transport</x:v>
      </x:c>
      <x:c r="D11"/>
      <x:c r="E11" t="str">
        <x:v>vessel-days</x:v>
      </x:c>
      <x:c r="F11"/>
      <x:c r="G11"/>
      <x:c r="H11"/>
      <x:c r="I11" t="str">
        <x:v>No</x:v>
      </x:c>
      <x:c r="J11" t="str">
        <x:v>Marine Manager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26" hidden="0" customWidth="1"/>
    <x:col min="4" max="4" width="23" hidden="0" customWidth="1"/>
    <x:col min="5" max="5" width="18" hidden="0" customWidth="1"/>
    <x:col min="6" max="6" width="18" hidden="0" customWidth="1"/>
    <x:col min="7" max="7" width="15" hidden="0" customWidth="1"/>
    <x:col min="8" max="8" width="17" hidden="0" customWidth="1"/>
    <x:col min="9" max="9" width="13" hidden="0" customWidth="1"/>
    <x:col min="10" max="10" width="27" hidden="0" customWidth="1"/>
    <x:col min="11" max="11" width="19" hidden="0" customWidth="1"/>
    <x:col min="12" max="12" width="25" hidden="0" customWidth="1"/>
    <x:col min="13" max="13" width="19" hidden="0" customWidth="1"/>
    <x:col min="14" max="14" width="22" hidden="0" customWidth="1"/>
    <x:col min="15" max="15" width="44" hidden="0" customWidth="1"/>
  </x:cols>
  <x:sheetData>
    <x:row r="1" ht="30" customHeight="1">
      <x:c r="A1" s="4" t="str">
        <x:v>Report Day</x:v>
      </x:c>
      <x:c r="B1" s="4" t="str">
        <x:v>Bridge ID</x:v>
      </x:c>
      <x:c r="C1" s="4" t="str">
        <x:v>Activity ID</x:v>
      </x:c>
      <x:c r="D1" s="4" t="str">
        <x:v>Work Front</x:v>
      </x:c>
      <x:c r="E1" s="4" t="str">
        <x:v>Planned Qty</x:v>
      </x:c>
      <x:c r="F1" s="4" t="str">
        <x:v>Accepted Qty</x:v>
      </x:c>
      <x:c r="G1" s="4" t="str">
        <x:v>Unit</x:v>
      </x:c>
      <x:c r="H1" s="4" t="str">
        <x:v>Actual MH</x:v>
      </x:c>
      <x:c r="I1" s="4" t="str">
        <x:v>Crew</x:v>
      </x:c>
      <x:c r="J1" s="4" t="str">
        <x:v>Equipment / Vessel</x:v>
      </x:c>
      <x:c r="K1" s="4" t="str">
        <x:v>Downtime Hours</x:v>
      </x:c>
      <x:c r="L1" s="4" t="str">
        <x:v>Cause</x:v>
      </x:c>
      <x:c r="M1" s="4" t="str">
        <x:v>QA Acceptance</x:v>
      </x:c>
      <x:c r="N1" s="4" t="str">
        <x:v>Supervisor</x:v>
      </x:c>
      <x:c r="O1" s="4" t="str">
        <x:v>Remarks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6" hidden="0" customWidth="1"/>
    <x:col min="4" max="4" width="20" hidden="0" customWidth="1"/>
    <x:col min="5" max="5" width="20" hidden="0" customWidth="1"/>
    <x:col min="6" max="6" width="19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  <x:col min="11" max="11" width="24" hidden="0" customWidth="1"/>
    <x:col min="12" max="12" width="20" hidden="0" customWidth="1"/>
    <x:col min="13" max="13" width="24" hidden="0" customWidth="1"/>
  </x:cols>
  <x:sheetData>
    <x:row r="1" ht="30" customHeight="1">
      <x:c r="A1" s="4" t="str">
        <x:v>Week</x:v>
      </x:c>
      <x:c r="B1" s="4" t="str">
        <x:v>Bridge ID</x:v>
      </x:c>
      <x:c r="C1" s="4" t="str">
        <x:v>Activity ID</x:v>
      </x:c>
      <x:c r="D1" s="4" t="str">
        <x:v>Required Start Day</x:v>
      </x:c>
      <x:c r="E1" s="4" t="str">
        <x:v>Engineering Ready</x:v>
      </x:c>
      <x:c r="F1" s="4" t="str">
        <x:v>Material Ready</x:v>
      </x:c>
      <x:c r="G1" s="4" t="str">
        <x:v>Access Ready</x:v>
      </x:c>
      <x:c r="H1" s="4" t="str">
        <x:v>Vessel Ready</x:v>
      </x:c>
      <x:c r="I1" s="4" t="str">
        <x:v>Permits Ready</x:v>
      </x:c>
      <x:c r="J1" s="4" t="str">
        <x:v>Inspection Ready</x:v>
      </x:c>
      <x:c r="K1" s="4" t="str">
        <x:v>Constraint Owner</x:v>
      </x:c>
      <x:c r="L1" s="4" t="str">
        <x:v>Target Closure Day</x:v>
      </x:c>
      <x:c r="M1" s="4" t="str">
        <x:v>Release Decision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24" hidden="0" customWidth="1"/>
    <x:col min="4" max="4" width="19" hidden="0" customWidth="1"/>
    <x:col min="5" max="5" width="60" hidden="0" customWidth="1"/>
    <x:col min="6" max="6" width="17" hidden="0" customWidth="1"/>
    <x:col min="7" max="7" width="17" hidden="0" customWidth="1"/>
    <x:col min="8" max="8" width="26" hidden="0" customWidth="1"/>
    <x:col min="9" max="9" width="58" hidden="0" customWidth="1"/>
    <x:col min="10" max="10" width="16" hidden="0" customWidth="1"/>
    <x:col min="11" max="11" width="19" hidden="0" customWidth="1"/>
  </x:cols>
  <x:sheetData>
    <x:row r="1" ht="30" customHeight="1">
      <x:c r="A1" s="4" t="str">
        <x:v>ID</x:v>
      </x:c>
      <x:c r="B1" s="4" t="str">
        <x:v>Bridge</x:v>
      </x:c>
      <x:c r="C1" s="4" t="str">
        <x:v>Activity ID</x:v>
      </x:c>
      <x:c r="D1" s="4" t="str">
        <x:v>Type</x:v>
      </x:c>
      <x:c r="E1" s="4" t="str">
        <x:v>Issue</x:v>
      </x:c>
      <x:c r="F1" s="4" t="str">
        <x:v>Probability</x:v>
      </x:c>
      <x:c r="G1" s="4" t="str">
        <x:v>Impact Days</x:v>
      </x:c>
      <x:c r="H1" s="4" t="str">
        <x:v>Owner</x:v>
      </x:c>
      <x:c r="I1" s="4" t="str">
        <x:v>Action</x:v>
      </x:c>
      <x:c r="J1" s="4" t="str">
        <x:v>Due Day</x:v>
      </x:c>
      <x:c r="K1" s="4" t="str">
        <x:v>Status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25" hidden="0" customWidth="1"/>
    <x:col min="4" max="4" width="25" hidden="0" customWidth="1"/>
    <x:col min="5" max="5" width="27" hidden="0" customWidth="1"/>
    <x:col min="6" max="6" width="24" hidden="0" customWidth="1"/>
    <x:col min="7" max="7" width="24" hidden="0" customWidth="1"/>
    <x:col min="8" max="8" width="30" hidden="0" customWidth="1"/>
    <x:col min="9" max="9" width="35" hidden="0" customWidth="1"/>
  </x:cols>
  <x:sheetData>
    <x:row r="1" ht="30" customHeight="1">
      <x:c r="A1" s="4" t="str">
        <x:v>Period</x:v>
      </x:c>
      <x:c r="B1" s="4" t="str">
        <x:v>Planned Cost INR</x:v>
      </x:c>
      <x:c r="C1" s="4" t="str">
        <x:v>Actual Cost INR</x:v>
      </x:c>
      <x:c r="D1" s="4" t="str">
        <x:v>Committed INR</x:v>
      </x:c>
      <x:c r="E1" s="4" t="str">
        <x:v>Certified Billing INR</x:v>
      </x:c>
      <x:c r="F1" s="4" t="str">
        <x:v>Cash Received INR</x:v>
      </x:c>
      <x:c r="G1" s="4" t="str">
        <x:v>Cash Paid INR</x:v>
      </x:c>
      <x:c r="H1" s="4" t="str">
        <x:v>Forecast to Complete INR</x:v>
      </x:c>
      <x:c r="I1" s="4" t="str">
        <x:v>Notes</x:v>
      </x:c>
    </x:row>
    <x:row r="2">
      <x:c r="A2" t="str">
        <x:v>D1-D30</x:v>
      </x:c>
      <x:c r="B2"/>
      <x:c r="C2"/>
      <x:c r="D2"/>
      <x:c r="E2"/>
      <x:c r="F2"/>
      <x:c r="G2"/>
      <x:c r="H2"/>
      <x:c r="I2" t="str">
        <x:v>Enter verified figures</x:v>
      </x:c>
    </x:row>
    <x:row r="3">
      <x:c r="A3" t="str">
        <x:v>D31-D60</x:v>
      </x:c>
      <x:c r="B3"/>
      <x:c r="C3"/>
      <x:c r="D3"/>
      <x:c r="E3"/>
      <x:c r="F3"/>
      <x:c r="G3"/>
      <x:c r="H3"/>
      <x:c r="I3" t="str">
        <x:v>Enter verified figures</x:v>
      </x:c>
    </x:row>
    <x:row r="4">
      <x:c r="A4" t="str">
        <x:v>D61-D90</x:v>
      </x:c>
      <x:c r="B4"/>
      <x:c r="C4"/>
      <x:c r="D4"/>
      <x:c r="E4"/>
      <x:c r="F4"/>
      <x:c r="G4"/>
      <x:c r="H4"/>
      <x:c r="I4" t="str">
        <x:v>Enter verified figures</x:v>
      </x:c>
    </x:row>
    <x:row r="5">
      <x:c r="A5" t="str">
        <x:v>D91-D120</x:v>
      </x:c>
      <x:c r="B5"/>
      <x:c r="C5"/>
      <x:c r="D5"/>
      <x:c r="E5"/>
      <x:c r="F5"/>
      <x:c r="G5"/>
      <x:c r="H5"/>
      <x:c r="I5" t="str">
        <x:v>Enter verified figures</x:v>
      </x:c>
    </x:row>
    <x:row r="6">
      <x:c r="A6" t="str">
        <x:v>D121-D150</x:v>
      </x:c>
      <x:c r="B6"/>
      <x:c r="C6"/>
      <x:c r="D6"/>
      <x:c r="E6"/>
      <x:c r="F6"/>
      <x:c r="G6"/>
      <x:c r="H6"/>
      <x:c r="I6" t="str">
        <x:v>Enter verified figures</x:v>
      </x:c>
    </x:row>
    <x:row r="7">
      <x:c r="A7" t="str">
        <x:v>D151-D180</x:v>
      </x:c>
      <x:c r="B7"/>
      <x:c r="C7"/>
      <x:c r="D7"/>
      <x:c r="E7"/>
      <x:c r="F7"/>
      <x:c r="G7"/>
      <x:c r="H7"/>
      <x:c r="I7" t="str">
        <x:v>Enter verified figures</x:v>
      </x:c>
    </x:row>
    <x:row r="8">
      <x:c r="A8" t="str">
        <x:v>D181-D210</x:v>
      </x:c>
      <x:c r="B8"/>
      <x:c r="C8"/>
      <x:c r="D8"/>
      <x:c r="E8"/>
      <x:c r="F8"/>
      <x:c r="G8"/>
      <x:c r="H8"/>
      <x:c r="I8" t="str">
        <x:v>Enter verified figures</x:v>
      </x:c>
    </x:row>
    <x:row r="9">
      <x:c r="A9" t="str">
        <x:v>D211-D240</x:v>
      </x:c>
      <x:c r="B9"/>
      <x:c r="C9"/>
      <x:c r="D9"/>
      <x:c r="E9"/>
      <x:c r="F9"/>
      <x:c r="G9"/>
      <x:c r="H9"/>
      <x:c r="I9" t="str">
        <x:v>Enter verified figures</x:v>
      </x:c>
    </x:row>
    <x:row r="10">
      <x:c r="A10" t="str">
        <x:v>D241-D270</x:v>
      </x:c>
      <x:c r="B10"/>
      <x:c r="C10"/>
      <x:c r="D10"/>
      <x:c r="E10"/>
      <x:c r="F10"/>
      <x:c r="G10"/>
      <x:c r="H10"/>
      <x:c r="I10" t="str">
        <x:v>Enter verified figures</x:v>
      </x:c>
    </x:row>
    <x:row r="11">
      <x:c r="A11" t="str">
        <x:v>D271-D300</x:v>
      </x:c>
      <x:c r="B11"/>
      <x:c r="C11"/>
      <x:c r="D11"/>
      <x:c r="E11"/>
      <x:c r="F11"/>
      <x:c r="G11"/>
      <x:c r="H11"/>
      <x:c r="I11" t="str">
        <x:v>Enter verified figures</x:v>
      </x:c>
    </x:row>
    <x:row r="12">
      <x:c r="A12" t="str">
        <x:v>D301-D330</x:v>
      </x:c>
      <x:c r="B12"/>
      <x:c r="C12"/>
      <x:c r="D12"/>
      <x:c r="E12"/>
      <x:c r="F12"/>
      <x:c r="G12"/>
      <x:c r="H12"/>
      <x:c r="I12" t="str">
        <x:v>Enter verified figures</x:v>
      </x:c>
    </x:row>
    <x:row r="13">
      <x:c r="A13" t="str">
        <x:v>D331-D360</x:v>
      </x:c>
      <x:c r="B13"/>
      <x:c r="C13"/>
      <x:c r="D13"/>
      <x:c r="E13"/>
      <x:c r="F13"/>
      <x:c r="G13"/>
      <x:c r="H13"/>
      <x:c r="I13" t="str">
        <x:v>Enter verified figures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20" hidden="0" customWidth="1"/>
    <x:col min="4" max="4" width="20" hidden="0" customWidth="1"/>
    <x:col min="5" max="5" width="24" hidden="0" customWidth="1"/>
    <x:col min="6" max="6" width="16" hidden="0" customWidth="1"/>
    <x:col min="7" max="7" width="20" hidden="0" customWidth="1"/>
    <x:col min="8" max="8" width="20" hidden="0" customWidth="1"/>
    <x:col min="9" max="9" width="20" hidden="0" customWidth="1"/>
    <x:col min="10" max="10" width="22" hidden="0" customWidth="1"/>
    <x:col min="11" max="11" width="19" hidden="0" customWidth="1"/>
  </x:cols>
  <x:sheetData>
    <x:row r="1" ht="30" customHeight="1">
      <x:c r="A1" s="4" t="str">
        <x:v>Campaign</x:v>
      </x:c>
      <x:c r="B1" s="4" t="str">
        <x:v>Bridges</x:v>
      </x:c>
      <x:c r="C1" s="4" t="str">
        <x:v>Target Start Day</x:v>
      </x:c>
      <x:c r="D1" s="4" t="str">
        <x:v>Target Finish Day</x:v>
      </x:c>
      <x:c r="E1" s="4" t="str">
        <x:v>Vessel / Spread</x:v>
      </x:c>
      <x:c r="F1" s="4" t="str">
        <x:v>Vessel Days</x:v>
      </x:c>
      <x:c r="G1" s="4" t="str">
        <x:v>Lift Register</x:v>
      </x:c>
      <x:c r="H1" s="4" t="str">
        <x:v>COG Verified</x:v>
      </x:c>
      <x:c r="I1" s="4" t="str">
        <x:v>ONGC Release</x:v>
      </x:c>
      <x:c r="J1" s="4" t="str">
        <x:v>Marine Assurance</x:v>
      </x:c>
      <x:c r="K1" s="4" t="str">
        <x:v>Status</x:v>
      </x:c>
    </x:row>
    <x:row r="2">
      <x:c r="A2" t="str">
        <x:v>M01</x:v>
      </x:c>
      <x:c r="B2" t="str">
        <x:v>Seven strengthening bridges</x:v>
      </x:c>
      <x:c r="C2" t="n">
        <x:v>85</x:v>
      </x:c>
      <x:c r="D2" t="n">
        <x:v>230</x:v>
      </x:c>
      <x:c r="E2"/>
      <x:c r="F2"/>
      <x:c r="G2" t="str">
        <x:v>Pending</x:v>
      </x:c>
      <x:c r="H2" t="str">
        <x:v>No</x:v>
      </x:c>
      <x:c r="I2" t="str">
        <x:v>Pending</x:v>
      </x:c>
      <x:c r="J2" t="str">
        <x:v>Pending</x:v>
      </x:c>
      <x:c r="K2" t="str">
        <x:v>Provisional</x:v>
      </x:c>
    </x:row>
    <x:row r="3">
      <x:c r="A3" t="str">
        <x:v>M02</x:v>
      </x:c>
      <x:c r="B3" t="str">
        <x:v>ICW-ICG-LD</x:v>
      </x:c>
      <x:c r="C3" t="n">
        <x:v>110</x:v>
      </x:c>
      <x:c r="D3" t="n">
        <x:v>145</x:v>
      </x:c>
      <x:c r="E3"/>
      <x:c r="F3"/>
      <x:c r="G3" t="str">
        <x:v>Pending</x:v>
      </x:c>
      <x:c r="H3" t="str">
        <x:v>No</x:v>
      </x:c>
      <x:c r="I3" t="str">
        <x:v>Pending</x:v>
      </x:c>
      <x:c r="J3" t="str">
        <x:v>Pending</x:v>
      </x:c>
      <x:c r="K3" t="str">
        <x:v>Provisional</x:v>
      </x:c>
    </x:row>
    <x:row r="4">
      <x:c r="A4" t="str">
        <x:v>M03</x:v>
      </x:c>
      <x:c r="B4" t="str">
        <x:v>ICG-ICP-LD</x:v>
      </x:c>
      <x:c r="C4" t="n">
        <x:v>145</x:v>
      </x:c>
      <x:c r="D4" t="n">
        <x:v>180</x:v>
      </x:c>
      <x:c r="E4"/>
      <x:c r="F4"/>
      <x:c r="G4" t="str">
        <x:v>Pending</x:v>
      </x:c>
      <x:c r="H4" t="str">
        <x:v>No</x:v>
      </x:c>
      <x:c r="I4" t="str">
        <x:v>Pending</x:v>
      </x:c>
      <x:c r="J4" t="str">
        <x:v>Pending</x:v>
      </x:c>
      <x:c r="K4" t="str">
        <x:v>Provisional</x:v>
      </x:c>
    </x:row>
    <x:row r="5">
      <x:c r="A5" t="str">
        <x:v>M04</x:v>
      </x:c>
      <x:c r="B5" t="str">
        <x:v>BHS-SLQ</x:v>
      </x:c>
      <x:c r="C5" t="n">
        <x:v>170</x:v>
      </x:c>
      <x:c r="D5" t="n">
        <x:v>240</x:v>
      </x:c>
      <x:c r="E5"/>
      <x:c r="F5"/>
      <x:c r="G5" t="str">
        <x:v>Pending</x:v>
      </x:c>
      <x:c r="H5" t="str">
        <x:v>No</x:v>
      </x:c>
      <x:c r="I5" t="str">
        <x:v>Pending</x:v>
      </x:c>
      <x:c r="J5" t="str">
        <x:v>Pending</x:v>
      </x:c>
      <x:c r="K5" t="str">
        <x:v>Provisional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7" hidden="0" customWidth="1"/>
    <x:col min="3" max="3" width="18" hidden="0" customWidth="1"/>
    <x:col min="4" max="4" width="26" hidden="0" customWidth="1"/>
    <x:col min="5" max="5" width="78" hidden="0" customWidth="1"/>
  </x:cols>
  <x:sheetData>
    <x:row r="1" ht="30" customHeight="1">
      <x:c r="A1" s="4" t="str">
        <x:v>Milestone</x:v>
      </x:c>
      <x:c r="B1" s="4" t="str">
        <x:v>Target Day</x:v>
      </x:c>
      <x:c r="C1" s="4" t="str">
        <x:v>Verified?</x:v>
      </x:c>
      <x:c r="D1" s="4" t="str">
        <x:v>Owner</x:v>
      </x:c>
      <x:c r="E1" s="4" t="str">
        <x:v>Prerequisite / Evidence</x:v>
      </x:c>
    </x:row>
    <x:row r="2">
      <x:c r="A2" t="str">
        <x:v>Contract commencement</x:v>
      </x:c>
      <x:c r="B2" t="n">
        <x:v>1</x:v>
      </x:c>
      <x:c r="C2" t="str">
        <x:v>No</x:v>
      </x:c>
      <x:c r="D2" t="str">
        <x:v>Contracts Manager</x:v>
      </x:c>
      <x:c r="E2" t="str">
        <x:v>Award and contractual start date</x:v>
      </x:c>
    </x:row>
    <x:row r="3">
      <x:c r="A3" t="str">
        <x:v>First offshore workfront</x:v>
      </x:c>
      <x:c r="B3" t="n">
        <x:v>85</x:v>
      </x:c>
      <x:c r="C3" t="str">
        <x:v>No</x:v>
      </x:c>
      <x:c r="D3" t="str">
        <x:v>Offshore Manager</x:v>
      </x:c>
      <x:c r="E3" t="str">
        <x:v>Approved permits and work packs</x:v>
      </x:c>
    </x:row>
    <x:row r="4">
      <x:c r="A4" t="str">
        <x:v>Lower deck 1 campaign finish</x:v>
      </x:c>
      <x:c r="B4" t="n">
        <x:v>145</x:v>
      </x:c>
      <x:c r="C4" t="str">
        <x:v>No</x:v>
      </x:c>
      <x:c r="D4" t="str">
        <x:v>Marine Manager</x:v>
      </x:c>
      <x:c r="E4" t="str">
        <x:v>Accepted installation</x:v>
      </x:c>
    </x:row>
    <x:row r="5">
      <x:c r="A5" t="str">
        <x:v>Lower deck 2 campaign finish</x:v>
      </x:c>
      <x:c r="B5" t="n">
        <x:v>180</x:v>
      </x:c>
      <x:c r="C5" t="str">
        <x:v>No</x:v>
      </x:c>
      <x:c r="D5" t="str">
        <x:v>Marine Manager</x:v>
      </x:c>
      <x:c r="E5" t="str">
        <x:v>Accepted installation</x:v>
      </x:c>
    </x:row>
    <x:row r="6">
      <x:c r="A6" t="str">
        <x:v>Replacement campaign finish</x:v>
      </x:c>
      <x:c r="B6" t="n">
        <x:v>240</x:v>
      </x:c>
      <x:c r="C6" t="str">
        <x:v>No</x:v>
      </x:c>
      <x:c r="D6" t="str">
        <x:v>Marine Manager</x:v>
      </x:c>
      <x:c r="E6" t="str">
        <x:v>Operational reinstatement and acceptance</x:v>
      </x:c>
    </x:row>
    <x:row r="7">
      <x:c r="A7" t="str">
        <x:v>Offshore closeout target</x:v>
      </x:c>
      <x:c r="B7" t="n">
        <x:v>320</x:v>
      </x:c>
      <x:c r="C7" t="str">
        <x:v>No</x:v>
      </x:c>
      <x:c r="D7" t="str">
        <x:v>Completion Manager</x:v>
      </x:c>
      <x:c r="E7" t="str">
        <x:v>Punch and dossiers</x:v>
      </x:c>
    </x:row>
    <x:row r="8">
      <x:c r="A8" t="str">
        <x:v>Contractual completion limit</x:v>
      </x:c>
      <x:c r="B8" t="n">
        <x:v>360</x:v>
      </x:c>
      <x:c r="C8" t="str">
        <x:v>No</x:v>
      </x:c>
      <x:c r="D8" t="str">
        <x:v>Project Director</x:v>
      </x:c>
      <x:c r="E8" t="str">
        <x:v>Contract-specific completion obligations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26" hidden="0" customWidth="1"/>
    <x:col min="3" max="3" width="83" hidden="0" customWidth="1"/>
  </x:cols>
  <x:sheetData>
    <x:row r="1" ht="30" customHeight="1">
      <x:c r="A1" s="4" t="str">
        <x:v>Indicator</x:v>
      </x:c>
      <x:c r="B1" s="4" t="str">
        <x:v>Value</x:v>
      </x:c>
      <x:c r="C1" s="4" t="str">
        <x:v>Interpretation</x:v>
      </x:c>
    </x:row>
    <x:row r="2">
      <x:c r="A2" t="str">
        <x:v>Bridge packages</x:v>
      </x:c>
      <x:c r="B2" t="n">
        <x:f>COUNTA('Bridge Baseline'!A2:A11)</x:f>
        <x:v>10</x:v>
      </x:c>
      <x:c r="C2" t="str">
        <x:v>Provisional scope</x:v>
      </x:c>
    </x:row>
    <x:row r="3">
      <x:c r="A3" t="str">
        <x:v>Structural MT</x:v>
      </x:c>
      <x:c r="B3" t="n">
        <x:f>SUM('Bridge Baseline'!B2:B11)</x:f>
        <x:v>1141</x:v>
      </x:c>
      <x:c r="C3" t="str">
        <x:v>Bridge-wise total, subject to reconciliation</x:v>
      </x:c>
    </x:row>
    <x:row r="4">
      <x:c r="A4" t="str">
        <x:v>Activities in master</x:v>
      </x:c>
      <x:c r="B4" t="n">
        <x:f>COUNTA('Master Activities'!A2:A208)</x:f>
        <x:v>207</x:v>
      </x:c>
      <x:c r="C4" t="str">
        <x:v>Planning-level activities; not yet resource validated</x:v>
      </x:c>
    </x:row>
    <x:row r="5">
      <x:c r="A5" t="str">
        <x:v>Completed activities</x:v>
      </x:c>
      <x:c r="B5" t="n">
        <x:f>COUNTIF('Master Activities'!R2:R208,"Completed")</x:f>
        <x:v>0</x:v>
      </x:c>
      <x:c r="C5" t="str">
        <x:v>Status field must be updated in Master Activities</x:v>
      </x:c>
    </x:row>
    <x:row r="6">
      <x:c r="A6" t="str">
        <x:v>Open activities</x:v>
      </x:c>
      <x:c r="B6" t="n">
        <x:f>B4-B5</x:f>
        <x:v>207</x:v>
      </x:c>
      <x:c r="C6" t="str">
        <x:v>Planning-level work remaining</x:v>
      </x:c>
    </x:row>
    <x:row r="7">
      <x:c r="A7" t="str">
        <x:v>Activities beyond Day 360</x:v>
      </x:c>
      <x:c r="B7" t="n">
        <x:f>COUNTIF('Master Activities'!J2:J208,"&gt;360")</x:f>
        <x:v>0</x:v>
      </x:c>
      <x:c r="C7" t="str">
        <x:v>Checks provisional planned finish days</x:v>
      </x:c>
    </x:row>
    <x:row r="8">
      <x:c r="A8" t="str">
        <x:v>Overall progress (unweighted)</x:v>
      </x:c>
      <x:c r="B8" s="12" t="n">
        <x:f>IFERROR(AVERAGE('Master Activities'!Q2:Q208)/100,0)</x:f>
        <x:v>0</x:v>
      </x:c>
      <x:c r="C8" t="str">
        <x:v>Activity count-weighted; NOT quantity earned progress</x:v>
      </x:c>
    </x:row>
    <x:row r="9">
      <x:c r="A9" t="str">
        <x:v>Baseline verification</x:v>
      </x:c>
      <x:c r="B9" t="str">
        <x:v>PENDING</x:v>
      </x:c>
      <x:c r="C9" t="str">
        <x:v>No 360-day feasibility certification</x:v>
      </x:c>
    </x:row>
    <x:row r="10">
      <x:c r="A10" t="str">
        <x:v>Contract award</x:v>
      </x:c>
      <x:c r="B10" t="str">
        <x:v>NOT CONFIRMED</x:v>
      </x:c>
      <x:c r="C10" t="str">
        <x:v>No irreversible pre-award commitments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3" hidden="0" customWidth="1"/>
    <x:col min="3" max="3" width="19" hidden="0" customWidth="1"/>
    <x:col min="4" max="4" width="48" hidden="0" customWidth="1"/>
    <x:col min="5" max="5" width="14" hidden="0" customWidth="1"/>
    <x:col min="6" max="6" width="1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30" customHeight="1">
      <x:c r="A1" s="3" t="str">
        <x:v>Activity ID</x:v>
      </x:c>
      <x:c r="B1" s="3" t="str">
        <x:v>Bridge</x:v>
      </x:c>
      <x:c r="C1" s="3" t="str">
        <x:v>Discipline</x:v>
      </x:c>
      <x:c r="D1" s="3" t="str">
        <x:v>Activity</x:v>
      </x:c>
      <x:c r="E1" s="3" t="str">
        <x:v>Start Day</x:v>
      </x:c>
      <x:c r="F1" s="3" t="str">
        <x:v>Finish Day</x:v>
      </x:c>
      <x:c r="G1" s="3" t="str">
        <x:v>D1-30</x:v>
      </x:c>
      <x:c r="H1" s="3" t="str">
        <x:v>D31-60</x:v>
      </x:c>
      <x:c r="I1" s="3" t="str">
        <x:v>D61-90</x:v>
      </x:c>
      <x:c r="J1" s="3" t="str">
        <x:v>D91-120</x:v>
      </x:c>
      <x:c r="K1" s="3" t="str">
        <x:v>D121-150</x:v>
      </x:c>
      <x:c r="L1" s="3" t="str">
        <x:v>D151-180</x:v>
      </x:c>
      <x:c r="M1" s="3" t="str">
        <x:v>D181-210</x:v>
      </x:c>
      <x:c r="N1" s="3" t="str">
        <x:v>D211-240</x:v>
      </x:c>
      <x:c r="O1" s="3" t="str">
        <x:v>D241-270</x:v>
      </x:c>
      <x:c r="P1" s="3" t="str">
        <x:v>D271-300</x:v>
      </x:c>
      <x:c r="Q1" s="3" t="str">
        <x:v>D301-330</x:v>
      </x:c>
      <x:c r="R1" s="3" t="str">
        <x:v>D331-360</x:v>
      </x:c>
    </x:row>
    <x:row r="2">
      <x:c r="A2" t="str">
        <x:v>ICW-ICG-LD-01</x:v>
      </x:c>
      <x:c r="B2" t="str">
        <x:v>ICW-ICG-LD</x:v>
      </x:c>
      <x:c r="C2" t="str">
        <x:v>Engineering</x:v>
      </x:c>
      <x:c r="D2" t="str">
        <x:v>Existing-condition survey</x:v>
      </x:c>
      <x:c r="E2" t="n">
        <x:v>1</x:v>
      </x:c>
      <x:c r="F2" t="n">
        <x:v>28</x:v>
      </x:c>
      <x:c r="G2" t="n">
        <x:f>IF(AND($E2&lt;=30,$F2&gt;=1),1,0)</x:f>
        <x:v>1</x:v>
      </x:c>
      <x:c r="H2" t="n">
        <x:f>IF(AND($E2&lt;=60,$F2&gt;=31),1,0)</x:f>
        <x:v>0</x:v>
      </x:c>
      <x:c r="I2" t="n">
        <x:f>IF(AND($E2&lt;=90,$F2&gt;=61),1,0)</x:f>
        <x:v>0</x:v>
      </x:c>
      <x:c r="J2" t="n">
        <x:f>IF(AND($E2&lt;=120,$F2&gt;=91),1,0)</x:f>
        <x:v>0</x:v>
      </x:c>
      <x:c r="K2" t="n">
        <x:f>IF(AND($E2&lt;=150,$F2&gt;=121),1,0)</x:f>
        <x:v>0</x:v>
      </x:c>
      <x:c r="L2" t="n">
        <x:f>IF(AND($E2&lt;=180,$F2&gt;=151),1,0)</x:f>
        <x:v>0</x:v>
      </x:c>
      <x:c r="M2" t="n">
        <x:f>IF(AND($E2&lt;=210,$F2&gt;=181),1,0)</x:f>
        <x:v>0</x:v>
      </x:c>
      <x:c r="N2" t="n">
        <x:f>IF(AND($E2&lt;=240,$F2&gt;=211),1,0)</x:f>
        <x:v>0</x:v>
      </x:c>
      <x:c r="O2" t="n">
        <x:f>IF(AND($E2&lt;=270,$F2&gt;=241),1,0)</x:f>
        <x:v>0</x:v>
      </x:c>
      <x:c r="P2" t="n">
        <x:f>IF(AND($E2&lt;=300,$F2&gt;=271),1,0)</x:f>
        <x:v>0</x:v>
      </x:c>
      <x:c r="Q2" t="n">
        <x:f>IF(AND($E2&lt;=330,$F2&gt;=301),1,0)</x:f>
        <x:v>0</x:v>
      </x:c>
      <x:c r="R2" t="n">
        <x:f>IF(AND($E2&lt;=360,$F2&gt;=331),1,0)</x:f>
        <x:v>0</x:v>
      </x:c>
    </x:row>
    <x:row r="3">
      <x:c r="A3" t="str">
        <x:v>ICW-ICG-LD-02</x:v>
      </x:c>
      <x:c r="B3" t="str">
        <x:v>ICW-ICG-LD</x:v>
      </x:c>
      <x:c r="C3" t="str">
        <x:v>Engineering</x:v>
      </x:c>
      <x:c r="D3" t="str">
        <x:v>Design basis and interface verification</x:v>
      </x:c>
      <x:c r="E3" t="n">
        <x:v>15</x:v>
      </x:c>
      <x:c r="F3" t="n">
        <x:v>38</x:v>
      </x:c>
      <x:c r="G3" t="n">
        <x:f>IF(AND($E3&lt;=30,$F3&gt;=1),1,0)</x:f>
        <x:v>1</x:v>
      </x:c>
      <x:c r="H3" t="n">
        <x:f>IF(AND($E3&lt;=60,$F3&gt;=31),1,0)</x:f>
        <x:v>1</x:v>
      </x:c>
      <x:c r="I3" t="n">
        <x:f>IF(AND($E3&lt;=90,$F3&gt;=61),1,0)</x:f>
        <x:v>0</x:v>
      </x:c>
      <x:c r="J3" t="n">
        <x:f>IF(AND($E3&lt;=120,$F3&gt;=91),1,0)</x:f>
        <x:v>0</x:v>
      </x:c>
      <x:c r="K3" t="n">
        <x:f>IF(AND($E3&lt;=150,$F3&gt;=121),1,0)</x:f>
        <x:v>0</x:v>
      </x:c>
      <x:c r="L3" t="n">
        <x:f>IF(AND($E3&lt;=180,$F3&gt;=151),1,0)</x:f>
        <x:v>0</x:v>
      </x:c>
      <x:c r="M3" t="n">
        <x:f>IF(AND($E3&lt;=210,$F3&gt;=181),1,0)</x:f>
        <x:v>0</x:v>
      </x:c>
      <x:c r="N3" t="n">
        <x:f>IF(AND($E3&lt;=240,$F3&gt;=211),1,0)</x:f>
        <x:v>0</x:v>
      </x:c>
      <x:c r="O3" t="n">
        <x:f>IF(AND($E3&lt;=270,$F3&gt;=241),1,0)</x:f>
        <x:v>0</x:v>
      </x:c>
      <x:c r="P3" t="n">
        <x:f>IF(AND($E3&lt;=300,$F3&gt;=271),1,0)</x:f>
        <x:v>0</x:v>
      </x:c>
      <x:c r="Q3" t="n">
        <x:f>IF(AND($E3&lt;=330,$F3&gt;=301),1,0)</x:f>
        <x:v>0</x:v>
      </x:c>
      <x:c r="R3" t="n">
        <x:f>IF(AND($E3&lt;=360,$F3&gt;=331),1,0)</x:f>
        <x:v>0</x:v>
      </x:c>
    </x:row>
    <x:row r="4">
      <x:c r="A4" t="str">
        <x:v>ICW-ICG-LD-03</x:v>
      </x:c>
      <x:c r="B4" t="str">
        <x:v>ICW-ICG-LD</x:v>
      </x:c>
      <x:c r="C4" t="str">
        <x:v>Engineering</x:v>
      </x:c>
      <x:c r="D4" t="str">
        <x:v>Detailed structural and temporary works engineering</x:v>
      </x:c>
      <x:c r="E4" t="n">
        <x:v>28</x:v>
      </x:c>
      <x:c r="F4" t="n">
        <x:v>92</x:v>
      </x:c>
      <x:c r="G4" t="n">
        <x:f>IF(AND($E4&lt;=30,$F4&gt;=1),1,0)</x:f>
        <x:v>1</x:v>
      </x:c>
      <x:c r="H4" t="n">
        <x:f>IF(AND($E4&lt;=60,$F4&gt;=31),1,0)</x:f>
        <x:v>1</x:v>
      </x:c>
      <x:c r="I4" t="n">
        <x:f>IF(AND($E4&lt;=90,$F4&gt;=61),1,0)</x:f>
        <x:v>1</x:v>
      </x:c>
      <x:c r="J4" t="n">
        <x:f>IF(AND($E4&lt;=120,$F4&gt;=91),1,0)</x:f>
        <x:v>1</x:v>
      </x:c>
      <x:c r="K4" t="n">
        <x:f>IF(AND($E4&lt;=150,$F4&gt;=121),1,0)</x:f>
        <x:v>0</x:v>
      </x:c>
      <x:c r="L4" t="n">
        <x:f>IF(AND($E4&lt;=180,$F4&gt;=151),1,0)</x:f>
        <x:v>0</x:v>
      </x:c>
      <x:c r="M4" t="n">
        <x:f>IF(AND($E4&lt;=210,$F4&gt;=181),1,0)</x:f>
        <x:v>0</x:v>
      </x:c>
      <x:c r="N4" t="n">
        <x:f>IF(AND($E4&lt;=240,$F4&gt;=211),1,0)</x:f>
        <x:v>0</x:v>
      </x:c>
      <x:c r="O4" t="n">
        <x:f>IF(AND($E4&lt;=270,$F4&gt;=241),1,0)</x:f>
        <x:v>0</x:v>
      </x:c>
      <x:c r="P4" t="n">
        <x:f>IF(AND($E4&lt;=300,$F4&gt;=271),1,0)</x:f>
        <x:v>0</x:v>
      </x:c>
      <x:c r="Q4" t="n">
        <x:f>IF(AND($E4&lt;=330,$F4&gt;=301),1,0)</x:f>
        <x:v>0</x:v>
      </x:c>
      <x:c r="R4" t="n">
        <x:f>IF(AND($E4&lt;=360,$F4&gt;=331),1,0)</x:f>
        <x:v>0</x:v>
      </x:c>
    </x:row>
    <x:row r="5">
      <x:c r="A5" t="str">
        <x:v>ICW-ICG-LD-04</x:v>
      </x:c>
      <x:c r="B5" t="str">
        <x:v>ICW-ICG-LD</x:v>
      </x:c>
      <x:c r="C5" t="str">
        <x:v>Engineering</x:v>
      </x:c>
      <x:c r="D5" t="str">
        <x:v>Fabrication drawing release</x:v>
      </x:c>
      <x:c r="E5" t="n">
        <x:v>48</x:v>
      </x:c>
      <x:c r="F5" t="n">
        <x:v>105</x:v>
      </x:c>
      <x:c r="G5" t="n">
        <x:f>IF(AND($E5&lt;=30,$F5&gt;=1),1,0)</x:f>
        <x:v>0</x:v>
      </x:c>
      <x:c r="H5" t="n">
        <x:f>IF(AND($E5&lt;=60,$F5&gt;=31),1,0)</x:f>
        <x:v>1</x:v>
      </x:c>
      <x:c r="I5" t="n">
        <x:f>IF(AND($E5&lt;=90,$F5&gt;=61),1,0)</x:f>
        <x:v>1</x:v>
      </x:c>
      <x:c r="J5" t="n">
        <x:f>IF(AND($E5&lt;=120,$F5&gt;=91),1,0)</x:f>
        <x:v>1</x:v>
      </x:c>
      <x:c r="K5" t="n">
        <x:f>IF(AND($E5&lt;=150,$F5&gt;=121),1,0)</x:f>
        <x:v>0</x:v>
      </x:c>
      <x:c r="L5" t="n">
        <x:f>IF(AND($E5&lt;=180,$F5&gt;=151),1,0)</x:f>
        <x:v>0</x:v>
      </x:c>
      <x:c r="M5" t="n">
        <x:f>IF(AND($E5&lt;=210,$F5&gt;=181),1,0)</x:f>
        <x:v>0</x:v>
      </x:c>
      <x:c r="N5" t="n">
        <x:f>IF(AND($E5&lt;=240,$F5&gt;=211),1,0)</x:f>
        <x:v>0</x:v>
      </x:c>
      <x:c r="O5" t="n">
        <x:f>IF(AND($E5&lt;=270,$F5&gt;=241),1,0)</x:f>
        <x:v>0</x:v>
      </x:c>
      <x:c r="P5" t="n">
        <x:f>IF(AND($E5&lt;=300,$F5&gt;=271),1,0)</x:f>
        <x:v>0</x:v>
      </x:c>
      <x:c r="Q5" t="n">
        <x:f>IF(AND($E5&lt;=330,$F5&gt;=301),1,0)</x:f>
        <x:v>0</x:v>
      </x:c>
      <x:c r="R5" t="n">
        <x:f>IF(AND($E5&lt;=360,$F5&gt;=331),1,0)</x:f>
        <x:v>0</x:v>
      </x:c>
    </x:row>
    <x:row r="6">
      <x:c r="A6" t="str">
        <x:v>ICW-ICG-LD-05</x:v>
      </x:c>
      <x:c r="B6" t="str">
        <x:v>ICW-ICG-LD</x:v>
      </x:c>
      <x:c r="C6" t="str">
        <x:v>Procurement</x:v>
      </x:c>
      <x:c r="D6" t="str">
        <x:v>Material requisitions and vendor approval</x:v>
      </x:c>
      <x:c r="E6" t="n">
        <x:v>28</x:v>
      </x:c>
      <x:c r="F6" t="n">
        <x:v>55</x:v>
      </x:c>
      <x:c r="G6" t="n">
        <x:f>IF(AND($E6&lt;=30,$F6&gt;=1),1,0)</x:f>
        <x:v>1</x:v>
      </x:c>
      <x:c r="H6" t="n">
        <x:f>IF(AND($E6&lt;=60,$F6&gt;=31),1,0)</x:f>
        <x:v>1</x:v>
      </x:c>
      <x:c r="I6" t="n">
        <x:f>IF(AND($E6&lt;=90,$F6&gt;=61),1,0)</x:f>
        <x:v>0</x:v>
      </x:c>
      <x:c r="J6" t="n">
        <x:f>IF(AND($E6&lt;=120,$F6&gt;=91),1,0)</x:f>
        <x:v>0</x:v>
      </x:c>
      <x:c r="K6" t="n">
        <x:f>IF(AND($E6&lt;=150,$F6&gt;=121),1,0)</x:f>
        <x:v>0</x:v>
      </x:c>
      <x:c r="L6" t="n">
        <x:f>IF(AND($E6&lt;=180,$F6&gt;=151),1,0)</x:f>
        <x:v>0</x:v>
      </x:c>
      <x:c r="M6" t="n">
        <x:f>IF(AND($E6&lt;=210,$F6&gt;=181),1,0)</x:f>
        <x:v>0</x:v>
      </x:c>
      <x:c r="N6" t="n">
        <x:f>IF(AND($E6&lt;=240,$F6&gt;=211),1,0)</x:f>
        <x:v>0</x:v>
      </x:c>
      <x:c r="O6" t="n">
        <x:f>IF(AND($E6&lt;=270,$F6&gt;=241),1,0)</x:f>
        <x:v>0</x:v>
      </x:c>
      <x:c r="P6" t="n">
        <x:f>IF(AND($E6&lt;=300,$F6&gt;=271),1,0)</x:f>
        <x:v>0</x:v>
      </x:c>
      <x:c r="Q6" t="n">
        <x:f>IF(AND($E6&lt;=330,$F6&gt;=301),1,0)</x:f>
        <x:v>0</x:v>
      </x:c>
      <x:c r="R6" t="n">
        <x:f>IF(AND($E6&lt;=360,$F6&gt;=331),1,0)</x:f>
        <x:v>0</x:v>
      </x:c>
    </x:row>
    <x:row r="7">
      <x:c r="A7" t="str">
        <x:v>ICW-ICG-LD-06</x:v>
      </x:c>
      <x:c r="B7" t="str">
        <x:v>ICW-ICG-LD</x:v>
      </x:c>
      <x:c r="C7" t="str">
        <x:v>Procurement</x:v>
      </x:c>
      <x:c r="D7" t="str">
        <x:v>Steel purchasing and delivery</x:v>
      </x:c>
      <x:c r="E7" t="n">
        <x:v>48</x:v>
      </x:c>
      <x:c r="F7" t="n">
        <x:v>110</x:v>
      </x:c>
      <x:c r="G7" t="n">
        <x:f>IF(AND($E7&lt;=30,$F7&gt;=1),1,0)</x:f>
        <x:v>0</x:v>
      </x:c>
      <x:c r="H7" t="n">
        <x:f>IF(AND($E7&lt;=60,$F7&gt;=31),1,0)</x:f>
        <x:v>1</x:v>
      </x:c>
      <x:c r="I7" t="n">
        <x:f>IF(AND($E7&lt;=90,$F7&gt;=61),1,0)</x:f>
        <x:v>1</x:v>
      </x:c>
      <x:c r="J7" t="n">
        <x:f>IF(AND($E7&lt;=120,$F7&gt;=91),1,0)</x:f>
        <x:v>1</x:v>
      </x:c>
      <x:c r="K7" t="n">
        <x:f>IF(AND($E7&lt;=150,$F7&gt;=121),1,0)</x:f>
        <x:v>0</x:v>
      </x:c>
      <x:c r="L7" t="n">
        <x:f>IF(AND($E7&lt;=180,$F7&gt;=151),1,0)</x:f>
        <x:v>0</x:v>
      </x:c>
      <x:c r="M7" t="n">
        <x:f>IF(AND($E7&lt;=210,$F7&gt;=181),1,0)</x:f>
        <x:v>0</x:v>
      </x:c>
      <x:c r="N7" t="n">
        <x:f>IF(AND($E7&lt;=240,$F7&gt;=211),1,0)</x:f>
        <x:v>0</x:v>
      </x:c>
      <x:c r="O7" t="n">
        <x:f>IF(AND($E7&lt;=270,$F7&gt;=241),1,0)</x:f>
        <x:v>0</x:v>
      </x:c>
      <x:c r="P7" t="n">
        <x:f>IF(AND($E7&lt;=300,$F7&gt;=271),1,0)</x:f>
        <x:v>0</x:v>
      </x:c>
      <x:c r="Q7" t="n">
        <x:f>IF(AND($E7&lt;=330,$F7&gt;=301),1,0)</x:f>
        <x:v>0</x:v>
      </x:c>
      <x:c r="R7" t="n">
        <x:f>IF(AND($E7&lt;=360,$F7&gt;=331),1,0)</x:f>
        <x:v>0</x:v>
      </x:c>
    </x:row>
    <x:row r="8">
      <x:c r="A8" t="str">
        <x:v>ICW-ICG-LD-07</x:v>
      </x:c>
      <x:c r="B8" t="str">
        <x:v>ICW-ICG-LD</x:v>
      </x:c>
      <x:c r="C8" t="str">
        <x:v>Fabrication</x:v>
      </x:c>
      <x:c r="D8" t="str">
        <x:v>Cutting and material preparation</x:v>
      </x:c>
      <x:c r="E8" t="n">
        <x:v>75</x:v>
      </x:c>
      <x:c r="F8" t="n">
        <x:v>105</x:v>
      </x:c>
      <x:c r="G8" t="n">
        <x:f>IF(AND($E8&lt;=30,$F8&gt;=1),1,0)</x:f>
        <x:v>0</x:v>
      </x:c>
      <x:c r="H8" t="n">
        <x:f>IF(AND($E8&lt;=60,$F8&gt;=31),1,0)</x:f>
        <x:v>0</x:v>
      </x:c>
      <x:c r="I8" t="n">
        <x:f>IF(AND($E8&lt;=90,$F8&gt;=61),1,0)</x:f>
        <x:v>1</x:v>
      </x:c>
      <x:c r="J8" t="n">
        <x:f>IF(AND($E8&lt;=120,$F8&gt;=91),1,0)</x:f>
        <x:v>1</x:v>
      </x:c>
      <x:c r="K8" t="n">
        <x:f>IF(AND($E8&lt;=150,$F8&gt;=121),1,0)</x:f>
        <x:v>0</x:v>
      </x:c>
      <x:c r="L8" t="n">
        <x:f>IF(AND($E8&lt;=180,$F8&gt;=151),1,0)</x:f>
        <x:v>0</x:v>
      </x:c>
      <x:c r="M8" t="n">
        <x:f>IF(AND($E8&lt;=210,$F8&gt;=181),1,0)</x:f>
        <x:v>0</x:v>
      </x:c>
      <x:c r="N8" t="n">
        <x:f>IF(AND($E8&lt;=240,$F8&gt;=211),1,0)</x:f>
        <x:v>0</x:v>
      </x:c>
      <x:c r="O8" t="n">
        <x:f>IF(AND($E8&lt;=270,$F8&gt;=241),1,0)</x:f>
        <x:v>0</x:v>
      </x:c>
      <x:c r="P8" t="n">
        <x:f>IF(AND($E8&lt;=300,$F8&gt;=271),1,0)</x:f>
        <x:v>0</x:v>
      </x:c>
      <x:c r="Q8" t="n">
        <x:f>IF(AND($E8&lt;=330,$F8&gt;=301),1,0)</x:f>
        <x:v>0</x:v>
      </x:c>
      <x:c r="R8" t="n">
        <x:f>IF(AND($E8&lt;=360,$F8&gt;=331),1,0)</x:f>
        <x:v>0</x:v>
      </x:c>
    </x:row>
    <x:row r="9">
      <x:c r="A9" t="str">
        <x:v>ICW-ICG-LD-08</x:v>
      </x:c>
      <x:c r="B9" t="str">
        <x:v>ICW-ICG-LD</x:v>
      </x:c>
      <x:c r="C9" t="str">
        <x:v>Fabrication</x:v>
      </x:c>
      <x:c r="D9" t="str">
        <x:v>Assembly and fit-up</x:v>
      </x:c>
      <x:c r="E9" t="n">
        <x:v>90</x:v>
      </x:c>
      <x:c r="F9" t="n">
        <x:v>135</x:v>
      </x:c>
      <x:c r="G9" t="n">
        <x:f>IF(AND($E9&lt;=30,$F9&gt;=1),1,0)</x:f>
        <x:v>0</x:v>
      </x:c>
      <x:c r="H9" t="n">
        <x:f>IF(AND($E9&lt;=60,$F9&gt;=31),1,0)</x:f>
        <x:v>0</x:v>
      </x:c>
      <x:c r="I9" t="n">
        <x:f>IF(AND($E9&lt;=90,$F9&gt;=61),1,0)</x:f>
        <x:v>1</x:v>
      </x:c>
      <x:c r="J9" t="n">
        <x:f>IF(AND($E9&lt;=120,$F9&gt;=91),1,0)</x:f>
        <x:v>1</x:v>
      </x:c>
      <x:c r="K9" t="n">
        <x:f>IF(AND($E9&lt;=150,$F9&gt;=121),1,0)</x:f>
        <x:v>1</x:v>
      </x:c>
      <x:c r="L9" t="n">
        <x:f>IF(AND($E9&lt;=180,$F9&gt;=151),1,0)</x:f>
        <x:v>0</x:v>
      </x:c>
      <x:c r="M9" t="n">
        <x:f>IF(AND($E9&lt;=210,$F9&gt;=181),1,0)</x:f>
        <x:v>0</x:v>
      </x:c>
      <x:c r="N9" t="n">
        <x:f>IF(AND($E9&lt;=240,$F9&gt;=211),1,0)</x:f>
        <x:v>0</x:v>
      </x:c>
      <x:c r="O9" t="n">
        <x:f>IF(AND($E9&lt;=270,$F9&gt;=241),1,0)</x:f>
        <x:v>0</x:v>
      </x:c>
      <x:c r="P9" t="n">
        <x:f>IF(AND($E9&lt;=300,$F9&gt;=271),1,0)</x:f>
        <x:v>0</x:v>
      </x:c>
      <x:c r="Q9" t="n">
        <x:f>IF(AND($E9&lt;=330,$F9&gt;=301),1,0)</x:f>
        <x:v>0</x:v>
      </x:c>
      <x:c r="R9" t="n">
        <x:f>IF(AND($E9&lt;=360,$F9&gt;=331),1,0)</x:f>
        <x:v>0</x:v>
      </x:c>
    </x:row>
    <x:row r="10">
      <x:c r="A10" t="str">
        <x:v>ICW-ICG-LD-09</x:v>
      </x:c>
      <x:c r="B10" t="str">
        <x:v>ICW-ICG-LD</x:v>
      </x:c>
      <x:c r="C10" t="str">
        <x:v>Fabrication</x:v>
      </x:c>
      <x:c r="D10" t="str">
        <x:v>Shop welding</x:v>
      </x:c>
      <x:c r="E10" t="n">
        <x:v>103</x:v>
      </x:c>
      <x:c r="F10" t="n">
        <x:v>148</x:v>
      </x:c>
      <x:c r="G10" t="n">
        <x:f>IF(AND($E10&lt;=30,$F10&gt;=1),1,0)</x:f>
        <x:v>0</x:v>
      </x:c>
      <x:c r="H10" t="n">
        <x:f>IF(AND($E10&lt;=60,$F10&gt;=31),1,0)</x:f>
        <x:v>0</x:v>
      </x:c>
      <x:c r="I10" t="n">
        <x:f>IF(AND($E10&lt;=90,$F10&gt;=61),1,0)</x:f>
        <x:v>0</x:v>
      </x:c>
      <x:c r="J10" t="n">
        <x:f>IF(AND($E10&lt;=120,$F10&gt;=91),1,0)</x:f>
        <x:v>1</x:v>
      </x:c>
      <x:c r="K10" t="n">
        <x:f>IF(AND($E10&lt;=150,$F10&gt;=121),1,0)</x:f>
        <x:v>1</x:v>
      </x:c>
      <x:c r="L10" t="n">
        <x:f>IF(AND($E10&lt;=180,$F10&gt;=151),1,0)</x:f>
        <x:v>0</x:v>
      </x:c>
      <x:c r="M10" t="n">
        <x:f>IF(AND($E10&lt;=210,$F10&gt;=181),1,0)</x:f>
        <x:v>0</x:v>
      </x:c>
      <x:c r="N10" t="n">
        <x:f>IF(AND($E10&lt;=240,$F10&gt;=211),1,0)</x:f>
        <x:v>0</x:v>
      </x:c>
      <x:c r="O10" t="n">
        <x:f>IF(AND($E10&lt;=270,$F10&gt;=241),1,0)</x:f>
        <x:v>0</x:v>
      </x:c>
      <x:c r="P10" t="n">
        <x:f>IF(AND($E10&lt;=300,$F10&gt;=271),1,0)</x:f>
        <x:v>0</x:v>
      </x:c>
      <x:c r="Q10" t="n">
        <x:f>IF(AND($E10&lt;=330,$F10&gt;=301),1,0)</x:f>
        <x:v>0</x:v>
      </x:c>
      <x:c r="R10" t="n">
        <x:f>IF(AND($E10&lt;=360,$F10&gt;=331),1,0)</x:f>
        <x:v>0</x:v>
      </x:c>
    </x:row>
    <x:row r="11">
      <x:c r="A11" t="str">
        <x:v>ICW-ICG-LD-10</x:v>
      </x:c>
      <x:c r="B11" t="str">
        <x:v>ICW-ICG-LD</x:v>
      </x:c>
      <x:c r="C11" t="str">
        <x:v>Quality</x:v>
      </x:c>
      <x:c r="D11" t="str">
        <x:v>NDT and dimensional acceptance</x:v>
      </x:c>
      <x:c r="E11" t="n">
        <x:v>120</x:v>
      </x:c>
      <x:c r="F11" t="n">
        <x:v>157</x:v>
      </x:c>
      <x:c r="G11" t="n">
        <x:f>IF(AND($E11&lt;=30,$F11&gt;=1),1,0)</x:f>
        <x:v>0</x:v>
      </x:c>
      <x:c r="H11" t="n">
        <x:f>IF(AND($E11&lt;=60,$F11&gt;=31),1,0)</x:f>
        <x:v>0</x:v>
      </x:c>
      <x:c r="I11" t="n">
        <x:f>IF(AND($E11&lt;=90,$F11&gt;=61),1,0)</x:f>
        <x:v>0</x:v>
      </x:c>
      <x:c r="J11" t="n">
        <x:f>IF(AND($E11&lt;=120,$F11&gt;=91),1,0)</x:f>
        <x:v>1</x:v>
      </x:c>
      <x:c r="K11" t="n">
        <x:f>IF(AND($E11&lt;=150,$F11&gt;=121),1,0)</x:f>
        <x:v>1</x:v>
      </x:c>
      <x:c r="L11" t="n">
        <x:f>IF(AND($E11&lt;=180,$F11&gt;=151),1,0)</x:f>
        <x:v>1</x:v>
      </x:c>
      <x:c r="M11" t="n">
        <x:f>IF(AND($E11&lt;=210,$F11&gt;=181),1,0)</x:f>
        <x:v>0</x:v>
      </x:c>
      <x:c r="N11" t="n">
        <x:f>IF(AND($E11&lt;=240,$F11&gt;=211),1,0)</x:f>
        <x:v>0</x:v>
      </x:c>
      <x:c r="O11" t="n">
        <x:f>IF(AND($E11&lt;=270,$F11&gt;=241),1,0)</x:f>
        <x:v>0</x:v>
      </x:c>
      <x:c r="P11" t="n">
        <x:f>IF(AND($E11&lt;=300,$F11&gt;=271),1,0)</x:f>
        <x:v>0</x:v>
      </x:c>
      <x:c r="Q11" t="n">
        <x:f>IF(AND($E11&lt;=330,$F11&gt;=301),1,0)</x:f>
        <x:v>0</x:v>
      </x:c>
      <x:c r="R11" t="n">
        <x:f>IF(AND($E11&lt;=360,$F11&gt;=331),1,0)</x:f>
        <x:v>0</x:v>
      </x:c>
    </x:row>
    <x:row r="12">
      <x:c r="A12" t="str">
        <x:v>ICW-ICG-LD-11</x:v>
      </x:c>
      <x:c r="B12" t="str">
        <x:v>ICW-ICG-LD</x:v>
      </x:c>
      <x:c r="C12" t="str">
        <x:v>Quality</x:v>
      </x:c>
      <x:c r="D12" t="str">
        <x:v>Blast, coat and preserve</x:v>
      </x:c>
      <x:c r="E12" t="n">
        <x:v>135</x:v>
      </x:c>
      <x:c r="F12" t="n">
        <x:v>165</x:v>
      </x:c>
      <x:c r="G12" t="n">
        <x:f>IF(AND($E12&lt;=30,$F12&gt;=1),1,0)</x:f>
        <x:v>0</x:v>
      </x:c>
      <x:c r="H12" t="n">
        <x:f>IF(AND($E12&lt;=60,$F12&gt;=31),1,0)</x:f>
        <x:v>0</x:v>
      </x:c>
      <x:c r="I12" t="n">
        <x:f>IF(AND($E12&lt;=90,$F12&gt;=61),1,0)</x:f>
        <x:v>0</x:v>
      </x:c>
      <x:c r="J12" t="n">
        <x:f>IF(AND($E12&lt;=120,$F12&gt;=91),1,0)</x:f>
        <x:v>0</x:v>
      </x:c>
      <x:c r="K12" t="n">
        <x:f>IF(AND($E12&lt;=150,$F12&gt;=121),1,0)</x:f>
        <x:v>1</x:v>
      </x:c>
      <x:c r="L12" t="n">
        <x:f>IF(AND($E12&lt;=180,$F12&gt;=151),1,0)</x:f>
        <x:v>1</x:v>
      </x:c>
      <x:c r="M12" t="n">
        <x:f>IF(AND($E12&lt;=210,$F12&gt;=181),1,0)</x:f>
        <x:v>0</x:v>
      </x:c>
      <x:c r="N12" t="n">
        <x:f>IF(AND($E12&lt;=240,$F12&gt;=211),1,0)</x:f>
        <x:v>0</x:v>
      </x:c>
      <x:c r="O12" t="n">
        <x:f>IF(AND($E12&lt;=270,$F12&gt;=241),1,0)</x:f>
        <x:v>0</x:v>
      </x:c>
      <x:c r="P12" t="n">
        <x:f>IF(AND($E12&lt;=300,$F12&gt;=271),1,0)</x:f>
        <x:v>0</x:v>
      </x:c>
      <x:c r="Q12" t="n">
        <x:f>IF(AND($E12&lt;=330,$F12&gt;=301),1,0)</x:f>
        <x:v>0</x:v>
      </x:c>
      <x:c r="R12" t="n">
        <x:f>IF(AND($E12&lt;=360,$F12&gt;=331),1,0)</x:f>
        <x:v>0</x:v>
      </x:c>
    </x:row>
    <x:row r="13">
      <x:c r="A13" t="str">
        <x:v>ICW-ICG-LD-12</x:v>
      </x:c>
      <x:c r="B13" t="str">
        <x:v>ICW-ICG-LD</x:v>
      </x:c>
      <x:c r="C13" t="str">
        <x:v>Logistics</x:v>
      </x:c>
      <x:c r="D13" t="str">
        <x:v>Module weight COG and loadout engineering</x:v>
      </x:c>
      <x:c r="E13" t="n">
        <x:v>90</x:v>
      </x:c>
      <x:c r="F13" t="n">
        <x:v>162</x:v>
      </x:c>
      <x:c r="G13" t="n">
        <x:f>IF(AND($E13&lt;=30,$F13&gt;=1),1,0)</x:f>
        <x:v>0</x:v>
      </x:c>
      <x:c r="H13" t="n">
        <x:f>IF(AND($E13&lt;=60,$F13&gt;=31),1,0)</x:f>
        <x:v>0</x:v>
      </x:c>
      <x:c r="I13" t="n">
        <x:f>IF(AND($E13&lt;=90,$F13&gt;=61),1,0)</x:f>
        <x:v>1</x:v>
      </x:c>
      <x:c r="J13" t="n">
        <x:f>IF(AND($E13&lt;=120,$F13&gt;=91),1,0)</x:f>
        <x:v>1</x:v>
      </x:c>
      <x:c r="K13" t="n">
        <x:f>IF(AND($E13&lt;=150,$F13&gt;=121),1,0)</x:f>
        <x:v>1</x:v>
      </x:c>
      <x:c r="L13" t="n">
        <x:f>IF(AND($E13&lt;=180,$F13&gt;=151),1,0)</x:f>
        <x:v>1</x:v>
      </x:c>
      <x:c r="M13" t="n">
        <x:f>IF(AND($E13&lt;=210,$F13&gt;=181),1,0)</x:f>
        <x:v>0</x:v>
      </x:c>
      <x:c r="N13" t="n">
        <x:f>IF(AND($E13&lt;=240,$F13&gt;=211),1,0)</x:f>
        <x:v>0</x:v>
      </x:c>
      <x:c r="O13" t="n">
        <x:f>IF(AND($E13&lt;=270,$F13&gt;=241),1,0)</x:f>
        <x:v>0</x:v>
      </x:c>
      <x:c r="P13" t="n">
        <x:f>IF(AND($E13&lt;=300,$F13&gt;=271),1,0)</x:f>
        <x:v>0</x:v>
      </x:c>
      <x:c r="Q13" t="n">
        <x:f>IF(AND($E13&lt;=330,$F13&gt;=301),1,0)</x:f>
        <x:v>0</x:v>
      </x:c>
      <x:c r="R13" t="n">
        <x:f>IF(AND($E13&lt;=360,$F13&gt;=331),1,0)</x:f>
        <x:v>0</x:v>
      </x:c>
    </x:row>
    <x:row r="14">
      <x:c r="A14" t="str">
        <x:v>ICW-ICG-LD-13</x:v>
      </x:c>
      <x:c r="B14" t="str">
        <x:v>ICW-ICG-LD</x:v>
      </x:c>
      <x:c r="C14" t="str">
        <x:v>Logistics</x:v>
      </x:c>
      <x:c r="D14" t="str">
        <x:v>Cargo manifest and shore base transfer</x:v>
      </x:c>
      <x:c r="E14" t="n">
        <x:v>135</x:v>
      </x:c>
      <x:c r="F14" t="n">
        <x:v>175</x:v>
      </x:c>
      <x:c r="G14" t="n">
        <x:f>IF(AND($E14&lt;=30,$F14&gt;=1),1,0)</x:f>
        <x:v>0</x:v>
      </x:c>
      <x:c r="H14" t="n">
        <x:f>IF(AND($E14&lt;=60,$F14&gt;=31),1,0)</x:f>
        <x:v>0</x:v>
      </x:c>
      <x:c r="I14" t="n">
        <x:f>IF(AND($E14&lt;=90,$F14&gt;=61),1,0)</x:f>
        <x:v>0</x:v>
      </x:c>
      <x:c r="J14" t="n">
        <x:f>IF(AND($E14&lt;=120,$F14&gt;=91),1,0)</x:f>
        <x:v>0</x:v>
      </x:c>
      <x:c r="K14" t="n">
        <x:f>IF(AND($E14&lt;=150,$F14&gt;=121),1,0)</x:f>
        <x:v>1</x:v>
      </x:c>
      <x:c r="L14" t="n">
        <x:f>IF(AND($E14&lt;=180,$F14&gt;=151),1,0)</x:f>
        <x:v>1</x:v>
      </x:c>
      <x:c r="M14" t="n">
        <x:f>IF(AND($E14&lt;=210,$F14&gt;=181),1,0)</x:f>
        <x:v>0</x:v>
      </x:c>
      <x:c r="N14" t="n">
        <x:f>IF(AND($E14&lt;=240,$F14&gt;=211),1,0)</x:f>
        <x:v>0</x:v>
      </x:c>
      <x:c r="O14" t="n">
        <x:f>IF(AND($E14&lt;=270,$F14&gt;=241),1,0)</x:f>
        <x:v>0</x:v>
      </x:c>
      <x:c r="P14" t="n">
        <x:f>IF(AND($E14&lt;=300,$F14&gt;=271),1,0)</x:f>
        <x:v>0</x:v>
      </x:c>
      <x:c r="Q14" t="n">
        <x:f>IF(AND($E14&lt;=330,$F14&gt;=301),1,0)</x:f>
        <x:v>0</x:v>
      </x:c>
      <x:c r="R14" t="n">
        <x:f>IF(AND($E14&lt;=360,$F14&gt;=331),1,0)</x:f>
        <x:v>0</x:v>
      </x:c>
    </x:row>
    <x:row r="15">
      <x:c r="A15" t="str">
        <x:v>ICW-ICG-LD-14</x:v>
      </x:c>
      <x:c r="B15" t="str">
        <x:v>ICW-ICG-LD</x:v>
      </x:c>
      <x:c r="C15" t="str">
        <x:v>Marine</x:v>
      </x:c>
      <x:c r="D15" t="str">
        <x:v>Vessel technical selection and assurance</x:v>
      </x:c>
      <x:c r="E15" t="n">
        <x:v>45</x:v>
      </x:c>
      <x:c r="F15" t="n">
        <x:v>135</x:v>
      </x:c>
      <x:c r="G15" t="n">
        <x:f>IF(AND($E15&lt;=30,$F15&gt;=1),1,0)</x:f>
        <x:v>0</x:v>
      </x:c>
      <x:c r="H15" t="n">
        <x:f>IF(AND($E15&lt;=60,$F15&gt;=31),1,0)</x:f>
        <x:v>1</x:v>
      </x:c>
      <x:c r="I15" t="n">
        <x:f>IF(AND($E15&lt;=90,$F15&gt;=61),1,0)</x:f>
        <x:v>1</x:v>
      </x:c>
      <x:c r="J15" t="n">
        <x:f>IF(AND($E15&lt;=120,$F15&gt;=91),1,0)</x:f>
        <x:v>1</x:v>
      </x:c>
      <x:c r="K15" t="n">
        <x:f>IF(AND($E15&lt;=150,$F15&gt;=121),1,0)</x:f>
        <x:v>1</x:v>
      </x:c>
      <x:c r="L15" t="n">
        <x:f>IF(AND($E15&lt;=180,$F15&gt;=151),1,0)</x:f>
        <x:v>0</x:v>
      </x:c>
      <x:c r="M15" t="n">
        <x:f>IF(AND($E15&lt;=210,$F15&gt;=181),1,0)</x:f>
        <x:v>0</x:v>
      </x:c>
      <x:c r="N15" t="n">
        <x:f>IF(AND($E15&lt;=240,$F15&gt;=211),1,0)</x:f>
        <x:v>0</x:v>
      </x:c>
      <x:c r="O15" t="n">
        <x:f>IF(AND($E15&lt;=270,$F15&gt;=241),1,0)</x:f>
        <x:v>0</x:v>
      </x:c>
      <x:c r="P15" t="n">
        <x:f>IF(AND($E15&lt;=300,$F15&gt;=271),1,0)</x:f>
        <x:v>0</x:v>
      </x:c>
      <x:c r="Q15" t="n">
        <x:f>IF(AND($E15&lt;=330,$F15&gt;=301),1,0)</x:f>
        <x:v>0</x:v>
      </x:c>
      <x:c r="R15" t="n">
        <x:f>IF(AND($E15&lt;=360,$F15&gt;=331),1,0)</x:f>
        <x:v>0</x:v>
      </x:c>
    </x:row>
    <x:row r="16">
      <x:c r="A16" t="str">
        <x:v>ICW-ICG-LD-15</x:v>
      </x:c>
      <x:c r="B16" t="str">
        <x:v>ICW-ICG-LD</x:v>
      </x:c>
      <x:c r="C16" t="str">
        <x:v>Marine</x:v>
      </x:c>
      <x:c r="D16" t="str">
        <x:v>Marine mobilisation and readiness</x:v>
      </x:c>
      <x:c r="E16" t="n">
        <x:v>130</x:v>
      </x:c>
      <x:c r="F16" t="n">
        <x:v>170</x:v>
      </x:c>
      <x:c r="G16" t="n">
        <x:f>IF(AND($E16&lt;=30,$F16&gt;=1),1,0)</x:f>
        <x:v>0</x:v>
      </x:c>
      <x:c r="H16" t="n">
        <x:f>IF(AND($E16&lt;=60,$F16&gt;=31),1,0)</x:f>
        <x:v>0</x:v>
      </x:c>
      <x:c r="I16" t="n">
        <x:f>IF(AND($E16&lt;=90,$F16&gt;=61),1,0)</x:f>
        <x:v>0</x:v>
      </x:c>
      <x:c r="J16" t="n">
        <x:f>IF(AND($E16&lt;=120,$F16&gt;=91),1,0)</x:f>
        <x:v>0</x:v>
      </x:c>
      <x:c r="K16" t="n">
        <x:f>IF(AND($E16&lt;=150,$F16&gt;=121),1,0)</x:f>
        <x:v>1</x:v>
      </x:c>
      <x:c r="L16" t="n">
        <x:f>IF(AND($E16&lt;=180,$F16&gt;=151),1,0)</x:f>
        <x:v>1</x:v>
      </x:c>
      <x:c r="M16" t="n">
        <x:f>IF(AND($E16&lt;=210,$F16&gt;=181),1,0)</x:f>
        <x:v>0</x:v>
      </x:c>
      <x:c r="N16" t="n">
        <x:f>IF(AND($E16&lt;=240,$F16&gt;=211),1,0)</x:f>
        <x:v>0</x:v>
      </x:c>
      <x:c r="O16" t="n">
        <x:f>IF(AND($E16&lt;=270,$F16&gt;=241),1,0)</x:f>
        <x:v>0</x:v>
      </x:c>
      <x:c r="P16" t="n">
        <x:f>IF(AND($E16&lt;=300,$F16&gt;=271),1,0)</x:f>
        <x:v>0</x:v>
      </x:c>
      <x:c r="Q16" t="n">
        <x:f>IF(AND($E16&lt;=330,$F16&gt;=301),1,0)</x:f>
        <x:v>0</x:v>
      </x:c>
      <x:c r="R16" t="n">
        <x:f>IF(AND($E16&lt;=360,$F16&gt;=331),1,0)</x:f>
        <x:v>0</x:v>
      </x:c>
    </x:row>
    <x:row r="17">
      <x:c r="A17" t="str">
        <x:v>ICW-ICG-LD-16</x:v>
      </x:c>
      <x:c r="B17" t="str">
        <x:v>ICW-ICG-LD</x:v>
      </x:c>
      <x:c r="C17" t="str">
        <x:v>Offshore</x:v>
      </x:c>
      <x:c r="D17" t="str">
        <x:v>Access and permit readiness</x:v>
      </x:c>
      <x:c r="E17" t="n">
        <x:v>75</x:v>
      </x:c>
      <x:c r="F17" t="n">
        <x:v>155</x:v>
      </x:c>
      <x:c r="G17" t="n">
        <x:f>IF(AND($E17&lt;=30,$F17&gt;=1),1,0)</x:f>
        <x:v>0</x:v>
      </x:c>
      <x:c r="H17" t="n">
        <x:f>IF(AND($E17&lt;=60,$F17&gt;=31),1,0)</x:f>
        <x:v>0</x:v>
      </x:c>
      <x:c r="I17" t="n">
        <x:f>IF(AND($E17&lt;=90,$F17&gt;=61),1,0)</x:f>
        <x:v>1</x:v>
      </x:c>
      <x:c r="J17" t="n">
        <x:f>IF(AND($E17&lt;=120,$F17&gt;=91),1,0)</x:f>
        <x:v>1</x:v>
      </x:c>
      <x:c r="K17" t="n">
        <x:f>IF(AND($E17&lt;=150,$F17&gt;=121),1,0)</x:f>
        <x:v>1</x:v>
      </x:c>
      <x:c r="L17" t="n">
        <x:f>IF(AND($E17&lt;=180,$F17&gt;=151),1,0)</x:f>
        <x:v>1</x:v>
      </x:c>
      <x:c r="M17" t="n">
        <x:f>IF(AND($E17&lt;=210,$F17&gt;=181),1,0)</x:f>
        <x:v>0</x:v>
      </x:c>
      <x:c r="N17" t="n">
        <x:f>IF(AND($E17&lt;=240,$F17&gt;=211),1,0)</x:f>
        <x:v>0</x:v>
      </x:c>
      <x:c r="O17" t="n">
        <x:f>IF(AND($E17&lt;=270,$F17&gt;=241),1,0)</x:f>
        <x:v>0</x:v>
      </x:c>
      <x:c r="P17" t="n">
        <x:f>IF(AND($E17&lt;=300,$F17&gt;=271),1,0)</x:f>
        <x:v>0</x:v>
      </x:c>
      <x:c r="Q17" t="n">
        <x:f>IF(AND($E17&lt;=330,$F17&gt;=301),1,0)</x:f>
        <x:v>0</x:v>
      </x:c>
      <x:c r="R17" t="n">
        <x:f>IF(AND($E17&lt;=360,$F17&gt;=331),1,0)</x:f>
        <x:v>0</x:v>
      </x:c>
    </x:row>
    <x:row r="18">
      <x:c r="A18" t="str">
        <x:v>ICW-ICG-LD-18</x:v>
      </x:c>
      <x:c r="B18" t="str">
        <x:v>ICW-ICG-LD</x:v>
      </x:c>
      <x:c r="C18" t="str">
        <x:v>Offshore</x:v>
      </x:c>
      <x:c r="D18" t="str">
        <x:v>Structural fit-up or landing</x:v>
      </x:c>
      <x:c r="E18" t="n">
        <x:v>125</x:v>
      </x:c>
      <x:c r="F18" t="n">
        <x:v>215</x:v>
      </x:c>
      <x:c r="G18" t="n">
        <x:f>IF(AND($E18&lt;=30,$F18&gt;=1),1,0)</x:f>
        <x:v>0</x:v>
      </x:c>
      <x:c r="H18" t="n">
        <x:f>IF(AND($E18&lt;=60,$F18&gt;=31),1,0)</x:f>
        <x:v>0</x:v>
      </x:c>
      <x:c r="I18" t="n">
        <x:f>IF(AND($E18&lt;=90,$F18&gt;=61),1,0)</x:f>
        <x:v>0</x:v>
      </x:c>
      <x:c r="J18" t="n">
        <x:f>IF(AND($E18&lt;=120,$F18&gt;=91),1,0)</x:f>
        <x:v>0</x:v>
      </x:c>
      <x:c r="K18" t="n">
        <x:f>IF(AND($E18&lt;=150,$F18&gt;=121),1,0)</x:f>
        <x:v>1</x:v>
      </x:c>
      <x:c r="L18" t="n">
        <x:f>IF(AND($E18&lt;=180,$F18&gt;=151),1,0)</x:f>
        <x:v>1</x:v>
      </x:c>
      <x:c r="M18" t="n">
        <x:f>IF(AND($E18&lt;=210,$F18&gt;=181),1,0)</x:f>
        <x:v>1</x:v>
      </x:c>
      <x:c r="N18" t="n">
        <x:f>IF(AND($E18&lt;=240,$F18&gt;=211),1,0)</x:f>
        <x:v>1</x:v>
      </x:c>
      <x:c r="O18" t="n">
        <x:f>IF(AND($E18&lt;=270,$F18&gt;=241),1,0)</x:f>
        <x:v>0</x:v>
      </x:c>
      <x:c r="P18" t="n">
        <x:f>IF(AND($E18&lt;=300,$F18&gt;=271),1,0)</x:f>
        <x:v>0</x:v>
      </x:c>
      <x:c r="Q18" t="n">
        <x:f>IF(AND($E18&lt;=330,$F18&gt;=301),1,0)</x:f>
        <x:v>0</x:v>
      </x:c>
      <x:c r="R18" t="n">
        <x:f>IF(AND($E18&lt;=360,$F18&gt;=331),1,0)</x:f>
        <x:v>0</x:v>
      </x:c>
    </x:row>
    <x:row r="19">
      <x:c r="A19" t="str">
        <x:v>ICW-ICG-LD-19</x:v>
      </x:c>
      <x:c r="B19" t="str">
        <x:v>ICW-ICG-LD</x:v>
      </x:c>
      <x:c r="C19" t="str">
        <x:v>Offshore</x:v>
      </x:c>
      <x:c r="D19" t="str">
        <x:v>Connection welding and bolting</x:v>
      </x:c>
      <x:c r="E19" t="n">
        <x:v>140</x:v>
      </x:c>
      <x:c r="F19" t="n">
        <x:v>230</x:v>
      </x:c>
      <x:c r="G19" t="n">
        <x:f>IF(AND($E19&lt;=30,$F19&gt;=1),1,0)</x:f>
        <x:v>0</x:v>
      </x:c>
      <x:c r="H19" t="n">
        <x:f>IF(AND($E19&lt;=60,$F19&gt;=31),1,0)</x:f>
        <x:v>0</x:v>
      </x:c>
      <x:c r="I19" t="n">
        <x:f>IF(AND($E19&lt;=90,$F19&gt;=61),1,0)</x:f>
        <x:v>0</x:v>
      </x:c>
      <x:c r="J19" t="n">
        <x:f>IF(AND($E19&lt;=120,$F19&gt;=91),1,0)</x:f>
        <x:v>0</x:v>
      </x:c>
      <x:c r="K19" t="n">
        <x:f>IF(AND($E19&lt;=150,$F19&gt;=121),1,0)</x:f>
        <x:v>1</x:v>
      </x:c>
      <x:c r="L19" t="n">
        <x:f>IF(AND($E19&lt;=180,$F19&gt;=151),1,0)</x:f>
        <x:v>1</x:v>
      </x:c>
      <x:c r="M19" t="n">
        <x:f>IF(AND($E19&lt;=210,$F19&gt;=181),1,0)</x:f>
        <x:v>1</x:v>
      </x:c>
      <x:c r="N19" t="n">
        <x:f>IF(AND($E19&lt;=240,$F19&gt;=211),1,0)</x:f>
        <x:v>1</x:v>
      </x:c>
      <x:c r="O19" t="n">
        <x:f>IF(AND($E19&lt;=270,$F19&gt;=241),1,0)</x:f>
        <x:v>0</x:v>
      </x:c>
      <x:c r="P19" t="n">
        <x:f>IF(AND($E19&lt;=300,$F19&gt;=271),1,0)</x:f>
        <x:v>0</x:v>
      </x:c>
      <x:c r="Q19" t="n">
        <x:f>IF(AND($E19&lt;=330,$F19&gt;=301),1,0)</x:f>
        <x:v>0</x:v>
      </x:c>
      <x:c r="R19" t="n">
        <x:f>IF(AND($E19&lt;=360,$F19&gt;=331),1,0)</x:f>
        <x:v>0</x:v>
      </x:c>
    </x:row>
    <x:row r="20">
      <x:c r="A20" t="str">
        <x:v>ICW-ICG-LD-20</x:v>
      </x:c>
      <x:c r="B20" t="str">
        <x:v>ICW-ICG-LD</x:v>
      </x:c>
      <x:c r="C20" t="str">
        <x:v>Offshore</x:v>
      </x:c>
      <x:c r="D20" t="str">
        <x:v>Inspection and coating restoration</x:v>
      </x:c>
      <x:c r="E20" t="n">
        <x:v>160</x:v>
      </x:c>
      <x:c r="F20" t="n">
        <x:v>250</x:v>
      </x:c>
      <x:c r="G20" t="n">
        <x:f>IF(AND($E20&lt;=30,$F20&gt;=1),1,0)</x:f>
        <x:v>0</x:v>
      </x:c>
      <x:c r="H20" t="n">
        <x:f>IF(AND($E20&lt;=60,$F20&gt;=31),1,0)</x:f>
        <x:v>0</x:v>
      </x:c>
      <x:c r="I20" t="n">
        <x:f>IF(AND($E20&lt;=90,$F20&gt;=61),1,0)</x:f>
        <x:v>0</x:v>
      </x:c>
      <x:c r="J20" t="n">
        <x:f>IF(AND($E20&lt;=120,$F20&gt;=91),1,0)</x:f>
        <x:v>0</x:v>
      </x:c>
      <x:c r="K20" t="n">
        <x:f>IF(AND($E20&lt;=150,$F20&gt;=121),1,0)</x:f>
        <x:v>0</x:v>
      </x:c>
      <x:c r="L20" t="n">
        <x:f>IF(AND($E20&lt;=180,$F20&gt;=151),1,0)</x:f>
        <x:v>1</x:v>
      </x:c>
      <x:c r="M20" t="n">
        <x:f>IF(AND($E20&lt;=210,$F20&gt;=181),1,0)</x:f>
        <x:v>1</x:v>
      </x:c>
      <x:c r="N20" t="n">
        <x:f>IF(AND($E20&lt;=240,$F20&gt;=211),1,0)</x:f>
        <x:v>1</x:v>
      </x:c>
      <x:c r="O20" t="n">
        <x:f>IF(AND($E20&lt;=270,$F20&gt;=241),1,0)</x:f>
        <x:v>1</x:v>
      </x:c>
      <x:c r="P20" t="n">
        <x:f>IF(AND($E20&lt;=300,$F20&gt;=271),1,0)</x:f>
        <x:v>0</x:v>
      </x:c>
      <x:c r="Q20" t="n">
        <x:f>IF(AND($E20&lt;=330,$F20&gt;=301),1,0)</x:f>
        <x:v>0</x:v>
      </x:c>
      <x:c r="R20" t="n">
        <x:f>IF(AND($E20&lt;=360,$F20&gt;=331),1,0)</x:f>
        <x:v>0</x:v>
      </x:c>
    </x:row>
    <x:row r="21">
      <x:c r="A21" t="str">
        <x:v>ICW-ICG-LD-21</x:v>
      </x:c>
      <x:c r="B21" t="str">
        <x:v>ICW-ICG-LD</x:v>
      </x:c>
      <x:c r="C21" t="str">
        <x:v>Closeout</x:v>
      </x:c>
      <x:c r="D21" t="str">
        <x:v>Punch closure and dossier</x:v>
      </x:c>
      <x:c r="E21" t="n">
        <x:v>235</x:v>
      </x:c>
      <x:c r="F21" t="n">
        <x:v>320</x:v>
      </x:c>
      <x:c r="G21" t="n">
        <x:f>IF(AND($E21&lt;=30,$F21&gt;=1),1,0)</x:f>
        <x:v>0</x:v>
      </x:c>
      <x:c r="H21" t="n">
        <x:f>IF(AND($E21&lt;=60,$F21&gt;=31),1,0)</x:f>
        <x:v>0</x:v>
      </x:c>
      <x:c r="I21" t="n">
        <x:f>IF(AND($E21&lt;=90,$F21&gt;=61),1,0)</x:f>
        <x:v>0</x:v>
      </x:c>
      <x:c r="J21" t="n">
        <x:f>IF(AND($E21&lt;=120,$F21&gt;=91),1,0)</x:f>
        <x:v>0</x:v>
      </x:c>
      <x:c r="K21" t="n">
        <x:f>IF(AND($E21&lt;=150,$F21&gt;=121),1,0)</x:f>
        <x:v>0</x:v>
      </x:c>
      <x:c r="L21" t="n">
        <x:f>IF(AND($E21&lt;=180,$F21&gt;=151),1,0)</x:f>
        <x:v>0</x:v>
      </x:c>
      <x:c r="M21" t="n">
        <x:f>IF(AND($E21&lt;=210,$F21&gt;=181),1,0)</x:f>
        <x:v>0</x:v>
      </x:c>
      <x:c r="N21" t="n">
        <x:f>IF(AND($E21&lt;=240,$F21&gt;=211),1,0)</x:f>
        <x:v>1</x:v>
      </x:c>
      <x:c r="O21" t="n">
        <x:f>IF(AND($E21&lt;=270,$F21&gt;=241),1,0)</x:f>
        <x:v>1</x:v>
      </x:c>
      <x:c r="P21" t="n">
        <x:f>IF(AND($E21&lt;=300,$F21&gt;=271),1,0)</x:f>
        <x:v>1</x:v>
      </x:c>
      <x:c r="Q21" t="n">
        <x:f>IF(AND($E21&lt;=330,$F21&gt;=301),1,0)</x:f>
        <x:v>1</x:v>
      </x:c>
      <x:c r="R21" t="n">
        <x:f>IF(AND($E21&lt;=360,$F21&gt;=331),1,0)</x:f>
        <x:v>0</x:v>
      </x:c>
    </x:row>
    <x:row r="22">
      <x:c r="A22" t="str">
        <x:v>ICW-ICG-LD-22</x:v>
      </x:c>
      <x:c r="B22" t="str">
        <x:v>ICW-ICG-LD</x:v>
      </x:c>
      <x:c r="C22" t="str">
        <x:v>Closeout</x:v>
      </x:c>
      <x:c r="D22" t="str">
        <x:v>Client acceptance and final handover</x:v>
      </x:c>
      <x:c r="E22" t="n">
        <x:v>300</x:v>
      </x:c>
      <x:c r="F22" t="n">
        <x:v>350</x:v>
      </x:c>
      <x:c r="G22" t="n">
        <x:f>IF(AND($E22&lt;=30,$F22&gt;=1),1,0)</x:f>
        <x:v>0</x:v>
      </x:c>
      <x:c r="H22" t="n">
        <x:f>IF(AND($E22&lt;=60,$F22&gt;=31),1,0)</x:f>
        <x:v>0</x:v>
      </x:c>
      <x:c r="I22" t="n">
        <x:f>IF(AND($E22&lt;=90,$F22&gt;=61),1,0)</x:f>
        <x:v>0</x:v>
      </x:c>
      <x:c r="J22" t="n">
        <x:f>IF(AND($E22&lt;=120,$F22&gt;=91),1,0)</x:f>
        <x:v>0</x:v>
      </x:c>
      <x:c r="K22" t="n">
        <x:f>IF(AND($E22&lt;=150,$F22&gt;=121),1,0)</x:f>
        <x:v>0</x:v>
      </x:c>
      <x:c r="L22" t="n">
        <x:f>IF(AND($E22&lt;=180,$F22&gt;=151),1,0)</x:f>
        <x:v>0</x:v>
      </x:c>
      <x:c r="M22" t="n">
        <x:f>IF(AND($E22&lt;=210,$F22&gt;=181),1,0)</x:f>
        <x:v>0</x:v>
      </x:c>
      <x:c r="N22" t="n">
        <x:f>IF(AND($E22&lt;=240,$F22&gt;=211),1,0)</x:f>
        <x:v>0</x:v>
      </x:c>
      <x:c r="O22" t="n">
        <x:f>IF(AND($E22&lt;=270,$F22&gt;=241),1,0)</x:f>
        <x:v>0</x:v>
      </x:c>
      <x:c r="P22" t="n">
        <x:f>IF(AND($E22&lt;=300,$F22&gt;=271),1,0)</x:f>
        <x:v>1</x:v>
      </x:c>
      <x:c r="Q22" t="n">
        <x:f>IF(AND($E22&lt;=330,$F22&gt;=301),1,0)</x:f>
        <x:v>1</x:v>
      </x:c>
      <x:c r="R22" t="n">
        <x:f>IF(AND($E22&lt;=360,$F22&gt;=331),1,0)</x:f>
        <x:v>1</x:v>
      </x:c>
    </x:row>
    <x:row r="23">
      <x:c r="A23" t="str">
        <x:v>ICG-ICP-LD-01</x:v>
      </x:c>
      <x:c r="B23" t="str">
        <x:v>ICG-ICP-LD</x:v>
      </x:c>
      <x:c r="C23" t="str">
        <x:v>Engineering</x:v>
      </x:c>
      <x:c r="D23" t="str">
        <x:v>Existing-condition survey</x:v>
      </x:c>
      <x:c r="E23" t="n">
        <x:v>29</x:v>
      </x:c>
      <x:c r="F23" t="n">
        <x:v>56</x:v>
      </x:c>
      <x:c r="G23" t="n">
        <x:f>IF(AND($E23&lt;=30,$F23&gt;=1),1,0)</x:f>
        <x:v>1</x:v>
      </x:c>
      <x:c r="H23" t="n">
        <x:f>IF(AND($E23&lt;=60,$F23&gt;=31),1,0)</x:f>
        <x:v>1</x:v>
      </x:c>
      <x:c r="I23" t="n">
        <x:f>IF(AND($E23&lt;=90,$F23&gt;=61),1,0)</x:f>
        <x:v>0</x:v>
      </x:c>
      <x:c r="J23" t="n">
        <x:f>IF(AND($E23&lt;=120,$F23&gt;=91),1,0)</x:f>
        <x:v>0</x:v>
      </x:c>
      <x:c r="K23" t="n">
        <x:f>IF(AND($E23&lt;=150,$F23&gt;=121),1,0)</x:f>
        <x:v>0</x:v>
      </x:c>
      <x:c r="L23" t="n">
        <x:f>IF(AND($E23&lt;=180,$F23&gt;=151),1,0)</x:f>
        <x:v>0</x:v>
      </x:c>
      <x:c r="M23" t="n">
        <x:f>IF(AND($E23&lt;=210,$F23&gt;=181),1,0)</x:f>
        <x:v>0</x:v>
      </x:c>
      <x:c r="N23" t="n">
        <x:f>IF(AND($E23&lt;=240,$F23&gt;=211),1,0)</x:f>
        <x:v>0</x:v>
      </x:c>
      <x:c r="O23" t="n">
        <x:f>IF(AND($E23&lt;=270,$F23&gt;=241),1,0)</x:f>
        <x:v>0</x:v>
      </x:c>
      <x:c r="P23" t="n">
        <x:f>IF(AND($E23&lt;=300,$F23&gt;=271),1,0)</x:f>
        <x:v>0</x:v>
      </x:c>
      <x:c r="Q23" t="n">
        <x:f>IF(AND($E23&lt;=330,$F23&gt;=301),1,0)</x:f>
        <x:v>0</x:v>
      </x:c>
      <x:c r="R23" t="n">
        <x:f>IF(AND($E23&lt;=360,$F23&gt;=331),1,0)</x:f>
        <x:v>0</x:v>
      </x:c>
    </x:row>
    <x:row r="24">
      <x:c r="A24" t="str">
        <x:v>ICG-ICP-LD-02</x:v>
      </x:c>
      <x:c r="B24" t="str">
        <x:v>ICG-ICP-LD</x:v>
      </x:c>
      <x:c r="C24" t="str">
        <x:v>Engineering</x:v>
      </x:c>
      <x:c r="D24" t="str">
        <x:v>Design basis and interface verification</x:v>
      </x:c>
      <x:c r="E24" t="n">
        <x:v>43</x:v>
      </x:c>
      <x:c r="F24" t="n">
        <x:v>66</x:v>
      </x:c>
      <x:c r="G24" t="n">
        <x:f>IF(AND($E24&lt;=30,$F24&gt;=1),1,0)</x:f>
        <x:v>0</x:v>
      </x:c>
      <x:c r="H24" t="n">
        <x:f>IF(AND($E24&lt;=60,$F24&gt;=31),1,0)</x:f>
        <x:v>1</x:v>
      </x:c>
      <x:c r="I24" t="n">
        <x:f>IF(AND($E24&lt;=90,$F24&gt;=61),1,0)</x:f>
        <x:v>1</x:v>
      </x:c>
      <x:c r="J24" t="n">
        <x:f>IF(AND($E24&lt;=120,$F24&gt;=91),1,0)</x:f>
        <x:v>0</x:v>
      </x:c>
      <x:c r="K24" t="n">
        <x:f>IF(AND($E24&lt;=150,$F24&gt;=121),1,0)</x:f>
        <x:v>0</x:v>
      </x:c>
      <x:c r="L24" t="n">
        <x:f>IF(AND($E24&lt;=180,$F24&gt;=151),1,0)</x:f>
        <x:v>0</x:v>
      </x:c>
      <x:c r="M24" t="n">
        <x:f>IF(AND($E24&lt;=210,$F24&gt;=181),1,0)</x:f>
        <x:v>0</x:v>
      </x:c>
      <x:c r="N24" t="n">
        <x:f>IF(AND($E24&lt;=240,$F24&gt;=211),1,0)</x:f>
        <x:v>0</x:v>
      </x:c>
      <x:c r="O24" t="n">
        <x:f>IF(AND($E24&lt;=270,$F24&gt;=241),1,0)</x:f>
        <x:v>0</x:v>
      </x:c>
      <x:c r="P24" t="n">
        <x:f>IF(AND($E24&lt;=300,$F24&gt;=271),1,0)</x:f>
        <x:v>0</x:v>
      </x:c>
      <x:c r="Q24" t="n">
        <x:f>IF(AND($E24&lt;=330,$F24&gt;=301),1,0)</x:f>
        <x:v>0</x:v>
      </x:c>
      <x:c r="R24" t="n">
        <x:f>IF(AND($E24&lt;=360,$F24&gt;=331),1,0)</x:f>
        <x:v>0</x:v>
      </x:c>
    </x:row>
    <x:row r="25">
      <x:c r="A25" t="str">
        <x:v>ICG-ICP-LD-03</x:v>
      </x:c>
      <x:c r="B25" t="str">
        <x:v>ICG-ICP-LD</x:v>
      </x:c>
      <x:c r="C25" t="str">
        <x:v>Engineering</x:v>
      </x:c>
      <x:c r="D25" t="str">
        <x:v>Detailed structural and temporary works engineering</x:v>
      </x:c>
      <x:c r="E25" t="n">
        <x:v>56</x:v>
      </x:c>
      <x:c r="F25" t="n">
        <x:v>120</x:v>
      </x:c>
      <x:c r="G25" t="n">
        <x:f>IF(AND($E25&lt;=30,$F25&gt;=1),1,0)</x:f>
        <x:v>0</x:v>
      </x:c>
      <x:c r="H25" t="n">
        <x:f>IF(AND($E25&lt;=60,$F25&gt;=31),1,0)</x:f>
        <x:v>1</x:v>
      </x:c>
      <x:c r="I25" t="n">
        <x:f>IF(AND($E25&lt;=90,$F25&gt;=61),1,0)</x:f>
        <x:v>1</x:v>
      </x:c>
      <x:c r="J25" t="n">
        <x:f>IF(AND($E25&lt;=120,$F25&gt;=91),1,0)</x:f>
        <x:v>1</x:v>
      </x:c>
      <x:c r="K25" t="n">
        <x:f>IF(AND($E25&lt;=150,$F25&gt;=121),1,0)</x:f>
        <x:v>0</x:v>
      </x:c>
      <x:c r="L25" t="n">
        <x:f>IF(AND($E25&lt;=180,$F25&gt;=151),1,0)</x:f>
        <x:v>0</x:v>
      </x:c>
      <x:c r="M25" t="n">
        <x:f>IF(AND($E25&lt;=210,$F25&gt;=181),1,0)</x:f>
        <x:v>0</x:v>
      </x:c>
      <x:c r="N25" t="n">
        <x:f>IF(AND($E25&lt;=240,$F25&gt;=211),1,0)</x:f>
        <x:v>0</x:v>
      </x:c>
      <x:c r="O25" t="n">
        <x:f>IF(AND($E25&lt;=270,$F25&gt;=241),1,0)</x:f>
        <x:v>0</x:v>
      </x:c>
      <x:c r="P25" t="n">
        <x:f>IF(AND($E25&lt;=300,$F25&gt;=271),1,0)</x:f>
        <x:v>0</x:v>
      </x:c>
      <x:c r="Q25" t="n">
        <x:f>IF(AND($E25&lt;=330,$F25&gt;=301),1,0)</x:f>
        <x:v>0</x:v>
      </x:c>
      <x:c r="R25" t="n">
        <x:f>IF(AND($E25&lt;=360,$F25&gt;=331),1,0)</x:f>
        <x:v>0</x:v>
      </x:c>
    </x:row>
    <x:row r="26">
      <x:c r="A26" t="str">
        <x:v>ICG-ICP-LD-04</x:v>
      </x:c>
      <x:c r="B26" t="str">
        <x:v>ICG-ICP-LD</x:v>
      </x:c>
      <x:c r="C26" t="str">
        <x:v>Engineering</x:v>
      </x:c>
      <x:c r="D26" t="str">
        <x:v>Fabrication drawing release</x:v>
      </x:c>
      <x:c r="E26" t="n">
        <x:v>76</x:v>
      </x:c>
      <x:c r="F26" t="n">
        <x:v>133</x:v>
      </x:c>
      <x:c r="G26" t="n">
        <x:f>IF(AND($E26&lt;=30,$F26&gt;=1),1,0)</x:f>
        <x:v>0</x:v>
      </x:c>
      <x:c r="H26" t="n">
        <x:f>IF(AND($E26&lt;=60,$F26&gt;=31),1,0)</x:f>
        <x:v>0</x:v>
      </x:c>
      <x:c r="I26" t="n">
        <x:f>IF(AND($E26&lt;=90,$F26&gt;=61),1,0)</x:f>
        <x:v>1</x:v>
      </x:c>
      <x:c r="J26" t="n">
        <x:f>IF(AND($E26&lt;=120,$F26&gt;=91),1,0)</x:f>
        <x:v>1</x:v>
      </x:c>
      <x:c r="K26" t="n">
        <x:f>IF(AND($E26&lt;=150,$F26&gt;=121),1,0)</x:f>
        <x:v>1</x:v>
      </x:c>
      <x:c r="L26" t="n">
        <x:f>IF(AND($E26&lt;=180,$F26&gt;=151),1,0)</x:f>
        <x:v>0</x:v>
      </x:c>
      <x:c r="M26" t="n">
        <x:f>IF(AND($E26&lt;=210,$F26&gt;=181),1,0)</x:f>
        <x:v>0</x:v>
      </x:c>
      <x:c r="N26" t="n">
        <x:f>IF(AND($E26&lt;=240,$F26&gt;=211),1,0)</x:f>
        <x:v>0</x:v>
      </x:c>
      <x:c r="O26" t="n">
        <x:f>IF(AND($E26&lt;=270,$F26&gt;=241),1,0)</x:f>
        <x:v>0</x:v>
      </x:c>
      <x:c r="P26" t="n">
        <x:f>IF(AND($E26&lt;=300,$F26&gt;=271),1,0)</x:f>
        <x:v>0</x:v>
      </x:c>
      <x:c r="Q26" t="n">
        <x:f>IF(AND($E26&lt;=330,$F26&gt;=301),1,0)</x:f>
        <x:v>0</x:v>
      </x:c>
      <x:c r="R26" t="n">
        <x:f>IF(AND($E26&lt;=360,$F26&gt;=331),1,0)</x:f>
        <x:v>0</x:v>
      </x:c>
    </x:row>
    <x:row r="27">
      <x:c r="A27" t="str">
        <x:v>ICG-ICP-LD-05</x:v>
      </x:c>
      <x:c r="B27" t="str">
        <x:v>ICG-ICP-LD</x:v>
      </x:c>
      <x:c r="C27" t="str">
        <x:v>Procurement</x:v>
      </x:c>
      <x:c r="D27" t="str">
        <x:v>Material requisitions and vendor approval</x:v>
      </x:c>
      <x:c r="E27" t="n">
        <x:v>56</x:v>
      </x:c>
      <x:c r="F27" t="n">
        <x:v>83</x:v>
      </x:c>
      <x:c r="G27" t="n">
        <x:f>IF(AND($E27&lt;=30,$F27&gt;=1),1,0)</x:f>
        <x:v>0</x:v>
      </x:c>
      <x:c r="H27" t="n">
        <x:f>IF(AND($E27&lt;=60,$F27&gt;=31),1,0)</x:f>
        <x:v>1</x:v>
      </x:c>
      <x:c r="I27" t="n">
        <x:f>IF(AND($E27&lt;=90,$F27&gt;=61),1,0)</x:f>
        <x:v>1</x:v>
      </x:c>
      <x:c r="J27" t="n">
        <x:f>IF(AND($E27&lt;=120,$F27&gt;=91),1,0)</x:f>
        <x:v>0</x:v>
      </x:c>
      <x:c r="K27" t="n">
        <x:f>IF(AND($E27&lt;=150,$F27&gt;=121),1,0)</x:f>
        <x:v>0</x:v>
      </x:c>
      <x:c r="L27" t="n">
        <x:f>IF(AND($E27&lt;=180,$F27&gt;=151),1,0)</x:f>
        <x:v>0</x:v>
      </x:c>
      <x:c r="M27" t="n">
        <x:f>IF(AND($E27&lt;=210,$F27&gt;=181),1,0)</x:f>
        <x:v>0</x:v>
      </x:c>
      <x:c r="N27" t="n">
        <x:f>IF(AND($E27&lt;=240,$F27&gt;=211),1,0)</x:f>
        <x:v>0</x:v>
      </x:c>
      <x:c r="O27" t="n">
        <x:f>IF(AND($E27&lt;=270,$F27&gt;=241),1,0)</x:f>
        <x:v>0</x:v>
      </x:c>
      <x:c r="P27" t="n">
        <x:f>IF(AND($E27&lt;=300,$F27&gt;=271),1,0)</x:f>
        <x:v>0</x:v>
      </x:c>
      <x:c r="Q27" t="n">
        <x:f>IF(AND($E27&lt;=330,$F27&gt;=301),1,0)</x:f>
        <x:v>0</x:v>
      </x:c>
      <x:c r="R27" t="n">
        <x:f>IF(AND($E27&lt;=360,$F27&gt;=331),1,0)</x:f>
        <x:v>0</x:v>
      </x:c>
    </x:row>
    <x:row r="28">
      <x:c r="A28" t="str">
        <x:v>ICG-ICP-LD-06</x:v>
      </x:c>
      <x:c r="B28" t="str">
        <x:v>ICG-ICP-LD</x:v>
      </x:c>
      <x:c r="C28" t="str">
        <x:v>Procurement</x:v>
      </x:c>
      <x:c r="D28" t="str">
        <x:v>Steel purchasing and delivery</x:v>
      </x:c>
      <x:c r="E28" t="n">
        <x:v>76</x:v>
      </x:c>
      <x:c r="F28" t="n">
        <x:v>138</x:v>
      </x:c>
      <x:c r="G28" t="n">
        <x:f>IF(AND($E28&lt;=30,$F28&gt;=1),1,0)</x:f>
        <x:v>0</x:v>
      </x:c>
      <x:c r="H28" t="n">
        <x:f>IF(AND($E28&lt;=60,$F28&gt;=31),1,0)</x:f>
        <x:v>0</x:v>
      </x:c>
      <x:c r="I28" t="n">
        <x:f>IF(AND($E28&lt;=90,$F28&gt;=61),1,0)</x:f>
        <x:v>1</x:v>
      </x:c>
      <x:c r="J28" t="n">
        <x:f>IF(AND($E28&lt;=120,$F28&gt;=91),1,0)</x:f>
        <x:v>1</x:v>
      </x:c>
      <x:c r="K28" t="n">
        <x:f>IF(AND($E28&lt;=150,$F28&gt;=121),1,0)</x:f>
        <x:v>1</x:v>
      </x:c>
      <x:c r="L28" t="n">
        <x:f>IF(AND($E28&lt;=180,$F28&gt;=151),1,0)</x:f>
        <x:v>0</x:v>
      </x:c>
      <x:c r="M28" t="n">
        <x:f>IF(AND($E28&lt;=210,$F28&gt;=181),1,0)</x:f>
        <x:v>0</x:v>
      </x:c>
      <x:c r="N28" t="n">
        <x:f>IF(AND($E28&lt;=240,$F28&gt;=211),1,0)</x:f>
        <x:v>0</x:v>
      </x:c>
      <x:c r="O28" t="n">
        <x:f>IF(AND($E28&lt;=270,$F28&gt;=241),1,0)</x:f>
        <x:v>0</x:v>
      </x:c>
      <x:c r="P28" t="n">
        <x:f>IF(AND($E28&lt;=300,$F28&gt;=271),1,0)</x:f>
        <x:v>0</x:v>
      </x:c>
      <x:c r="Q28" t="n">
        <x:f>IF(AND($E28&lt;=330,$F28&gt;=301),1,0)</x:f>
        <x:v>0</x:v>
      </x:c>
      <x:c r="R28" t="n">
        <x:f>IF(AND($E28&lt;=360,$F28&gt;=331),1,0)</x:f>
        <x:v>0</x:v>
      </x:c>
    </x:row>
    <x:row r="29">
      <x:c r="A29" t="str">
        <x:v>ICG-ICP-LD-07</x:v>
      </x:c>
      <x:c r="B29" t="str">
        <x:v>ICG-ICP-LD</x:v>
      </x:c>
      <x:c r="C29" t="str">
        <x:v>Fabrication</x:v>
      </x:c>
      <x:c r="D29" t="str">
        <x:v>Cutting and material preparation</x:v>
      </x:c>
      <x:c r="E29" t="n">
        <x:v>103</x:v>
      </x:c>
      <x:c r="F29" t="n">
        <x:v>133</x:v>
      </x:c>
      <x:c r="G29" t="n">
        <x:f>IF(AND($E29&lt;=30,$F29&gt;=1),1,0)</x:f>
        <x:v>0</x:v>
      </x:c>
      <x:c r="H29" t="n">
        <x:f>IF(AND($E29&lt;=60,$F29&gt;=31),1,0)</x:f>
        <x:v>0</x:v>
      </x:c>
      <x:c r="I29" t="n">
        <x:f>IF(AND($E29&lt;=90,$F29&gt;=61),1,0)</x:f>
        <x:v>0</x:v>
      </x:c>
      <x:c r="J29" t="n">
        <x:f>IF(AND($E29&lt;=120,$F29&gt;=91),1,0)</x:f>
        <x:v>1</x:v>
      </x:c>
      <x:c r="K29" t="n">
        <x:f>IF(AND($E29&lt;=150,$F29&gt;=121),1,0)</x:f>
        <x:v>1</x:v>
      </x:c>
      <x:c r="L29" t="n">
        <x:f>IF(AND($E29&lt;=180,$F29&gt;=151),1,0)</x:f>
        <x:v>0</x:v>
      </x:c>
      <x:c r="M29" t="n">
        <x:f>IF(AND($E29&lt;=210,$F29&gt;=181),1,0)</x:f>
        <x:v>0</x:v>
      </x:c>
      <x:c r="N29" t="n">
        <x:f>IF(AND($E29&lt;=240,$F29&gt;=211),1,0)</x:f>
        <x:v>0</x:v>
      </x:c>
      <x:c r="O29" t="n">
        <x:f>IF(AND($E29&lt;=270,$F29&gt;=241),1,0)</x:f>
        <x:v>0</x:v>
      </x:c>
      <x:c r="P29" t="n">
        <x:f>IF(AND($E29&lt;=300,$F29&gt;=271),1,0)</x:f>
        <x:v>0</x:v>
      </x:c>
      <x:c r="Q29" t="n">
        <x:f>IF(AND($E29&lt;=330,$F29&gt;=301),1,0)</x:f>
        <x:v>0</x:v>
      </x:c>
      <x:c r="R29" t="n">
        <x:f>IF(AND($E29&lt;=360,$F29&gt;=331),1,0)</x:f>
        <x:v>0</x:v>
      </x:c>
    </x:row>
    <x:row r="30">
      <x:c r="A30" t="str">
        <x:v>ICG-ICP-LD-08</x:v>
      </x:c>
      <x:c r="B30" t="str">
        <x:v>ICG-ICP-LD</x:v>
      </x:c>
      <x:c r="C30" t="str">
        <x:v>Fabrication</x:v>
      </x:c>
      <x:c r="D30" t="str">
        <x:v>Assembly and fit-up</x:v>
      </x:c>
      <x:c r="E30" t="n">
        <x:v>118</x:v>
      </x:c>
      <x:c r="F30" t="n">
        <x:v>163</x:v>
      </x:c>
      <x:c r="G30" t="n">
        <x:f>IF(AND($E30&lt;=30,$F30&gt;=1),1,0)</x:f>
        <x:v>0</x:v>
      </x:c>
      <x:c r="H30" t="n">
        <x:f>IF(AND($E30&lt;=60,$F30&gt;=31),1,0)</x:f>
        <x:v>0</x:v>
      </x:c>
      <x:c r="I30" t="n">
        <x:f>IF(AND($E30&lt;=90,$F30&gt;=61),1,0)</x:f>
        <x:v>0</x:v>
      </x:c>
      <x:c r="J30" t="n">
        <x:f>IF(AND($E30&lt;=120,$F30&gt;=91),1,0)</x:f>
        <x:v>1</x:v>
      </x:c>
      <x:c r="K30" t="n">
        <x:f>IF(AND($E30&lt;=150,$F30&gt;=121),1,0)</x:f>
        <x:v>1</x:v>
      </x:c>
      <x:c r="L30" t="n">
        <x:f>IF(AND($E30&lt;=180,$F30&gt;=151),1,0)</x:f>
        <x:v>1</x:v>
      </x:c>
      <x:c r="M30" t="n">
        <x:f>IF(AND($E30&lt;=210,$F30&gt;=181),1,0)</x:f>
        <x:v>0</x:v>
      </x:c>
      <x:c r="N30" t="n">
        <x:f>IF(AND($E30&lt;=240,$F30&gt;=211),1,0)</x:f>
        <x:v>0</x:v>
      </x:c>
      <x:c r="O30" t="n">
        <x:f>IF(AND($E30&lt;=270,$F30&gt;=241),1,0)</x:f>
        <x:v>0</x:v>
      </x:c>
      <x:c r="P30" t="n">
        <x:f>IF(AND($E30&lt;=300,$F30&gt;=271),1,0)</x:f>
        <x:v>0</x:v>
      </x:c>
      <x:c r="Q30" t="n">
        <x:f>IF(AND($E30&lt;=330,$F30&gt;=301),1,0)</x:f>
        <x:v>0</x:v>
      </x:c>
      <x:c r="R30" t="n">
        <x:f>IF(AND($E30&lt;=360,$F30&gt;=331),1,0)</x:f>
        <x:v>0</x:v>
      </x:c>
    </x:row>
    <x:row r="31">
      <x:c r="A31" t="str">
        <x:v>ICG-ICP-LD-09</x:v>
      </x:c>
      <x:c r="B31" t="str">
        <x:v>ICG-ICP-LD</x:v>
      </x:c>
      <x:c r="C31" t="str">
        <x:v>Fabrication</x:v>
      </x:c>
      <x:c r="D31" t="str">
        <x:v>Shop welding</x:v>
      </x:c>
      <x:c r="E31" t="n">
        <x:v>131</x:v>
      </x:c>
      <x:c r="F31" t="n">
        <x:v>176</x:v>
      </x:c>
      <x:c r="G31" t="n">
        <x:f>IF(AND($E31&lt;=30,$F31&gt;=1),1,0)</x:f>
        <x:v>0</x:v>
      </x:c>
      <x:c r="H31" t="n">
        <x:f>IF(AND($E31&lt;=60,$F31&gt;=31),1,0)</x:f>
        <x:v>0</x:v>
      </x:c>
      <x:c r="I31" t="n">
        <x:f>IF(AND($E31&lt;=90,$F31&gt;=61),1,0)</x:f>
        <x:v>0</x:v>
      </x:c>
      <x:c r="J31" t="n">
        <x:f>IF(AND($E31&lt;=120,$F31&gt;=91),1,0)</x:f>
        <x:v>0</x:v>
      </x:c>
      <x:c r="K31" t="n">
        <x:f>IF(AND($E31&lt;=150,$F31&gt;=121),1,0)</x:f>
        <x:v>1</x:v>
      </x:c>
      <x:c r="L31" t="n">
        <x:f>IF(AND($E31&lt;=180,$F31&gt;=151),1,0)</x:f>
        <x:v>1</x:v>
      </x:c>
      <x:c r="M31" t="n">
        <x:f>IF(AND($E31&lt;=210,$F31&gt;=181),1,0)</x:f>
        <x:v>0</x:v>
      </x:c>
      <x:c r="N31" t="n">
        <x:f>IF(AND($E31&lt;=240,$F31&gt;=211),1,0)</x:f>
        <x:v>0</x:v>
      </x:c>
      <x:c r="O31" t="n">
        <x:f>IF(AND($E31&lt;=270,$F31&gt;=241),1,0)</x:f>
        <x:v>0</x:v>
      </x:c>
      <x:c r="P31" t="n">
        <x:f>IF(AND($E31&lt;=300,$F31&gt;=271),1,0)</x:f>
        <x:v>0</x:v>
      </x:c>
      <x:c r="Q31" t="n">
        <x:f>IF(AND($E31&lt;=330,$F31&gt;=301),1,0)</x:f>
        <x:v>0</x:v>
      </x:c>
      <x:c r="R31" t="n">
        <x:f>IF(AND($E31&lt;=360,$F31&gt;=331),1,0)</x:f>
        <x:v>0</x:v>
      </x:c>
    </x:row>
    <x:row r="32">
      <x:c r="A32" t="str">
        <x:v>ICG-ICP-LD-10</x:v>
      </x:c>
      <x:c r="B32" t="str">
        <x:v>ICG-ICP-LD</x:v>
      </x:c>
      <x:c r="C32" t="str">
        <x:v>Quality</x:v>
      </x:c>
      <x:c r="D32" t="str">
        <x:v>NDT and dimensional acceptance</x:v>
      </x:c>
      <x:c r="E32" t="n">
        <x:v>148</x:v>
      </x:c>
      <x:c r="F32" t="n">
        <x:v>185</x:v>
      </x:c>
      <x:c r="G32" t="n">
        <x:f>IF(AND($E32&lt;=30,$F32&gt;=1),1,0)</x:f>
        <x:v>0</x:v>
      </x:c>
      <x:c r="H32" t="n">
        <x:f>IF(AND($E32&lt;=60,$F32&gt;=31),1,0)</x:f>
        <x:v>0</x:v>
      </x:c>
      <x:c r="I32" t="n">
        <x:f>IF(AND($E32&lt;=90,$F32&gt;=61),1,0)</x:f>
        <x:v>0</x:v>
      </x:c>
      <x:c r="J32" t="n">
        <x:f>IF(AND($E32&lt;=120,$F32&gt;=91),1,0)</x:f>
        <x:v>0</x:v>
      </x:c>
      <x:c r="K32" t="n">
        <x:f>IF(AND($E32&lt;=150,$F32&gt;=121),1,0)</x:f>
        <x:v>1</x:v>
      </x:c>
      <x:c r="L32" t="n">
        <x:f>IF(AND($E32&lt;=180,$F32&gt;=151),1,0)</x:f>
        <x:v>1</x:v>
      </x:c>
      <x:c r="M32" t="n">
        <x:f>IF(AND($E32&lt;=210,$F32&gt;=181),1,0)</x:f>
        <x:v>1</x:v>
      </x:c>
      <x:c r="N32" t="n">
        <x:f>IF(AND($E32&lt;=240,$F32&gt;=211),1,0)</x:f>
        <x:v>0</x:v>
      </x:c>
      <x:c r="O32" t="n">
        <x:f>IF(AND($E32&lt;=270,$F32&gt;=241),1,0)</x:f>
        <x:v>0</x:v>
      </x:c>
      <x:c r="P32" t="n">
        <x:f>IF(AND($E32&lt;=300,$F32&gt;=271),1,0)</x:f>
        <x:v>0</x:v>
      </x:c>
      <x:c r="Q32" t="n">
        <x:f>IF(AND($E32&lt;=330,$F32&gt;=301),1,0)</x:f>
        <x:v>0</x:v>
      </x:c>
      <x:c r="R32" t="n">
        <x:f>IF(AND($E32&lt;=360,$F32&gt;=331),1,0)</x:f>
        <x:v>0</x:v>
      </x:c>
    </x:row>
    <x:row r="33">
      <x:c r="A33" t="str">
        <x:v>ICG-ICP-LD-11</x:v>
      </x:c>
      <x:c r="B33" t="str">
        <x:v>ICG-ICP-LD</x:v>
      </x:c>
      <x:c r="C33" t="str">
        <x:v>Quality</x:v>
      </x:c>
      <x:c r="D33" t="str">
        <x:v>Blast, coat and preserve</x:v>
      </x:c>
      <x:c r="E33" t="n">
        <x:v>163</x:v>
      </x:c>
      <x:c r="F33" t="n">
        <x:v>193</x:v>
      </x:c>
      <x:c r="G33" t="n">
        <x:f>IF(AND($E33&lt;=30,$F33&gt;=1),1,0)</x:f>
        <x:v>0</x:v>
      </x:c>
      <x:c r="H33" t="n">
        <x:f>IF(AND($E33&lt;=60,$F33&gt;=31),1,0)</x:f>
        <x:v>0</x:v>
      </x:c>
      <x:c r="I33" t="n">
        <x:f>IF(AND($E33&lt;=90,$F33&gt;=61),1,0)</x:f>
        <x:v>0</x:v>
      </x:c>
      <x:c r="J33" t="n">
        <x:f>IF(AND($E33&lt;=120,$F33&gt;=91),1,0)</x:f>
        <x:v>0</x:v>
      </x:c>
      <x:c r="K33" t="n">
        <x:f>IF(AND($E33&lt;=150,$F33&gt;=121),1,0)</x:f>
        <x:v>0</x:v>
      </x:c>
      <x:c r="L33" t="n">
        <x:f>IF(AND($E33&lt;=180,$F33&gt;=151),1,0)</x:f>
        <x:v>1</x:v>
      </x:c>
      <x:c r="M33" t="n">
        <x:f>IF(AND($E33&lt;=210,$F33&gt;=181),1,0)</x:f>
        <x:v>1</x:v>
      </x:c>
      <x:c r="N33" t="n">
        <x:f>IF(AND($E33&lt;=240,$F33&gt;=211),1,0)</x:f>
        <x:v>0</x:v>
      </x:c>
      <x:c r="O33" t="n">
        <x:f>IF(AND($E33&lt;=270,$F33&gt;=241),1,0)</x:f>
        <x:v>0</x:v>
      </x:c>
      <x:c r="P33" t="n">
        <x:f>IF(AND($E33&lt;=300,$F33&gt;=271),1,0)</x:f>
        <x:v>0</x:v>
      </x:c>
      <x:c r="Q33" t="n">
        <x:f>IF(AND($E33&lt;=330,$F33&gt;=301),1,0)</x:f>
        <x:v>0</x:v>
      </x:c>
      <x:c r="R33" t="n">
        <x:f>IF(AND($E33&lt;=360,$F33&gt;=331),1,0)</x:f>
        <x:v>0</x:v>
      </x:c>
    </x:row>
    <x:row r="34">
      <x:c r="A34" t="str">
        <x:v>ICG-ICP-LD-12</x:v>
      </x:c>
      <x:c r="B34" t="str">
        <x:v>ICG-ICP-LD</x:v>
      </x:c>
      <x:c r="C34" t="str">
        <x:v>Logistics</x:v>
      </x:c>
      <x:c r="D34" t="str">
        <x:v>Module weight COG and loadout engineering</x:v>
      </x:c>
      <x:c r="E34" t="n">
        <x:v>118</x:v>
      </x:c>
      <x:c r="F34" t="n">
        <x:v>190</x:v>
      </x:c>
      <x:c r="G34" t="n">
        <x:f>IF(AND($E34&lt;=30,$F34&gt;=1),1,0)</x:f>
        <x:v>0</x:v>
      </x:c>
      <x:c r="H34" t="n">
        <x:f>IF(AND($E34&lt;=60,$F34&gt;=31),1,0)</x:f>
        <x:v>0</x:v>
      </x:c>
      <x:c r="I34" t="n">
        <x:f>IF(AND($E34&lt;=90,$F34&gt;=61),1,0)</x:f>
        <x:v>0</x:v>
      </x:c>
      <x:c r="J34" t="n">
        <x:f>IF(AND($E34&lt;=120,$F34&gt;=91),1,0)</x:f>
        <x:v>1</x:v>
      </x:c>
      <x:c r="K34" t="n">
        <x:f>IF(AND($E34&lt;=150,$F34&gt;=121),1,0)</x:f>
        <x:v>1</x:v>
      </x:c>
      <x:c r="L34" t="n">
        <x:f>IF(AND($E34&lt;=180,$F34&gt;=151),1,0)</x:f>
        <x:v>1</x:v>
      </x:c>
      <x:c r="M34" t="n">
        <x:f>IF(AND($E34&lt;=210,$F34&gt;=181),1,0)</x:f>
        <x:v>1</x:v>
      </x:c>
      <x:c r="N34" t="n">
        <x:f>IF(AND($E34&lt;=240,$F34&gt;=211),1,0)</x:f>
        <x:v>0</x:v>
      </x:c>
      <x:c r="O34" t="n">
        <x:f>IF(AND($E34&lt;=270,$F34&gt;=241),1,0)</x:f>
        <x:v>0</x:v>
      </x:c>
      <x:c r="P34" t="n">
        <x:f>IF(AND($E34&lt;=300,$F34&gt;=271),1,0)</x:f>
        <x:v>0</x:v>
      </x:c>
      <x:c r="Q34" t="n">
        <x:f>IF(AND($E34&lt;=330,$F34&gt;=301),1,0)</x:f>
        <x:v>0</x:v>
      </x:c>
      <x:c r="R34" t="n">
        <x:f>IF(AND($E34&lt;=360,$F34&gt;=331),1,0)</x:f>
        <x:v>0</x:v>
      </x:c>
    </x:row>
    <x:row r="35">
      <x:c r="A35" t="str">
        <x:v>ICG-ICP-LD-13</x:v>
      </x:c>
      <x:c r="B35" t="str">
        <x:v>ICG-ICP-LD</x:v>
      </x:c>
      <x:c r="C35" t="str">
        <x:v>Logistics</x:v>
      </x:c>
      <x:c r="D35" t="str">
        <x:v>Cargo manifest and shore base transfer</x:v>
      </x:c>
      <x:c r="E35" t="n">
        <x:v>163</x:v>
      </x:c>
      <x:c r="F35" t="n">
        <x:v>203</x:v>
      </x:c>
      <x:c r="G35" t="n">
        <x:f>IF(AND($E35&lt;=30,$F35&gt;=1),1,0)</x:f>
        <x:v>0</x:v>
      </x:c>
      <x:c r="H35" t="n">
        <x:f>IF(AND($E35&lt;=60,$F35&gt;=31),1,0)</x:f>
        <x:v>0</x:v>
      </x:c>
      <x:c r="I35" t="n">
        <x:f>IF(AND($E35&lt;=90,$F35&gt;=61),1,0)</x:f>
        <x:v>0</x:v>
      </x:c>
      <x:c r="J35" t="n">
        <x:f>IF(AND($E35&lt;=120,$F35&gt;=91),1,0)</x:f>
        <x:v>0</x:v>
      </x:c>
      <x:c r="K35" t="n">
        <x:f>IF(AND($E35&lt;=150,$F35&gt;=121),1,0)</x:f>
        <x:v>0</x:v>
      </x:c>
      <x:c r="L35" t="n">
        <x:f>IF(AND($E35&lt;=180,$F35&gt;=151),1,0)</x:f>
        <x:v>1</x:v>
      </x:c>
      <x:c r="M35" t="n">
        <x:f>IF(AND($E35&lt;=210,$F35&gt;=181),1,0)</x:f>
        <x:v>1</x:v>
      </x:c>
      <x:c r="N35" t="n">
        <x:f>IF(AND($E35&lt;=240,$F35&gt;=211),1,0)</x:f>
        <x:v>0</x:v>
      </x:c>
      <x:c r="O35" t="n">
        <x:f>IF(AND($E35&lt;=270,$F35&gt;=241),1,0)</x:f>
        <x:v>0</x:v>
      </x:c>
      <x:c r="P35" t="n">
        <x:f>IF(AND($E35&lt;=300,$F35&gt;=271),1,0)</x:f>
        <x:v>0</x:v>
      </x:c>
      <x:c r="Q35" t="n">
        <x:f>IF(AND($E35&lt;=330,$F35&gt;=301),1,0)</x:f>
        <x:v>0</x:v>
      </x:c>
      <x:c r="R35" t="n">
        <x:f>IF(AND($E35&lt;=360,$F35&gt;=331),1,0)</x:f>
        <x:v>0</x:v>
      </x:c>
    </x:row>
    <x:row r="36">
      <x:c r="A36" t="str">
        <x:v>ICG-ICP-LD-14</x:v>
      </x:c>
      <x:c r="B36" t="str">
        <x:v>ICG-ICP-LD</x:v>
      </x:c>
      <x:c r="C36" t="str">
        <x:v>Marine</x:v>
      </x:c>
      <x:c r="D36" t="str">
        <x:v>Vessel technical selection and assurance</x:v>
      </x:c>
      <x:c r="E36" t="n">
        <x:v>73</x:v>
      </x:c>
      <x:c r="F36" t="n">
        <x:v>163</x:v>
      </x:c>
      <x:c r="G36" t="n">
        <x:f>IF(AND($E36&lt;=30,$F36&gt;=1),1,0)</x:f>
        <x:v>0</x:v>
      </x:c>
      <x:c r="H36" t="n">
        <x:f>IF(AND($E36&lt;=60,$F36&gt;=31),1,0)</x:f>
        <x:v>0</x:v>
      </x:c>
      <x:c r="I36" t="n">
        <x:f>IF(AND($E36&lt;=90,$F36&gt;=61),1,0)</x:f>
        <x:v>1</x:v>
      </x:c>
      <x:c r="J36" t="n">
        <x:f>IF(AND($E36&lt;=120,$F36&gt;=91),1,0)</x:f>
        <x:v>1</x:v>
      </x:c>
      <x:c r="K36" t="n">
        <x:f>IF(AND($E36&lt;=150,$F36&gt;=121),1,0)</x:f>
        <x:v>1</x:v>
      </x:c>
      <x:c r="L36" t="n">
        <x:f>IF(AND($E36&lt;=180,$F36&gt;=151),1,0)</x:f>
        <x:v>1</x:v>
      </x:c>
      <x:c r="M36" t="n">
        <x:f>IF(AND($E36&lt;=210,$F36&gt;=181),1,0)</x:f>
        <x:v>0</x:v>
      </x:c>
      <x:c r="N36" t="n">
        <x:f>IF(AND($E36&lt;=240,$F36&gt;=211),1,0)</x:f>
        <x:v>0</x:v>
      </x:c>
      <x:c r="O36" t="n">
        <x:f>IF(AND($E36&lt;=270,$F36&gt;=241),1,0)</x:f>
        <x:v>0</x:v>
      </x:c>
      <x:c r="P36" t="n">
        <x:f>IF(AND($E36&lt;=300,$F36&gt;=271),1,0)</x:f>
        <x:v>0</x:v>
      </x:c>
      <x:c r="Q36" t="n">
        <x:f>IF(AND($E36&lt;=330,$F36&gt;=301),1,0)</x:f>
        <x:v>0</x:v>
      </x:c>
      <x:c r="R36" t="n">
        <x:f>IF(AND($E36&lt;=360,$F36&gt;=331),1,0)</x:f>
        <x:v>0</x:v>
      </x:c>
    </x:row>
    <x:row r="37">
      <x:c r="A37" t="str">
        <x:v>ICG-ICP-LD-15</x:v>
      </x:c>
      <x:c r="B37" t="str">
        <x:v>ICG-ICP-LD</x:v>
      </x:c>
      <x:c r="C37" t="str">
        <x:v>Marine</x:v>
      </x:c>
      <x:c r="D37" t="str">
        <x:v>Marine mobilisation and readiness</x:v>
      </x:c>
      <x:c r="E37" t="n">
        <x:v>158</x:v>
      </x:c>
      <x:c r="F37" t="n">
        <x:v>198</x:v>
      </x:c>
      <x:c r="G37" t="n">
        <x:f>IF(AND($E37&lt;=30,$F37&gt;=1),1,0)</x:f>
        <x:v>0</x:v>
      </x:c>
      <x:c r="H37" t="n">
        <x:f>IF(AND($E37&lt;=60,$F37&gt;=31),1,0)</x:f>
        <x:v>0</x:v>
      </x:c>
      <x:c r="I37" t="n">
        <x:f>IF(AND($E37&lt;=90,$F37&gt;=61),1,0)</x:f>
        <x:v>0</x:v>
      </x:c>
      <x:c r="J37" t="n">
        <x:f>IF(AND($E37&lt;=120,$F37&gt;=91),1,0)</x:f>
        <x:v>0</x:v>
      </x:c>
      <x:c r="K37" t="n">
        <x:f>IF(AND($E37&lt;=150,$F37&gt;=121),1,0)</x:f>
        <x:v>0</x:v>
      </x:c>
      <x:c r="L37" t="n">
        <x:f>IF(AND($E37&lt;=180,$F37&gt;=151),1,0)</x:f>
        <x:v>1</x:v>
      </x:c>
      <x:c r="M37" t="n">
        <x:f>IF(AND($E37&lt;=210,$F37&gt;=181),1,0)</x:f>
        <x:v>1</x:v>
      </x:c>
      <x:c r="N37" t="n">
        <x:f>IF(AND($E37&lt;=240,$F37&gt;=211),1,0)</x:f>
        <x:v>0</x:v>
      </x:c>
      <x:c r="O37" t="n">
        <x:f>IF(AND($E37&lt;=270,$F37&gt;=241),1,0)</x:f>
        <x:v>0</x:v>
      </x:c>
      <x:c r="P37" t="n">
        <x:f>IF(AND($E37&lt;=300,$F37&gt;=271),1,0)</x:f>
        <x:v>0</x:v>
      </x:c>
      <x:c r="Q37" t="n">
        <x:f>IF(AND($E37&lt;=330,$F37&gt;=301),1,0)</x:f>
        <x:v>0</x:v>
      </x:c>
      <x:c r="R37" t="n">
        <x:f>IF(AND($E37&lt;=360,$F37&gt;=331),1,0)</x:f>
        <x:v>0</x:v>
      </x:c>
    </x:row>
    <x:row r="38">
      <x:c r="A38" t="str">
        <x:v>ICG-ICP-LD-16</x:v>
      </x:c>
      <x:c r="B38" t="str">
        <x:v>ICG-ICP-LD</x:v>
      </x:c>
      <x:c r="C38" t="str">
        <x:v>Offshore</x:v>
      </x:c>
      <x:c r="D38" t="str">
        <x:v>Access and permit readiness</x:v>
      </x:c>
      <x:c r="E38" t="n">
        <x:v>103</x:v>
      </x:c>
      <x:c r="F38" t="n">
        <x:v>183</x:v>
      </x:c>
      <x:c r="G38" t="n">
        <x:f>IF(AND($E38&lt;=30,$F38&gt;=1),1,0)</x:f>
        <x:v>0</x:v>
      </x:c>
      <x:c r="H38" t="n">
        <x:f>IF(AND($E38&lt;=60,$F38&gt;=31),1,0)</x:f>
        <x:v>0</x:v>
      </x:c>
      <x:c r="I38" t="n">
        <x:f>IF(AND($E38&lt;=90,$F38&gt;=61),1,0)</x:f>
        <x:v>0</x:v>
      </x:c>
      <x:c r="J38" t="n">
        <x:f>IF(AND($E38&lt;=120,$F38&gt;=91),1,0)</x:f>
        <x:v>1</x:v>
      </x:c>
      <x:c r="K38" t="n">
        <x:f>IF(AND($E38&lt;=150,$F38&gt;=121),1,0)</x:f>
        <x:v>1</x:v>
      </x:c>
      <x:c r="L38" t="n">
        <x:f>IF(AND($E38&lt;=180,$F38&gt;=151),1,0)</x:f>
        <x:v>1</x:v>
      </x:c>
      <x:c r="M38" t="n">
        <x:f>IF(AND($E38&lt;=210,$F38&gt;=181),1,0)</x:f>
        <x:v>1</x:v>
      </x:c>
      <x:c r="N38" t="n">
        <x:f>IF(AND($E38&lt;=240,$F38&gt;=211),1,0)</x:f>
        <x:v>0</x:v>
      </x:c>
      <x:c r="O38" t="n">
        <x:f>IF(AND($E38&lt;=270,$F38&gt;=241),1,0)</x:f>
        <x:v>0</x:v>
      </x:c>
      <x:c r="P38" t="n">
        <x:f>IF(AND($E38&lt;=300,$F38&gt;=271),1,0)</x:f>
        <x:v>0</x:v>
      </x:c>
      <x:c r="Q38" t="n">
        <x:f>IF(AND($E38&lt;=330,$F38&gt;=301),1,0)</x:f>
        <x:v>0</x:v>
      </x:c>
      <x:c r="R38" t="n">
        <x:f>IF(AND($E38&lt;=360,$F38&gt;=331),1,0)</x:f>
        <x:v>0</x:v>
      </x:c>
    </x:row>
    <x:row r="39">
      <x:c r="A39" t="str">
        <x:v>ICG-ICP-LD-18</x:v>
      </x:c>
      <x:c r="B39" t="str">
        <x:v>ICG-ICP-LD</x:v>
      </x:c>
      <x:c r="C39" t="str">
        <x:v>Offshore</x:v>
      </x:c>
      <x:c r="D39" t="str">
        <x:v>Structural fit-up or landing</x:v>
      </x:c>
      <x:c r="E39" t="n">
        <x:v>153</x:v>
      </x:c>
      <x:c r="F39" t="n">
        <x:v>243</x:v>
      </x:c>
      <x:c r="G39" t="n">
        <x:f>IF(AND($E39&lt;=30,$F39&gt;=1),1,0)</x:f>
        <x:v>0</x:v>
      </x:c>
      <x:c r="H39" t="n">
        <x:f>IF(AND($E39&lt;=60,$F39&gt;=31),1,0)</x:f>
        <x:v>0</x:v>
      </x:c>
      <x:c r="I39" t="n">
        <x:f>IF(AND($E39&lt;=90,$F39&gt;=61),1,0)</x:f>
        <x:v>0</x:v>
      </x:c>
      <x:c r="J39" t="n">
        <x:f>IF(AND($E39&lt;=120,$F39&gt;=91),1,0)</x:f>
        <x:v>0</x:v>
      </x:c>
      <x:c r="K39" t="n">
        <x:f>IF(AND($E39&lt;=150,$F39&gt;=121),1,0)</x:f>
        <x:v>0</x:v>
      </x:c>
      <x:c r="L39" t="n">
        <x:f>IF(AND($E39&lt;=180,$F39&gt;=151),1,0)</x:f>
        <x:v>1</x:v>
      </x:c>
      <x:c r="M39" t="n">
        <x:f>IF(AND($E39&lt;=210,$F39&gt;=181),1,0)</x:f>
        <x:v>1</x:v>
      </x:c>
      <x:c r="N39" t="n">
        <x:f>IF(AND($E39&lt;=240,$F39&gt;=211),1,0)</x:f>
        <x:v>1</x:v>
      </x:c>
      <x:c r="O39" t="n">
        <x:f>IF(AND($E39&lt;=270,$F39&gt;=241),1,0)</x:f>
        <x:v>1</x:v>
      </x:c>
      <x:c r="P39" t="n">
        <x:f>IF(AND($E39&lt;=300,$F39&gt;=271),1,0)</x:f>
        <x:v>0</x:v>
      </x:c>
      <x:c r="Q39" t="n">
        <x:f>IF(AND($E39&lt;=330,$F39&gt;=301),1,0)</x:f>
        <x:v>0</x:v>
      </x:c>
      <x:c r="R39" t="n">
        <x:f>IF(AND($E39&lt;=360,$F39&gt;=331),1,0)</x:f>
        <x:v>0</x:v>
      </x:c>
    </x:row>
    <x:row r="40">
      <x:c r="A40" t="str">
        <x:v>ICG-ICP-LD-19</x:v>
      </x:c>
      <x:c r="B40" t="str">
        <x:v>ICG-ICP-LD</x:v>
      </x:c>
      <x:c r="C40" t="str">
        <x:v>Offshore</x:v>
      </x:c>
      <x:c r="D40" t="str">
        <x:v>Connection welding and bolting</x:v>
      </x:c>
      <x:c r="E40" t="n">
        <x:v>168</x:v>
      </x:c>
      <x:c r="F40" t="n">
        <x:v>258</x:v>
      </x:c>
      <x:c r="G40" t="n">
        <x:f>IF(AND($E40&lt;=30,$F40&gt;=1),1,0)</x:f>
        <x:v>0</x:v>
      </x:c>
      <x:c r="H40" t="n">
        <x:f>IF(AND($E40&lt;=60,$F40&gt;=31),1,0)</x:f>
        <x:v>0</x:v>
      </x:c>
      <x:c r="I40" t="n">
        <x:f>IF(AND($E40&lt;=90,$F40&gt;=61),1,0)</x:f>
        <x:v>0</x:v>
      </x:c>
      <x:c r="J40" t="n">
        <x:f>IF(AND($E40&lt;=120,$F40&gt;=91),1,0)</x:f>
        <x:v>0</x:v>
      </x:c>
      <x:c r="K40" t="n">
        <x:f>IF(AND($E40&lt;=150,$F40&gt;=121),1,0)</x:f>
        <x:v>0</x:v>
      </x:c>
      <x:c r="L40" t="n">
        <x:f>IF(AND($E40&lt;=180,$F40&gt;=151),1,0)</x:f>
        <x:v>1</x:v>
      </x:c>
      <x:c r="M40" t="n">
        <x:f>IF(AND($E40&lt;=210,$F40&gt;=181),1,0)</x:f>
        <x:v>1</x:v>
      </x:c>
      <x:c r="N40" t="n">
        <x:f>IF(AND($E40&lt;=240,$F40&gt;=211),1,0)</x:f>
        <x:v>1</x:v>
      </x:c>
      <x:c r="O40" t="n">
        <x:f>IF(AND($E40&lt;=270,$F40&gt;=241),1,0)</x:f>
        <x:v>1</x:v>
      </x:c>
      <x:c r="P40" t="n">
        <x:f>IF(AND($E40&lt;=300,$F40&gt;=271),1,0)</x:f>
        <x:v>0</x:v>
      </x:c>
      <x:c r="Q40" t="n">
        <x:f>IF(AND($E40&lt;=330,$F40&gt;=301),1,0)</x:f>
        <x:v>0</x:v>
      </x:c>
      <x:c r="R40" t="n">
        <x:f>IF(AND($E40&lt;=360,$F40&gt;=331),1,0)</x:f>
        <x:v>0</x:v>
      </x:c>
    </x:row>
    <x:row r="41">
      <x:c r="A41" t="str">
        <x:v>ICG-ICP-LD-20</x:v>
      </x:c>
      <x:c r="B41" t="str">
        <x:v>ICG-ICP-LD</x:v>
      </x:c>
      <x:c r="C41" t="str">
        <x:v>Offshore</x:v>
      </x:c>
      <x:c r="D41" t="str">
        <x:v>Inspection and coating restoration</x:v>
      </x:c>
      <x:c r="E41" t="n">
        <x:v>188</x:v>
      </x:c>
      <x:c r="F41" t="n">
        <x:v>278</x:v>
      </x:c>
      <x:c r="G41" t="n">
        <x:f>IF(AND($E41&lt;=30,$F41&gt;=1),1,0)</x:f>
        <x:v>0</x:v>
      </x:c>
      <x:c r="H41" t="n">
        <x:f>IF(AND($E41&lt;=60,$F41&gt;=31),1,0)</x:f>
        <x:v>0</x:v>
      </x:c>
      <x:c r="I41" t="n">
        <x:f>IF(AND($E41&lt;=90,$F41&gt;=61),1,0)</x:f>
        <x:v>0</x:v>
      </x:c>
      <x:c r="J41" t="n">
        <x:f>IF(AND($E41&lt;=120,$F41&gt;=91),1,0)</x:f>
        <x:v>0</x:v>
      </x:c>
      <x:c r="K41" t="n">
        <x:f>IF(AND($E41&lt;=150,$F41&gt;=121),1,0)</x:f>
        <x:v>0</x:v>
      </x:c>
      <x:c r="L41" t="n">
        <x:f>IF(AND($E41&lt;=180,$F41&gt;=151),1,0)</x:f>
        <x:v>0</x:v>
      </x:c>
      <x:c r="M41" t="n">
        <x:f>IF(AND($E41&lt;=210,$F41&gt;=181),1,0)</x:f>
        <x:v>1</x:v>
      </x:c>
      <x:c r="N41" t="n">
        <x:f>IF(AND($E41&lt;=240,$F41&gt;=211),1,0)</x:f>
        <x:v>1</x:v>
      </x:c>
      <x:c r="O41" t="n">
        <x:f>IF(AND($E41&lt;=270,$F41&gt;=241),1,0)</x:f>
        <x:v>1</x:v>
      </x:c>
      <x:c r="P41" t="n">
        <x:f>IF(AND($E41&lt;=300,$F41&gt;=271),1,0)</x:f>
        <x:v>1</x:v>
      </x:c>
      <x:c r="Q41" t="n">
        <x:f>IF(AND($E41&lt;=330,$F41&gt;=301),1,0)</x:f>
        <x:v>0</x:v>
      </x:c>
      <x:c r="R41" t="n">
        <x:f>IF(AND($E41&lt;=360,$F41&gt;=331),1,0)</x:f>
        <x:v>0</x:v>
      </x:c>
    </x:row>
    <x:row r="42">
      <x:c r="A42" t="str">
        <x:v>ICG-ICP-LD-21</x:v>
      </x:c>
      <x:c r="B42" t="str">
        <x:v>ICG-ICP-LD</x:v>
      </x:c>
      <x:c r="C42" t="str">
        <x:v>Closeout</x:v>
      </x:c>
      <x:c r="D42" t="str">
        <x:v>Punch closure and dossier</x:v>
      </x:c>
      <x:c r="E42" t="n">
        <x:v>263</x:v>
      </x:c>
      <x:c r="F42" t="n">
        <x:v>348</x:v>
      </x:c>
      <x:c r="G42" t="n">
        <x:f>IF(AND($E42&lt;=30,$F42&gt;=1),1,0)</x:f>
        <x:v>0</x:v>
      </x:c>
      <x:c r="H42" t="n">
        <x:f>IF(AND($E42&lt;=60,$F42&gt;=31),1,0)</x:f>
        <x:v>0</x:v>
      </x:c>
      <x:c r="I42" t="n">
        <x:f>IF(AND($E42&lt;=90,$F42&gt;=61),1,0)</x:f>
        <x:v>0</x:v>
      </x:c>
      <x:c r="J42" t="n">
        <x:f>IF(AND($E42&lt;=120,$F42&gt;=91),1,0)</x:f>
        <x:v>0</x:v>
      </x:c>
      <x:c r="K42" t="n">
        <x:f>IF(AND($E42&lt;=150,$F42&gt;=121),1,0)</x:f>
        <x:v>0</x:v>
      </x:c>
      <x:c r="L42" t="n">
        <x:f>IF(AND($E42&lt;=180,$F42&gt;=151),1,0)</x:f>
        <x:v>0</x:v>
      </x:c>
      <x:c r="M42" t="n">
        <x:f>IF(AND($E42&lt;=210,$F42&gt;=181),1,0)</x:f>
        <x:v>0</x:v>
      </x:c>
      <x:c r="N42" t="n">
        <x:f>IF(AND($E42&lt;=240,$F42&gt;=211),1,0)</x:f>
        <x:v>0</x:v>
      </x:c>
      <x:c r="O42" t="n">
        <x:f>IF(AND($E42&lt;=270,$F42&gt;=241),1,0)</x:f>
        <x:v>1</x:v>
      </x:c>
      <x:c r="P42" t="n">
        <x:f>IF(AND($E42&lt;=300,$F42&gt;=271),1,0)</x:f>
        <x:v>1</x:v>
      </x:c>
      <x:c r="Q42" t="n">
        <x:f>IF(AND($E42&lt;=330,$F42&gt;=301),1,0)</x:f>
        <x:v>1</x:v>
      </x:c>
      <x:c r="R42" t="n">
        <x:f>IF(AND($E42&lt;=360,$F42&gt;=331),1,0)</x:f>
        <x:v>1</x:v>
      </x:c>
    </x:row>
    <x:row r="43">
      <x:c r="A43" t="str">
        <x:v>ICG-ICP-LD-22</x:v>
      </x:c>
      <x:c r="B43" t="str">
        <x:v>ICG-ICP-LD</x:v>
      </x:c>
      <x:c r="C43" t="str">
        <x:v>Closeout</x:v>
      </x:c>
      <x:c r="D43" t="str">
        <x:v>Client acceptance and final handover</x:v>
      </x:c>
      <x:c r="E43" t="n">
        <x:v>328</x:v>
      </x:c>
      <x:c r="F43" t="n">
        <x:v>355</x:v>
      </x:c>
      <x:c r="G43" t="n">
        <x:f>IF(AND($E43&lt;=30,$F43&gt;=1),1,0)</x:f>
        <x:v>0</x:v>
      </x:c>
      <x:c r="H43" t="n">
        <x:f>IF(AND($E43&lt;=60,$F43&gt;=31),1,0)</x:f>
        <x:v>0</x:v>
      </x:c>
      <x:c r="I43" t="n">
        <x:f>IF(AND($E43&lt;=90,$F43&gt;=61),1,0)</x:f>
        <x:v>0</x:v>
      </x:c>
      <x:c r="J43" t="n">
        <x:f>IF(AND($E43&lt;=120,$F43&gt;=91),1,0)</x:f>
        <x:v>0</x:v>
      </x:c>
      <x:c r="K43" t="n">
        <x:f>IF(AND($E43&lt;=150,$F43&gt;=121),1,0)</x:f>
        <x:v>0</x:v>
      </x:c>
      <x:c r="L43" t="n">
        <x:f>IF(AND($E43&lt;=180,$F43&gt;=151),1,0)</x:f>
        <x:v>0</x:v>
      </x:c>
      <x:c r="M43" t="n">
        <x:f>IF(AND($E43&lt;=210,$F43&gt;=181),1,0)</x:f>
        <x:v>0</x:v>
      </x:c>
      <x:c r="N43" t="n">
        <x:f>IF(AND($E43&lt;=240,$F43&gt;=211),1,0)</x:f>
        <x:v>0</x:v>
      </x:c>
      <x:c r="O43" t="n">
        <x:f>IF(AND($E43&lt;=270,$F43&gt;=241),1,0)</x:f>
        <x:v>0</x:v>
      </x:c>
      <x:c r="P43" t="n">
        <x:f>IF(AND($E43&lt;=300,$F43&gt;=271),1,0)</x:f>
        <x:v>0</x:v>
      </x:c>
      <x:c r="Q43" t="n">
        <x:f>IF(AND($E43&lt;=330,$F43&gt;=301),1,0)</x:f>
        <x:v>1</x:v>
      </x:c>
      <x:c r="R43" t="n">
        <x:f>IF(AND($E43&lt;=360,$F43&gt;=331),1,0)</x:f>
        <x:v>1</x:v>
      </x:c>
    </x:row>
    <x:row r="44">
      <x:c r="A44" t="str">
        <x:v>BHS-SLQ-01</x:v>
      </x:c>
      <x:c r="B44" t="str">
        <x:v>BHS-SLQ</x:v>
      </x:c>
      <x:c r="C44" t="str">
        <x:v>Engineering</x:v>
      </x:c>
      <x:c r="D44" t="str">
        <x:v>Existing-condition survey</x:v>
      </x:c>
      <x:c r="E44" t="n">
        <x:v>61</x:v>
      </x:c>
      <x:c r="F44" t="n">
        <x:v>88</x:v>
      </x:c>
      <x:c r="G44" t="n">
        <x:f>IF(AND($E44&lt;=30,$F44&gt;=1),1,0)</x:f>
        <x:v>0</x:v>
      </x:c>
      <x:c r="H44" t="n">
        <x:f>IF(AND($E44&lt;=60,$F44&gt;=31),1,0)</x:f>
        <x:v>0</x:v>
      </x:c>
      <x:c r="I44" t="n">
        <x:f>IF(AND($E44&lt;=90,$F44&gt;=61),1,0)</x:f>
        <x:v>1</x:v>
      </x:c>
      <x:c r="J44" t="n">
        <x:f>IF(AND($E44&lt;=120,$F44&gt;=91),1,0)</x:f>
        <x:v>0</x:v>
      </x:c>
      <x:c r="K44" t="n">
        <x:f>IF(AND($E44&lt;=150,$F44&gt;=121),1,0)</x:f>
        <x:v>0</x:v>
      </x:c>
      <x:c r="L44" t="n">
        <x:f>IF(AND($E44&lt;=180,$F44&gt;=151),1,0)</x:f>
        <x:v>0</x:v>
      </x:c>
      <x:c r="M44" t="n">
        <x:f>IF(AND($E44&lt;=210,$F44&gt;=181),1,0)</x:f>
        <x:v>0</x:v>
      </x:c>
      <x:c r="N44" t="n">
        <x:f>IF(AND($E44&lt;=240,$F44&gt;=211),1,0)</x:f>
        <x:v>0</x:v>
      </x:c>
      <x:c r="O44" t="n">
        <x:f>IF(AND($E44&lt;=270,$F44&gt;=241),1,0)</x:f>
        <x:v>0</x:v>
      </x:c>
      <x:c r="P44" t="n">
        <x:f>IF(AND($E44&lt;=300,$F44&gt;=271),1,0)</x:f>
        <x:v>0</x:v>
      </x:c>
      <x:c r="Q44" t="n">
        <x:f>IF(AND($E44&lt;=330,$F44&gt;=301),1,0)</x:f>
        <x:v>0</x:v>
      </x:c>
      <x:c r="R44" t="n">
        <x:f>IF(AND($E44&lt;=360,$F44&gt;=331),1,0)</x:f>
        <x:v>0</x:v>
      </x:c>
    </x:row>
    <x:row r="45">
      <x:c r="A45" t="str">
        <x:v>BHS-SLQ-02</x:v>
      </x:c>
      <x:c r="B45" t="str">
        <x:v>BHS-SLQ</x:v>
      </x:c>
      <x:c r="C45" t="str">
        <x:v>Engineering</x:v>
      </x:c>
      <x:c r="D45" t="str">
        <x:v>Design basis and interface verification</x:v>
      </x:c>
      <x:c r="E45" t="n">
        <x:v>75</x:v>
      </x:c>
      <x:c r="F45" t="n">
        <x:v>98</x:v>
      </x:c>
      <x:c r="G45" t="n">
        <x:f>IF(AND($E45&lt;=30,$F45&gt;=1),1,0)</x:f>
        <x:v>0</x:v>
      </x:c>
      <x:c r="H45" t="n">
        <x:f>IF(AND($E45&lt;=60,$F45&gt;=31),1,0)</x:f>
        <x:v>0</x:v>
      </x:c>
      <x:c r="I45" t="n">
        <x:f>IF(AND($E45&lt;=90,$F45&gt;=61),1,0)</x:f>
        <x:v>1</x:v>
      </x:c>
      <x:c r="J45" t="n">
        <x:f>IF(AND($E45&lt;=120,$F45&gt;=91),1,0)</x:f>
        <x:v>1</x:v>
      </x:c>
      <x:c r="K45" t="n">
        <x:f>IF(AND($E45&lt;=150,$F45&gt;=121),1,0)</x:f>
        <x:v>0</x:v>
      </x:c>
      <x:c r="L45" t="n">
        <x:f>IF(AND($E45&lt;=180,$F45&gt;=151),1,0)</x:f>
        <x:v>0</x:v>
      </x:c>
      <x:c r="M45" t="n">
        <x:f>IF(AND($E45&lt;=210,$F45&gt;=181),1,0)</x:f>
        <x:v>0</x:v>
      </x:c>
      <x:c r="N45" t="n">
        <x:f>IF(AND($E45&lt;=240,$F45&gt;=211),1,0)</x:f>
        <x:v>0</x:v>
      </x:c>
      <x:c r="O45" t="n">
        <x:f>IF(AND($E45&lt;=270,$F45&gt;=241),1,0)</x:f>
        <x:v>0</x:v>
      </x:c>
      <x:c r="P45" t="n">
        <x:f>IF(AND($E45&lt;=300,$F45&gt;=271),1,0)</x:f>
        <x:v>0</x:v>
      </x:c>
      <x:c r="Q45" t="n">
        <x:f>IF(AND($E45&lt;=330,$F45&gt;=301),1,0)</x:f>
        <x:v>0</x:v>
      </x:c>
      <x:c r="R45" t="n">
        <x:f>IF(AND($E45&lt;=360,$F45&gt;=331),1,0)</x:f>
        <x:v>0</x:v>
      </x:c>
    </x:row>
    <x:row r="46">
      <x:c r="A46" t="str">
        <x:v>BHS-SLQ-03</x:v>
      </x:c>
      <x:c r="B46" t="str">
        <x:v>BHS-SLQ</x:v>
      </x:c>
      <x:c r="C46" t="str">
        <x:v>Engineering</x:v>
      </x:c>
      <x:c r="D46" t="str">
        <x:v>Detailed structural and temporary works engineering</x:v>
      </x:c>
      <x:c r="E46" t="n">
        <x:v>88</x:v>
      </x:c>
      <x:c r="F46" t="n">
        <x:v>152</x:v>
      </x:c>
      <x:c r="G46" t="n">
        <x:f>IF(AND($E46&lt;=30,$F46&gt;=1),1,0)</x:f>
        <x:v>0</x:v>
      </x:c>
      <x:c r="H46" t="n">
        <x:f>IF(AND($E46&lt;=60,$F46&gt;=31),1,0)</x:f>
        <x:v>0</x:v>
      </x:c>
      <x:c r="I46" t="n">
        <x:f>IF(AND($E46&lt;=90,$F46&gt;=61),1,0)</x:f>
        <x:v>1</x:v>
      </x:c>
      <x:c r="J46" t="n">
        <x:f>IF(AND($E46&lt;=120,$F46&gt;=91),1,0)</x:f>
        <x:v>1</x:v>
      </x:c>
      <x:c r="K46" t="n">
        <x:f>IF(AND($E46&lt;=150,$F46&gt;=121),1,0)</x:f>
        <x:v>1</x:v>
      </x:c>
      <x:c r="L46" t="n">
        <x:f>IF(AND($E46&lt;=180,$F46&gt;=151),1,0)</x:f>
        <x:v>1</x:v>
      </x:c>
      <x:c r="M46" t="n">
        <x:f>IF(AND($E46&lt;=210,$F46&gt;=181),1,0)</x:f>
        <x:v>0</x:v>
      </x:c>
      <x:c r="N46" t="n">
        <x:f>IF(AND($E46&lt;=240,$F46&gt;=211),1,0)</x:f>
        <x:v>0</x:v>
      </x:c>
      <x:c r="O46" t="n">
        <x:f>IF(AND($E46&lt;=270,$F46&gt;=241),1,0)</x:f>
        <x:v>0</x:v>
      </x:c>
      <x:c r="P46" t="n">
        <x:f>IF(AND($E46&lt;=300,$F46&gt;=271),1,0)</x:f>
        <x:v>0</x:v>
      </x:c>
      <x:c r="Q46" t="n">
        <x:f>IF(AND($E46&lt;=330,$F46&gt;=301),1,0)</x:f>
        <x:v>0</x:v>
      </x:c>
      <x:c r="R46" t="n">
        <x:f>IF(AND($E46&lt;=360,$F46&gt;=331),1,0)</x:f>
        <x:v>0</x:v>
      </x:c>
    </x:row>
    <x:row r="47">
      <x:c r="A47" t="str">
        <x:v>BHS-SLQ-04</x:v>
      </x:c>
      <x:c r="B47" t="str">
        <x:v>BHS-SLQ</x:v>
      </x:c>
      <x:c r="C47" t="str">
        <x:v>Engineering</x:v>
      </x:c>
      <x:c r="D47" t="str">
        <x:v>Fabrication drawing release</x:v>
      </x:c>
      <x:c r="E47" t="n">
        <x:v>108</x:v>
      </x:c>
      <x:c r="F47" t="n">
        <x:v>165</x:v>
      </x:c>
      <x:c r="G47" t="n">
        <x:f>IF(AND($E47&lt;=30,$F47&gt;=1),1,0)</x:f>
        <x:v>0</x:v>
      </x:c>
      <x:c r="H47" t="n">
        <x:f>IF(AND($E47&lt;=60,$F47&gt;=31),1,0)</x:f>
        <x:v>0</x:v>
      </x:c>
      <x:c r="I47" t="n">
        <x:f>IF(AND($E47&lt;=90,$F47&gt;=61),1,0)</x:f>
        <x:v>0</x:v>
      </x:c>
      <x:c r="J47" t="n">
        <x:f>IF(AND($E47&lt;=120,$F47&gt;=91),1,0)</x:f>
        <x:v>1</x:v>
      </x:c>
      <x:c r="K47" t="n">
        <x:f>IF(AND($E47&lt;=150,$F47&gt;=121),1,0)</x:f>
        <x:v>1</x:v>
      </x:c>
      <x:c r="L47" t="n">
        <x:f>IF(AND($E47&lt;=180,$F47&gt;=151),1,0)</x:f>
        <x:v>1</x:v>
      </x:c>
      <x:c r="M47" t="n">
        <x:f>IF(AND($E47&lt;=210,$F47&gt;=181),1,0)</x:f>
        <x:v>0</x:v>
      </x:c>
      <x:c r="N47" t="n">
        <x:f>IF(AND($E47&lt;=240,$F47&gt;=211),1,0)</x:f>
        <x:v>0</x:v>
      </x:c>
      <x:c r="O47" t="n">
        <x:f>IF(AND($E47&lt;=270,$F47&gt;=241),1,0)</x:f>
        <x:v>0</x:v>
      </x:c>
      <x:c r="P47" t="n">
        <x:f>IF(AND($E47&lt;=300,$F47&gt;=271),1,0)</x:f>
        <x:v>0</x:v>
      </x:c>
      <x:c r="Q47" t="n">
        <x:f>IF(AND($E47&lt;=330,$F47&gt;=301),1,0)</x:f>
        <x:v>0</x:v>
      </x:c>
      <x:c r="R47" t="n">
        <x:f>IF(AND($E47&lt;=360,$F47&gt;=331),1,0)</x:f>
        <x:v>0</x:v>
      </x:c>
    </x:row>
    <x:row r="48">
      <x:c r="A48" t="str">
        <x:v>BHS-SLQ-05</x:v>
      </x:c>
      <x:c r="B48" t="str">
        <x:v>BHS-SLQ</x:v>
      </x:c>
      <x:c r="C48" t="str">
        <x:v>Procurement</x:v>
      </x:c>
      <x:c r="D48" t="str">
        <x:v>Material requisitions and vendor approval</x:v>
      </x:c>
      <x:c r="E48" t="n">
        <x:v>88</x:v>
      </x:c>
      <x:c r="F48" t="n">
        <x:v>115</x:v>
      </x:c>
      <x:c r="G48" t="n">
        <x:f>IF(AND($E48&lt;=30,$F48&gt;=1),1,0)</x:f>
        <x:v>0</x:v>
      </x:c>
      <x:c r="H48" t="n">
        <x:f>IF(AND($E48&lt;=60,$F48&gt;=31),1,0)</x:f>
        <x:v>0</x:v>
      </x:c>
      <x:c r="I48" t="n">
        <x:f>IF(AND($E48&lt;=90,$F48&gt;=61),1,0)</x:f>
        <x:v>1</x:v>
      </x:c>
      <x:c r="J48" t="n">
        <x:f>IF(AND($E48&lt;=120,$F48&gt;=91),1,0)</x:f>
        <x:v>1</x:v>
      </x:c>
      <x:c r="K48" t="n">
        <x:f>IF(AND($E48&lt;=150,$F48&gt;=121),1,0)</x:f>
        <x:v>0</x:v>
      </x:c>
      <x:c r="L48" t="n">
        <x:f>IF(AND($E48&lt;=180,$F48&gt;=151),1,0)</x:f>
        <x:v>0</x:v>
      </x:c>
      <x:c r="M48" t="n">
        <x:f>IF(AND($E48&lt;=210,$F48&gt;=181),1,0)</x:f>
        <x:v>0</x:v>
      </x:c>
      <x:c r="N48" t="n">
        <x:f>IF(AND($E48&lt;=240,$F48&gt;=211),1,0)</x:f>
        <x:v>0</x:v>
      </x:c>
      <x:c r="O48" t="n">
        <x:f>IF(AND($E48&lt;=270,$F48&gt;=241),1,0)</x:f>
        <x:v>0</x:v>
      </x:c>
      <x:c r="P48" t="n">
        <x:f>IF(AND($E48&lt;=300,$F48&gt;=271),1,0)</x:f>
        <x:v>0</x:v>
      </x:c>
      <x:c r="Q48" t="n">
        <x:f>IF(AND($E48&lt;=330,$F48&gt;=301),1,0)</x:f>
        <x:v>0</x:v>
      </x:c>
      <x:c r="R48" t="n">
        <x:f>IF(AND($E48&lt;=360,$F48&gt;=331),1,0)</x:f>
        <x:v>0</x:v>
      </x:c>
    </x:row>
    <x:row r="49">
      <x:c r="A49" t="str">
        <x:v>BHS-SLQ-06</x:v>
      </x:c>
      <x:c r="B49" t="str">
        <x:v>BHS-SLQ</x:v>
      </x:c>
      <x:c r="C49" t="str">
        <x:v>Procurement</x:v>
      </x:c>
      <x:c r="D49" t="str">
        <x:v>Steel purchasing and delivery</x:v>
      </x:c>
      <x:c r="E49" t="n">
        <x:v>108</x:v>
      </x:c>
      <x:c r="F49" t="n">
        <x:v>170</x:v>
      </x:c>
      <x:c r="G49" t="n">
        <x:f>IF(AND($E49&lt;=30,$F49&gt;=1),1,0)</x:f>
        <x:v>0</x:v>
      </x:c>
      <x:c r="H49" t="n">
        <x:f>IF(AND($E49&lt;=60,$F49&gt;=31),1,0)</x:f>
        <x:v>0</x:v>
      </x:c>
      <x:c r="I49" t="n">
        <x:f>IF(AND($E49&lt;=90,$F49&gt;=61),1,0)</x:f>
        <x:v>0</x:v>
      </x:c>
      <x:c r="J49" t="n">
        <x:f>IF(AND($E49&lt;=120,$F49&gt;=91),1,0)</x:f>
        <x:v>1</x:v>
      </x:c>
      <x:c r="K49" t="n">
        <x:f>IF(AND($E49&lt;=150,$F49&gt;=121),1,0)</x:f>
        <x:v>1</x:v>
      </x:c>
      <x:c r="L49" t="n">
        <x:f>IF(AND($E49&lt;=180,$F49&gt;=151),1,0)</x:f>
        <x:v>1</x:v>
      </x:c>
      <x:c r="M49" t="n">
        <x:f>IF(AND($E49&lt;=210,$F49&gt;=181),1,0)</x:f>
        <x:v>0</x:v>
      </x:c>
      <x:c r="N49" t="n">
        <x:f>IF(AND($E49&lt;=240,$F49&gt;=211),1,0)</x:f>
        <x:v>0</x:v>
      </x:c>
      <x:c r="O49" t="n">
        <x:f>IF(AND($E49&lt;=270,$F49&gt;=241),1,0)</x:f>
        <x:v>0</x:v>
      </x:c>
      <x:c r="P49" t="n">
        <x:f>IF(AND($E49&lt;=300,$F49&gt;=271),1,0)</x:f>
        <x:v>0</x:v>
      </x:c>
      <x:c r="Q49" t="n">
        <x:f>IF(AND($E49&lt;=330,$F49&gt;=301),1,0)</x:f>
        <x:v>0</x:v>
      </x:c>
      <x:c r="R49" t="n">
        <x:f>IF(AND($E49&lt;=360,$F49&gt;=331),1,0)</x:f>
        <x:v>0</x:v>
      </x:c>
    </x:row>
    <x:row r="50">
      <x:c r="A50" t="str">
        <x:v>BHS-SLQ-07</x:v>
      </x:c>
      <x:c r="B50" t="str">
        <x:v>BHS-SLQ</x:v>
      </x:c>
      <x:c r="C50" t="str">
        <x:v>Fabrication</x:v>
      </x:c>
      <x:c r="D50" t="str">
        <x:v>Cutting and material preparation</x:v>
      </x:c>
      <x:c r="E50" t="n">
        <x:v>135</x:v>
      </x:c>
      <x:c r="F50" t="n">
        <x:v>165</x:v>
      </x:c>
      <x:c r="G50" t="n">
        <x:f>IF(AND($E50&lt;=30,$F50&gt;=1),1,0)</x:f>
        <x:v>0</x:v>
      </x:c>
      <x:c r="H50" t="n">
        <x:f>IF(AND($E50&lt;=60,$F50&gt;=31),1,0)</x:f>
        <x:v>0</x:v>
      </x:c>
      <x:c r="I50" t="n">
        <x:f>IF(AND($E50&lt;=90,$F50&gt;=61),1,0)</x:f>
        <x:v>0</x:v>
      </x:c>
      <x:c r="J50" t="n">
        <x:f>IF(AND($E50&lt;=120,$F50&gt;=91),1,0)</x:f>
        <x:v>0</x:v>
      </x:c>
      <x:c r="K50" t="n">
        <x:f>IF(AND($E50&lt;=150,$F50&gt;=121),1,0)</x:f>
        <x:v>1</x:v>
      </x:c>
      <x:c r="L50" t="n">
        <x:f>IF(AND($E50&lt;=180,$F50&gt;=151),1,0)</x:f>
        <x:v>1</x:v>
      </x:c>
      <x:c r="M50" t="n">
        <x:f>IF(AND($E50&lt;=210,$F50&gt;=181),1,0)</x:f>
        <x:v>0</x:v>
      </x:c>
      <x:c r="N50" t="n">
        <x:f>IF(AND($E50&lt;=240,$F50&gt;=211),1,0)</x:f>
        <x:v>0</x:v>
      </x:c>
      <x:c r="O50" t="n">
        <x:f>IF(AND($E50&lt;=270,$F50&gt;=241),1,0)</x:f>
        <x:v>0</x:v>
      </x:c>
      <x:c r="P50" t="n">
        <x:f>IF(AND($E50&lt;=300,$F50&gt;=271),1,0)</x:f>
        <x:v>0</x:v>
      </x:c>
      <x:c r="Q50" t="n">
        <x:f>IF(AND($E50&lt;=330,$F50&gt;=301),1,0)</x:f>
        <x:v>0</x:v>
      </x:c>
      <x:c r="R50" t="n">
        <x:f>IF(AND($E50&lt;=360,$F50&gt;=331),1,0)</x:f>
        <x:v>0</x:v>
      </x:c>
    </x:row>
    <x:row r="51">
      <x:c r="A51" t="str">
        <x:v>BHS-SLQ-08</x:v>
      </x:c>
      <x:c r="B51" t="str">
        <x:v>BHS-SLQ</x:v>
      </x:c>
      <x:c r="C51" t="str">
        <x:v>Fabrication</x:v>
      </x:c>
      <x:c r="D51" t="str">
        <x:v>Assembly and fit-up</x:v>
      </x:c>
      <x:c r="E51" t="n">
        <x:v>150</x:v>
      </x:c>
      <x:c r="F51" t="n">
        <x:v>195</x:v>
      </x:c>
      <x:c r="G51" t="n">
        <x:f>IF(AND($E51&lt;=30,$F51&gt;=1),1,0)</x:f>
        <x:v>0</x:v>
      </x:c>
      <x:c r="H51" t="n">
        <x:f>IF(AND($E51&lt;=60,$F51&gt;=31),1,0)</x:f>
        <x:v>0</x:v>
      </x:c>
      <x:c r="I51" t="n">
        <x:f>IF(AND($E51&lt;=90,$F51&gt;=61),1,0)</x:f>
        <x:v>0</x:v>
      </x:c>
      <x:c r="J51" t="n">
        <x:f>IF(AND($E51&lt;=120,$F51&gt;=91),1,0)</x:f>
        <x:v>0</x:v>
      </x:c>
      <x:c r="K51" t="n">
        <x:f>IF(AND($E51&lt;=150,$F51&gt;=121),1,0)</x:f>
        <x:v>1</x:v>
      </x:c>
      <x:c r="L51" t="n">
        <x:f>IF(AND($E51&lt;=180,$F51&gt;=151),1,0)</x:f>
        <x:v>1</x:v>
      </x:c>
      <x:c r="M51" t="n">
        <x:f>IF(AND($E51&lt;=210,$F51&gt;=181),1,0)</x:f>
        <x:v>1</x:v>
      </x:c>
      <x:c r="N51" t="n">
        <x:f>IF(AND($E51&lt;=240,$F51&gt;=211),1,0)</x:f>
        <x:v>0</x:v>
      </x:c>
      <x:c r="O51" t="n">
        <x:f>IF(AND($E51&lt;=270,$F51&gt;=241),1,0)</x:f>
        <x:v>0</x:v>
      </x:c>
      <x:c r="P51" t="n">
        <x:f>IF(AND($E51&lt;=300,$F51&gt;=271),1,0)</x:f>
        <x:v>0</x:v>
      </x:c>
      <x:c r="Q51" t="n">
        <x:f>IF(AND($E51&lt;=330,$F51&gt;=301),1,0)</x:f>
        <x:v>0</x:v>
      </x:c>
      <x:c r="R51" t="n">
        <x:f>IF(AND($E51&lt;=360,$F51&gt;=331),1,0)</x:f>
        <x:v>0</x:v>
      </x:c>
    </x:row>
    <x:row r="52">
      <x:c r="A52" t="str">
        <x:v>BHS-SLQ-09</x:v>
      </x:c>
      <x:c r="B52" t="str">
        <x:v>BHS-SLQ</x:v>
      </x:c>
      <x:c r="C52" t="str">
        <x:v>Fabrication</x:v>
      </x:c>
      <x:c r="D52" t="str">
        <x:v>Shop welding</x:v>
      </x:c>
      <x:c r="E52" t="n">
        <x:v>163</x:v>
      </x:c>
      <x:c r="F52" t="n">
        <x:v>208</x:v>
      </x:c>
      <x:c r="G52" t="n">
        <x:f>IF(AND($E52&lt;=30,$F52&gt;=1),1,0)</x:f>
        <x:v>0</x:v>
      </x:c>
      <x:c r="H52" t="n">
        <x:f>IF(AND($E52&lt;=60,$F52&gt;=31),1,0)</x:f>
        <x:v>0</x:v>
      </x:c>
      <x:c r="I52" t="n">
        <x:f>IF(AND($E52&lt;=90,$F52&gt;=61),1,0)</x:f>
        <x:v>0</x:v>
      </x:c>
      <x:c r="J52" t="n">
        <x:f>IF(AND($E52&lt;=120,$F52&gt;=91),1,0)</x:f>
        <x:v>0</x:v>
      </x:c>
      <x:c r="K52" t="n">
        <x:f>IF(AND($E52&lt;=150,$F52&gt;=121),1,0)</x:f>
        <x:v>0</x:v>
      </x:c>
      <x:c r="L52" t="n">
        <x:f>IF(AND($E52&lt;=180,$F52&gt;=151),1,0)</x:f>
        <x:v>1</x:v>
      </x:c>
      <x:c r="M52" t="n">
        <x:f>IF(AND($E52&lt;=210,$F52&gt;=181),1,0)</x:f>
        <x:v>1</x:v>
      </x:c>
      <x:c r="N52" t="n">
        <x:f>IF(AND($E52&lt;=240,$F52&gt;=211),1,0)</x:f>
        <x:v>0</x:v>
      </x:c>
      <x:c r="O52" t="n">
        <x:f>IF(AND($E52&lt;=270,$F52&gt;=241),1,0)</x:f>
        <x:v>0</x:v>
      </x:c>
      <x:c r="P52" t="n">
        <x:f>IF(AND($E52&lt;=300,$F52&gt;=271),1,0)</x:f>
        <x:v>0</x:v>
      </x:c>
      <x:c r="Q52" t="n">
        <x:f>IF(AND($E52&lt;=330,$F52&gt;=301),1,0)</x:f>
        <x:v>0</x:v>
      </x:c>
      <x:c r="R52" t="n">
        <x:f>IF(AND($E52&lt;=360,$F52&gt;=331),1,0)</x:f>
        <x:v>0</x:v>
      </x:c>
    </x:row>
    <x:row r="53">
      <x:c r="A53" t="str">
        <x:v>BHS-SLQ-10</x:v>
      </x:c>
      <x:c r="B53" t="str">
        <x:v>BHS-SLQ</x:v>
      </x:c>
      <x:c r="C53" t="str">
        <x:v>Quality</x:v>
      </x:c>
      <x:c r="D53" t="str">
        <x:v>NDT and dimensional acceptance</x:v>
      </x:c>
      <x:c r="E53" t="n">
        <x:v>180</x:v>
      </x:c>
      <x:c r="F53" t="n">
        <x:v>217</x:v>
      </x:c>
      <x:c r="G53" t="n">
        <x:f>IF(AND($E53&lt;=30,$F53&gt;=1),1,0)</x:f>
        <x:v>0</x:v>
      </x:c>
      <x:c r="H53" t="n">
        <x:f>IF(AND($E53&lt;=60,$F53&gt;=31),1,0)</x:f>
        <x:v>0</x:v>
      </x:c>
      <x:c r="I53" t="n">
        <x:f>IF(AND($E53&lt;=90,$F53&gt;=61),1,0)</x:f>
        <x:v>0</x:v>
      </x:c>
      <x:c r="J53" t="n">
        <x:f>IF(AND($E53&lt;=120,$F53&gt;=91),1,0)</x:f>
        <x:v>0</x:v>
      </x:c>
      <x:c r="K53" t="n">
        <x:f>IF(AND($E53&lt;=150,$F53&gt;=121),1,0)</x:f>
        <x:v>0</x:v>
      </x:c>
      <x:c r="L53" t="n">
        <x:f>IF(AND($E53&lt;=180,$F53&gt;=151),1,0)</x:f>
        <x:v>1</x:v>
      </x:c>
      <x:c r="M53" t="n">
        <x:f>IF(AND($E53&lt;=210,$F53&gt;=181),1,0)</x:f>
        <x:v>1</x:v>
      </x:c>
      <x:c r="N53" t="n">
        <x:f>IF(AND($E53&lt;=240,$F53&gt;=211),1,0)</x:f>
        <x:v>1</x:v>
      </x:c>
      <x:c r="O53" t="n">
        <x:f>IF(AND($E53&lt;=270,$F53&gt;=241),1,0)</x:f>
        <x:v>0</x:v>
      </x:c>
      <x:c r="P53" t="n">
        <x:f>IF(AND($E53&lt;=300,$F53&gt;=271),1,0)</x:f>
        <x:v>0</x:v>
      </x:c>
      <x:c r="Q53" t="n">
        <x:f>IF(AND($E53&lt;=330,$F53&gt;=301),1,0)</x:f>
        <x:v>0</x:v>
      </x:c>
      <x:c r="R53" t="n">
        <x:f>IF(AND($E53&lt;=360,$F53&gt;=331),1,0)</x:f>
        <x:v>0</x:v>
      </x:c>
    </x:row>
    <x:row r="54">
      <x:c r="A54" t="str">
        <x:v>BHS-SLQ-11</x:v>
      </x:c>
      <x:c r="B54" t="str">
        <x:v>BHS-SLQ</x:v>
      </x:c>
      <x:c r="C54" t="str">
        <x:v>Quality</x:v>
      </x:c>
      <x:c r="D54" t="str">
        <x:v>Blast, coat and preserve</x:v>
      </x:c>
      <x:c r="E54" t="n">
        <x:v>195</x:v>
      </x:c>
      <x:c r="F54" t="n">
        <x:v>225</x:v>
      </x:c>
      <x:c r="G54" t="n">
        <x:f>IF(AND($E54&lt;=30,$F54&gt;=1),1,0)</x:f>
        <x:v>0</x:v>
      </x:c>
      <x:c r="H54" t="n">
        <x:f>IF(AND($E54&lt;=60,$F54&gt;=31),1,0)</x:f>
        <x:v>0</x:v>
      </x:c>
      <x:c r="I54" t="n">
        <x:f>IF(AND($E54&lt;=90,$F54&gt;=61),1,0)</x:f>
        <x:v>0</x:v>
      </x:c>
      <x:c r="J54" t="n">
        <x:f>IF(AND($E54&lt;=120,$F54&gt;=91),1,0)</x:f>
        <x:v>0</x:v>
      </x:c>
      <x:c r="K54" t="n">
        <x:f>IF(AND($E54&lt;=150,$F54&gt;=121),1,0)</x:f>
        <x:v>0</x:v>
      </x:c>
      <x:c r="L54" t="n">
        <x:f>IF(AND($E54&lt;=180,$F54&gt;=151),1,0)</x:f>
        <x:v>0</x:v>
      </x:c>
      <x:c r="M54" t="n">
        <x:f>IF(AND($E54&lt;=210,$F54&gt;=181),1,0)</x:f>
        <x:v>1</x:v>
      </x:c>
      <x:c r="N54" t="n">
        <x:f>IF(AND($E54&lt;=240,$F54&gt;=211),1,0)</x:f>
        <x:v>1</x:v>
      </x:c>
      <x:c r="O54" t="n">
        <x:f>IF(AND($E54&lt;=270,$F54&gt;=241),1,0)</x:f>
        <x:v>0</x:v>
      </x:c>
      <x:c r="P54" t="n">
        <x:f>IF(AND($E54&lt;=300,$F54&gt;=271),1,0)</x:f>
        <x:v>0</x:v>
      </x:c>
      <x:c r="Q54" t="n">
        <x:f>IF(AND($E54&lt;=330,$F54&gt;=301),1,0)</x:f>
        <x:v>0</x:v>
      </x:c>
      <x:c r="R54" t="n">
        <x:f>IF(AND($E54&lt;=360,$F54&gt;=331),1,0)</x:f>
        <x:v>0</x:v>
      </x:c>
    </x:row>
    <x:row r="55">
      <x:c r="A55" t="str">
        <x:v>BHS-SLQ-12</x:v>
      </x:c>
      <x:c r="B55" t="str">
        <x:v>BHS-SLQ</x:v>
      </x:c>
      <x:c r="C55" t="str">
        <x:v>Logistics</x:v>
      </x:c>
      <x:c r="D55" t="str">
        <x:v>Module weight COG and loadout engineering</x:v>
      </x:c>
      <x:c r="E55" t="n">
        <x:v>150</x:v>
      </x:c>
      <x:c r="F55" t="n">
        <x:v>222</x:v>
      </x:c>
      <x:c r="G55" t="n">
        <x:f>IF(AND($E55&lt;=30,$F55&gt;=1),1,0)</x:f>
        <x:v>0</x:v>
      </x:c>
      <x:c r="H55" t="n">
        <x:f>IF(AND($E55&lt;=60,$F55&gt;=31),1,0)</x:f>
        <x:v>0</x:v>
      </x:c>
      <x:c r="I55" t="n">
        <x:f>IF(AND($E55&lt;=90,$F55&gt;=61),1,0)</x:f>
        <x:v>0</x:v>
      </x:c>
      <x:c r="J55" t="n">
        <x:f>IF(AND($E55&lt;=120,$F55&gt;=91),1,0)</x:f>
        <x:v>0</x:v>
      </x:c>
      <x:c r="K55" t="n">
        <x:f>IF(AND($E55&lt;=150,$F55&gt;=121),1,0)</x:f>
        <x:v>1</x:v>
      </x:c>
      <x:c r="L55" t="n">
        <x:f>IF(AND($E55&lt;=180,$F55&gt;=151),1,0)</x:f>
        <x:v>1</x:v>
      </x:c>
      <x:c r="M55" t="n">
        <x:f>IF(AND($E55&lt;=210,$F55&gt;=181),1,0)</x:f>
        <x:v>1</x:v>
      </x:c>
      <x:c r="N55" t="n">
        <x:f>IF(AND($E55&lt;=240,$F55&gt;=211),1,0)</x:f>
        <x:v>1</x:v>
      </x:c>
      <x:c r="O55" t="n">
        <x:f>IF(AND($E55&lt;=270,$F55&gt;=241),1,0)</x:f>
        <x:v>0</x:v>
      </x:c>
      <x:c r="P55" t="n">
        <x:f>IF(AND($E55&lt;=300,$F55&gt;=271),1,0)</x:f>
        <x:v>0</x:v>
      </x:c>
      <x:c r="Q55" t="n">
        <x:f>IF(AND($E55&lt;=330,$F55&gt;=301),1,0)</x:f>
        <x:v>0</x:v>
      </x:c>
      <x:c r="R55" t="n">
        <x:f>IF(AND($E55&lt;=360,$F55&gt;=331),1,0)</x:f>
        <x:v>0</x:v>
      </x:c>
    </x:row>
    <x:row r="56">
      <x:c r="A56" t="str">
        <x:v>BHS-SLQ-13</x:v>
      </x:c>
      <x:c r="B56" t="str">
        <x:v>BHS-SLQ</x:v>
      </x:c>
      <x:c r="C56" t="str">
        <x:v>Logistics</x:v>
      </x:c>
      <x:c r="D56" t="str">
        <x:v>Cargo manifest and shore base transfer</x:v>
      </x:c>
      <x:c r="E56" t="n">
        <x:v>195</x:v>
      </x:c>
      <x:c r="F56" t="n">
        <x:v>235</x:v>
      </x:c>
      <x:c r="G56" t="n">
        <x:f>IF(AND($E56&lt;=30,$F56&gt;=1),1,0)</x:f>
        <x:v>0</x:v>
      </x:c>
      <x:c r="H56" t="n">
        <x:f>IF(AND($E56&lt;=60,$F56&gt;=31),1,0)</x:f>
        <x:v>0</x:v>
      </x:c>
      <x:c r="I56" t="n">
        <x:f>IF(AND($E56&lt;=90,$F56&gt;=61),1,0)</x:f>
        <x:v>0</x:v>
      </x:c>
      <x:c r="J56" t="n">
        <x:f>IF(AND($E56&lt;=120,$F56&gt;=91),1,0)</x:f>
        <x:v>0</x:v>
      </x:c>
      <x:c r="K56" t="n">
        <x:f>IF(AND($E56&lt;=150,$F56&gt;=121),1,0)</x:f>
        <x:v>0</x:v>
      </x:c>
      <x:c r="L56" t="n">
        <x:f>IF(AND($E56&lt;=180,$F56&gt;=151),1,0)</x:f>
        <x:v>0</x:v>
      </x:c>
      <x:c r="M56" t="n">
        <x:f>IF(AND($E56&lt;=210,$F56&gt;=181),1,0)</x:f>
        <x:v>1</x:v>
      </x:c>
      <x:c r="N56" t="n">
        <x:f>IF(AND($E56&lt;=240,$F56&gt;=211),1,0)</x:f>
        <x:v>1</x:v>
      </x:c>
      <x:c r="O56" t="n">
        <x:f>IF(AND($E56&lt;=270,$F56&gt;=241),1,0)</x:f>
        <x:v>0</x:v>
      </x:c>
      <x:c r="P56" t="n">
        <x:f>IF(AND($E56&lt;=300,$F56&gt;=271),1,0)</x:f>
        <x:v>0</x:v>
      </x:c>
      <x:c r="Q56" t="n">
        <x:f>IF(AND($E56&lt;=330,$F56&gt;=301),1,0)</x:f>
        <x:v>0</x:v>
      </x:c>
      <x:c r="R56" t="n">
        <x:f>IF(AND($E56&lt;=360,$F56&gt;=331),1,0)</x:f>
        <x:v>0</x:v>
      </x:c>
    </x:row>
    <x:row r="57">
      <x:c r="A57" t="str">
        <x:v>BHS-SLQ-14</x:v>
      </x:c>
      <x:c r="B57" t="str">
        <x:v>BHS-SLQ</x:v>
      </x:c>
      <x:c r="C57" t="str">
        <x:v>Marine</x:v>
      </x:c>
      <x:c r="D57" t="str">
        <x:v>Vessel technical selection and assurance</x:v>
      </x:c>
      <x:c r="E57" t="n">
        <x:v>105</x:v>
      </x:c>
      <x:c r="F57" t="n">
        <x:v>195</x:v>
      </x:c>
      <x:c r="G57" t="n">
        <x:f>IF(AND($E57&lt;=30,$F57&gt;=1),1,0)</x:f>
        <x:v>0</x:v>
      </x:c>
      <x:c r="H57" t="n">
        <x:f>IF(AND($E57&lt;=60,$F57&gt;=31),1,0)</x:f>
        <x:v>0</x:v>
      </x:c>
      <x:c r="I57" t="n">
        <x:f>IF(AND($E57&lt;=90,$F57&gt;=61),1,0)</x:f>
        <x:v>0</x:v>
      </x:c>
      <x:c r="J57" t="n">
        <x:f>IF(AND($E57&lt;=120,$F57&gt;=91),1,0)</x:f>
        <x:v>1</x:v>
      </x:c>
      <x:c r="K57" t="n">
        <x:f>IF(AND($E57&lt;=150,$F57&gt;=121),1,0)</x:f>
        <x:v>1</x:v>
      </x:c>
      <x:c r="L57" t="n">
        <x:f>IF(AND($E57&lt;=180,$F57&gt;=151),1,0)</x:f>
        <x:v>1</x:v>
      </x:c>
      <x:c r="M57" t="n">
        <x:f>IF(AND($E57&lt;=210,$F57&gt;=181),1,0)</x:f>
        <x:v>1</x:v>
      </x:c>
      <x:c r="N57" t="n">
        <x:f>IF(AND($E57&lt;=240,$F57&gt;=211),1,0)</x:f>
        <x:v>0</x:v>
      </x:c>
      <x:c r="O57" t="n">
        <x:f>IF(AND($E57&lt;=270,$F57&gt;=241),1,0)</x:f>
        <x:v>0</x:v>
      </x:c>
      <x:c r="P57" t="n">
        <x:f>IF(AND($E57&lt;=300,$F57&gt;=271),1,0)</x:f>
        <x:v>0</x:v>
      </x:c>
      <x:c r="Q57" t="n">
        <x:f>IF(AND($E57&lt;=330,$F57&gt;=301),1,0)</x:f>
        <x:v>0</x:v>
      </x:c>
      <x:c r="R57" t="n">
        <x:f>IF(AND($E57&lt;=360,$F57&gt;=331),1,0)</x:f>
        <x:v>0</x:v>
      </x:c>
    </x:row>
    <x:row r="58">
      <x:c r="A58" t="str">
        <x:v>BHS-SLQ-15</x:v>
      </x:c>
      <x:c r="B58" t="str">
        <x:v>BHS-SLQ</x:v>
      </x:c>
      <x:c r="C58" t="str">
        <x:v>Marine</x:v>
      </x:c>
      <x:c r="D58" t="str">
        <x:v>Marine mobilisation and readiness</x:v>
      </x:c>
      <x:c r="E58" t="n">
        <x:v>190</x:v>
      </x:c>
      <x:c r="F58" t="n">
        <x:v>230</x:v>
      </x:c>
      <x:c r="G58" t="n">
        <x:f>IF(AND($E58&lt;=30,$F58&gt;=1),1,0)</x:f>
        <x:v>0</x:v>
      </x:c>
      <x:c r="H58" t="n">
        <x:f>IF(AND($E58&lt;=60,$F58&gt;=31),1,0)</x:f>
        <x:v>0</x:v>
      </x:c>
      <x:c r="I58" t="n">
        <x:f>IF(AND($E58&lt;=90,$F58&gt;=61),1,0)</x:f>
        <x:v>0</x:v>
      </x:c>
      <x:c r="J58" t="n">
        <x:f>IF(AND($E58&lt;=120,$F58&gt;=91),1,0)</x:f>
        <x:v>0</x:v>
      </x:c>
      <x:c r="K58" t="n">
        <x:f>IF(AND($E58&lt;=150,$F58&gt;=121),1,0)</x:f>
        <x:v>0</x:v>
      </x:c>
      <x:c r="L58" t="n">
        <x:f>IF(AND($E58&lt;=180,$F58&gt;=151),1,0)</x:f>
        <x:v>0</x:v>
      </x:c>
      <x:c r="M58" t="n">
        <x:f>IF(AND($E58&lt;=210,$F58&gt;=181),1,0)</x:f>
        <x:v>1</x:v>
      </x:c>
      <x:c r="N58" t="n">
        <x:f>IF(AND($E58&lt;=240,$F58&gt;=211),1,0)</x:f>
        <x:v>1</x:v>
      </x:c>
      <x:c r="O58" t="n">
        <x:f>IF(AND($E58&lt;=270,$F58&gt;=241),1,0)</x:f>
        <x:v>0</x:v>
      </x:c>
      <x:c r="P58" t="n">
        <x:f>IF(AND($E58&lt;=300,$F58&gt;=271),1,0)</x:f>
        <x:v>0</x:v>
      </x:c>
      <x:c r="Q58" t="n">
        <x:f>IF(AND($E58&lt;=330,$F58&gt;=301),1,0)</x:f>
        <x:v>0</x:v>
      </x:c>
      <x:c r="R58" t="n">
        <x:f>IF(AND($E58&lt;=360,$F58&gt;=331),1,0)</x:f>
        <x:v>0</x:v>
      </x:c>
    </x:row>
    <x:row r="59">
      <x:c r="A59" t="str">
        <x:v>BHS-SLQ-16</x:v>
      </x:c>
      <x:c r="B59" t="str">
        <x:v>BHS-SLQ</x:v>
      </x:c>
      <x:c r="C59" t="str">
        <x:v>Offshore</x:v>
      </x:c>
      <x:c r="D59" t="str">
        <x:v>Access and permit readiness</x:v>
      </x:c>
      <x:c r="E59" t="n">
        <x:v>135</x:v>
      </x:c>
      <x:c r="F59" t="n">
        <x:v>215</x:v>
      </x:c>
      <x:c r="G59" t="n">
        <x:f>IF(AND($E59&lt;=30,$F59&gt;=1),1,0)</x:f>
        <x:v>0</x:v>
      </x:c>
      <x:c r="H59" t="n">
        <x:f>IF(AND($E59&lt;=60,$F59&gt;=31),1,0)</x:f>
        <x:v>0</x:v>
      </x:c>
      <x:c r="I59" t="n">
        <x:f>IF(AND($E59&lt;=90,$F59&gt;=61),1,0)</x:f>
        <x:v>0</x:v>
      </x:c>
      <x:c r="J59" t="n">
        <x:f>IF(AND($E59&lt;=120,$F59&gt;=91),1,0)</x:f>
        <x:v>0</x:v>
      </x:c>
      <x:c r="K59" t="n">
        <x:f>IF(AND($E59&lt;=150,$F59&gt;=121),1,0)</x:f>
        <x:v>1</x:v>
      </x:c>
      <x:c r="L59" t="n">
        <x:f>IF(AND($E59&lt;=180,$F59&gt;=151),1,0)</x:f>
        <x:v>1</x:v>
      </x:c>
      <x:c r="M59" t="n">
        <x:f>IF(AND($E59&lt;=210,$F59&gt;=181),1,0)</x:f>
        <x:v>1</x:v>
      </x:c>
      <x:c r="N59" t="n">
        <x:f>IF(AND($E59&lt;=240,$F59&gt;=211),1,0)</x:f>
        <x:v>1</x:v>
      </x:c>
      <x:c r="O59" t="n">
        <x:f>IF(AND($E59&lt;=270,$F59&gt;=241),1,0)</x:f>
        <x:v>0</x:v>
      </x:c>
      <x:c r="P59" t="n">
        <x:f>IF(AND($E59&lt;=300,$F59&gt;=271),1,0)</x:f>
        <x:v>0</x:v>
      </x:c>
      <x:c r="Q59" t="n">
        <x:f>IF(AND($E59&lt;=330,$F59&gt;=301),1,0)</x:f>
        <x:v>0</x:v>
      </x:c>
      <x:c r="R59" t="n">
        <x:f>IF(AND($E59&lt;=360,$F59&gt;=331),1,0)</x:f>
        <x:v>0</x:v>
      </x:c>
    </x:row>
    <x:row r="60">
      <x:c r="A60" t="str">
        <x:v>BHS-SLQ-17</x:v>
      </x:c>
      <x:c r="B60" t="str">
        <x:v>BHS-SLQ</x:v>
      </x:c>
      <x:c r="C60" t="str">
        <x:v>Offshore</x:v>
      </x:c>
      <x:c r="D60" t="str">
        <x:v>Temporary access and works</x:v>
      </x:c>
      <x:c r="E60" t="n">
        <x:v>160</x:v>
      </x:c>
      <x:c r="F60" t="n">
        <x:v>250</x:v>
      </x:c>
      <x:c r="G60" t="n">
        <x:f>IF(AND($E60&lt;=30,$F60&gt;=1),1,0)</x:f>
        <x:v>0</x:v>
      </x:c>
      <x:c r="H60" t="n">
        <x:f>IF(AND($E60&lt;=60,$F60&gt;=31),1,0)</x:f>
        <x:v>0</x:v>
      </x:c>
      <x:c r="I60" t="n">
        <x:f>IF(AND($E60&lt;=90,$F60&gt;=61),1,0)</x:f>
        <x:v>0</x:v>
      </x:c>
      <x:c r="J60" t="n">
        <x:f>IF(AND($E60&lt;=120,$F60&gt;=91),1,0)</x:f>
        <x:v>0</x:v>
      </x:c>
      <x:c r="K60" t="n">
        <x:f>IF(AND($E60&lt;=150,$F60&gt;=121),1,0)</x:f>
        <x:v>0</x:v>
      </x:c>
      <x:c r="L60" t="n">
        <x:f>IF(AND($E60&lt;=180,$F60&gt;=151),1,0)</x:f>
        <x:v>1</x:v>
      </x:c>
      <x:c r="M60" t="n">
        <x:f>IF(AND($E60&lt;=210,$F60&gt;=181),1,0)</x:f>
        <x:v>1</x:v>
      </x:c>
      <x:c r="N60" t="n">
        <x:f>IF(AND($E60&lt;=240,$F60&gt;=211),1,0)</x:f>
        <x:v>1</x:v>
      </x:c>
      <x:c r="O60" t="n">
        <x:f>IF(AND($E60&lt;=270,$F60&gt;=241),1,0)</x:f>
        <x:v>1</x:v>
      </x:c>
      <x:c r="P60" t="n">
        <x:f>IF(AND($E60&lt;=300,$F60&gt;=271),1,0)</x:f>
        <x:v>0</x:v>
      </x:c>
      <x:c r="Q60" t="n">
        <x:f>IF(AND($E60&lt;=330,$F60&gt;=301),1,0)</x:f>
        <x:v>0</x:v>
      </x:c>
      <x:c r="R60" t="n">
        <x:f>IF(AND($E60&lt;=360,$F60&gt;=331),1,0)</x:f>
        <x:v>0</x:v>
      </x:c>
    </x:row>
    <x:row r="61">
      <x:c r="A61" t="str">
        <x:v>BHS-SLQ-18</x:v>
      </x:c>
      <x:c r="B61" t="str">
        <x:v>BHS-SLQ</x:v>
      </x:c>
      <x:c r="C61" t="str">
        <x:v>Offshore</x:v>
      </x:c>
      <x:c r="D61" t="str">
        <x:v>Structural fit-up or landing</x:v>
      </x:c>
      <x:c r="E61" t="n">
        <x:v>185</x:v>
      </x:c>
      <x:c r="F61" t="n">
        <x:v>275</x:v>
      </x:c>
      <x:c r="G61" t="n">
        <x:f>IF(AND($E61&lt;=30,$F61&gt;=1),1,0)</x:f>
        <x:v>0</x:v>
      </x:c>
      <x:c r="H61" t="n">
        <x:f>IF(AND($E61&lt;=60,$F61&gt;=31),1,0)</x:f>
        <x:v>0</x:v>
      </x:c>
      <x:c r="I61" t="n">
        <x:f>IF(AND($E61&lt;=90,$F61&gt;=61),1,0)</x:f>
        <x:v>0</x:v>
      </x:c>
      <x:c r="J61" t="n">
        <x:f>IF(AND($E61&lt;=120,$F61&gt;=91),1,0)</x:f>
        <x:v>0</x:v>
      </x:c>
      <x:c r="K61" t="n">
        <x:f>IF(AND($E61&lt;=150,$F61&gt;=121),1,0)</x:f>
        <x:v>0</x:v>
      </x:c>
      <x:c r="L61" t="n">
        <x:f>IF(AND($E61&lt;=180,$F61&gt;=151),1,0)</x:f>
        <x:v>0</x:v>
      </x:c>
      <x:c r="M61" t="n">
        <x:f>IF(AND($E61&lt;=210,$F61&gt;=181),1,0)</x:f>
        <x:v>1</x:v>
      </x:c>
      <x:c r="N61" t="n">
        <x:f>IF(AND($E61&lt;=240,$F61&gt;=211),1,0)</x:f>
        <x:v>1</x:v>
      </x:c>
      <x:c r="O61" t="n">
        <x:f>IF(AND($E61&lt;=270,$F61&gt;=241),1,0)</x:f>
        <x:v>1</x:v>
      </x:c>
      <x:c r="P61" t="n">
        <x:f>IF(AND($E61&lt;=300,$F61&gt;=271),1,0)</x:f>
        <x:v>1</x:v>
      </x:c>
      <x:c r="Q61" t="n">
        <x:f>IF(AND($E61&lt;=330,$F61&gt;=301),1,0)</x:f>
        <x:v>0</x:v>
      </x:c>
      <x:c r="R61" t="n">
        <x:f>IF(AND($E61&lt;=360,$F61&gt;=331),1,0)</x:f>
        <x:v>0</x:v>
      </x:c>
    </x:row>
    <x:row r="62">
      <x:c r="A62" t="str">
        <x:v>BHS-SLQ-19</x:v>
      </x:c>
      <x:c r="B62" t="str">
        <x:v>BHS-SLQ</x:v>
      </x:c>
      <x:c r="C62" t="str">
        <x:v>Offshore</x:v>
      </x:c>
      <x:c r="D62" t="str">
        <x:v>Connection welding and bolting</x:v>
      </x:c>
      <x:c r="E62" t="n">
        <x:v>200</x:v>
      </x:c>
      <x:c r="F62" t="n">
        <x:v>290</x:v>
      </x:c>
      <x:c r="G62" t="n">
        <x:f>IF(AND($E62&lt;=30,$F62&gt;=1),1,0)</x:f>
        <x:v>0</x:v>
      </x:c>
      <x:c r="H62" t="n">
        <x:f>IF(AND($E62&lt;=60,$F62&gt;=31),1,0)</x:f>
        <x:v>0</x:v>
      </x:c>
      <x:c r="I62" t="n">
        <x:f>IF(AND($E62&lt;=90,$F62&gt;=61),1,0)</x:f>
        <x:v>0</x:v>
      </x:c>
      <x:c r="J62" t="n">
        <x:f>IF(AND($E62&lt;=120,$F62&gt;=91),1,0)</x:f>
        <x:v>0</x:v>
      </x:c>
      <x:c r="K62" t="n">
        <x:f>IF(AND($E62&lt;=150,$F62&gt;=121),1,0)</x:f>
        <x:v>0</x:v>
      </x:c>
      <x:c r="L62" t="n">
        <x:f>IF(AND($E62&lt;=180,$F62&gt;=151),1,0)</x:f>
        <x:v>0</x:v>
      </x:c>
      <x:c r="M62" t="n">
        <x:f>IF(AND($E62&lt;=210,$F62&gt;=181),1,0)</x:f>
        <x:v>1</x:v>
      </x:c>
      <x:c r="N62" t="n">
        <x:f>IF(AND($E62&lt;=240,$F62&gt;=211),1,0)</x:f>
        <x:v>1</x:v>
      </x:c>
      <x:c r="O62" t="n">
        <x:f>IF(AND($E62&lt;=270,$F62&gt;=241),1,0)</x:f>
        <x:v>1</x:v>
      </x:c>
      <x:c r="P62" t="n">
        <x:f>IF(AND($E62&lt;=300,$F62&gt;=271),1,0)</x:f>
        <x:v>1</x:v>
      </x:c>
      <x:c r="Q62" t="n">
        <x:f>IF(AND($E62&lt;=330,$F62&gt;=301),1,0)</x:f>
        <x:v>0</x:v>
      </x:c>
      <x:c r="R62" t="n">
        <x:f>IF(AND($E62&lt;=360,$F62&gt;=331),1,0)</x:f>
        <x:v>0</x:v>
      </x:c>
    </x:row>
    <x:row r="63">
      <x:c r="A63" t="str">
        <x:v>BHS-SLQ-20</x:v>
      </x:c>
      <x:c r="B63" t="str">
        <x:v>BHS-SLQ</x:v>
      </x:c>
      <x:c r="C63" t="str">
        <x:v>Offshore</x:v>
      </x:c>
      <x:c r="D63" t="str">
        <x:v>Inspection and coating restoration</x:v>
      </x:c>
      <x:c r="E63" t="n">
        <x:v>220</x:v>
      </x:c>
      <x:c r="F63" t="n">
        <x:v>310</x:v>
      </x:c>
      <x:c r="G63" t="n">
        <x:f>IF(AND($E63&lt;=30,$F63&gt;=1),1,0)</x:f>
        <x:v>0</x:v>
      </x:c>
      <x:c r="H63" t="n">
        <x:f>IF(AND($E63&lt;=60,$F63&gt;=31),1,0)</x:f>
        <x:v>0</x:v>
      </x:c>
      <x:c r="I63" t="n">
        <x:f>IF(AND($E63&lt;=90,$F63&gt;=61),1,0)</x:f>
        <x:v>0</x:v>
      </x:c>
      <x:c r="J63" t="n">
        <x:f>IF(AND($E63&lt;=120,$F63&gt;=91),1,0)</x:f>
        <x:v>0</x:v>
      </x:c>
      <x:c r="K63" t="n">
        <x:f>IF(AND($E63&lt;=150,$F63&gt;=121),1,0)</x:f>
        <x:v>0</x:v>
      </x:c>
      <x:c r="L63" t="n">
        <x:f>IF(AND($E63&lt;=180,$F63&gt;=151),1,0)</x:f>
        <x:v>0</x:v>
      </x:c>
      <x:c r="M63" t="n">
        <x:f>IF(AND($E63&lt;=210,$F63&gt;=181),1,0)</x:f>
        <x:v>0</x:v>
      </x:c>
      <x:c r="N63" t="n">
        <x:f>IF(AND($E63&lt;=240,$F63&gt;=211),1,0)</x:f>
        <x:v>1</x:v>
      </x:c>
      <x:c r="O63" t="n">
        <x:f>IF(AND($E63&lt;=270,$F63&gt;=241),1,0)</x:f>
        <x:v>1</x:v>
      </x:c>
      <x:c r="P63" t="n">
        <x:f>IF(AND($E63&lt;=300,$F63&gt;=271),1,0)</x:f>
        <x:v>1</x:v>
      </x:c>
      <x:c r="Q63" t="n">
        <x:f>IF(AND($E63&lt;=330,$F63&gt;=301),1,0)</x:f>
        <x:v>1</x:v>
      </x:c>
      <x:c r="R63" t="n">
        <x:f>IF(AND($E63&lt;=360,$F63&gt;=331),1,0)</x:f>
        <x:v>0</x:v>
      </x:c>
    </x:row>
    <x:row r="64">
      <x:c r="A64" t="str">
        <x:v>BHS-SLQ-21</x:v>
      </x:c>
      <x:c r="B64" t="str">
        <x:v>BHS-SLQ</x:v>
      </x:c>
      <x:c r="C64" t="str">
        <x:v>Closeout</x:v>
      </x:c>
      <x:c r="D64" t="str">
        <x:v>Punch closure and dossier</x:v>
      </x:c>
      <x:c r="E64" t="n">
        <x:v>295</x:v>
      </x:c>
      <x:c r="F64" t="n">
        <x:v>355</x:v>
      </x:c>
      <x:c r="G64" t="n">
        <x:f>IF(AND($E64&lt;=30,$F64&gt;=1),1,0)</x:f>
        <x:v>0</x:v>
      </x:c>
      <x:c r="H64" t="n">
        <x:f>IF(AND($E64&lt;=60,$F64&gt;=31),1,0)</x:f>
        <x:v>0</x:v>
      </x:c>
      <x:c r="I64" t="n">
        <x:f>IF(AND($E64&lt;=90,$F64&gt;=61),1,0)</x:f>
        <x:v>0</x:v>
      </x:c>
      <x:c r="J64" t="n">
        <x:f>IF(AND($E64&lt;=120,$F64&gt;=91),1,0)</x:f>
        <x:v>0</x:v>
      </x:c>
      <x:c r="K64" t="n">
        <x:f>IF(AND($E64&lt;=150,$F64&gt;=121),1,0)</x:f>
        <x:v>0</x:v>
      </x:c>
      <x:c r="L64" t="n">
        <x:f>IF(AND($E64&lt;=180,$F64&gt;=151),1,0)</x:f>
        <x:v>0</x:v>
      </x:c>
      <x:c r="M64" t="n">
        <x:f>IF(AND($E64&lt;=210,$F64&gt;=181),1,0)</x:f>
        <x:v>0</x:v>
      </x:c>
      <x:c r="N64" t="n">
        <x:f>IF(AND($E64&lt;=240,$F64&gt;=211),1,0)</x:f>
        <x:v>0</x:v>
      </x:c>
      <x:c r="O64" t="n">
        <x:f>IF(AND($E64&lt;=270,$F64&gt;=241),1,0)</x:f>
        <x:v>0</x:v>
      </x:c>
      <x:c r="P64" t="n">
        <x:f>IF(AND($E64&lt;=300,$F64&gt;=271),1,0)</x:f>
        <x:v>1</x:v>
      </x:c>
      <x:c r="Q64" t="n">
        <x:f>IF(AND($E64&lt;=330,$F64&gt;=301),1,0)</x:f>
        <x:v>1</x:v>
      </x:c>
      <x:c r="R64" t="n">
        <x:f>IF(AND($E64&lt;=360,$F64&gt;=331),1,0)</x:f>
        <x:v>1</x:v>
      </x:c>
    </x:row>
    <x:row r="65">
      <x:c r="A65" t="str">
        <x:v>BHS-SLQ-22</x:v>
      </x:c>
      <x:c r="B65" t="str">
        <x:v>BHS-SLQ</x:v>
      </x:c>
      <x:c r="C65" t="str">
        <x:v>Closeout</x:v>
      </x:c>
      <x:c r="D65" t="str">
        <x:v>Client acceptance and final handover</x:v>
      </x:c>
      <x:c r="E65" t="n">
        <x:v>345</x:v>
      </x:c>
      <x:c r="F65" t="n">
        <x:v>355</x:v>
      </x:c>
      <x:c r="G65" t="n">
        <x:f>IF(AND($E65&lt;=30,$F65&gt;=1),1,0)</x:f>
        <x:v>0</x:v>
      </x:c>
      <x:c r="H65" t="n">
        <x:f>IF(AND($E65&lt;=60,$F65&gt;=31),1,0)</x:f>
        <x:v>0</x:v>
      </x:c>
      <x:c r="I65" t="n">
        <x:f>IF(AND($E65&lt;=90,$F65&gt;=61),1,0)</x:f>
        <x:v>0</x:v>
      </x:c>
      <x:c r="J65" t="n">
        <x:f>IF(AND($E65&lt;=120,$F65&gt;=91),1,0)</x:f>
        <x:v>0</x:v>
      </x:c>
      <x:c r="K65" t="n">
        <x:f>IF(AND($E65&lt;=150,$F65&gt;=121),1,0)</x:f>
        <x:v>0</x:v>
      </x:c>
      <x:c r="L65" t="n">
        <x:f>IF(AND($E65&lt;=180,$F65&gt;=151),1,0)</x:f>
        <x:v>0</x:v>
      </x:c>
      <x:c r="M65" t="n">
        <x:f>IF(AND($E65&lt;=210,$F65&gt;=181),1,0)</x:f>
        <x:v>0</x:v>
      </x:c>
      <x:c r="N65" t="n">
        <x:f>IF(AND($E65&lt;=240,$F65&gt;=211),1,0)</x:f>
        <x:v>0</x:v>
      </x:c>
      <x:c r="O65" t="n">
        <x:f>IF(AND($E65&lt;=270,$F65&gt;=241),1,0)</x:f>
        <x:v>0</x:v>
      </x:c>
      <x:c r="P65" t="n">
        <x:f>IF(AND($E65&lt;=300,$F65&gt;=271),1,0)</x:f>
        <x:v>0</x:v>
      </x:c>
      <x:c r="Q65" t="n">
        <x:f>IF(AND($E65&lt;=330,$F65&gt;=301),1,0)</x:f>
        <x:v>0</x:v>
      </x:c>
      <x:c r="R65" t="n">
        <x:f>IF(AND($E65&lt;=360,$F65&gt;=331),1,0)</x:f>
        <x:v>1</x:v>
      </x:c>
    </x:row>
    <x:row r="66">
      <x:c r="A66" t="str">
        <x:v>BHS-SLQ-SP64</x:v>
      </x:c>
      <x:c r="B66" t="str">
        <x:v>BHS-SLQ</x:v>
      </x:c>
      <x:c r="C66" t="str">
        <x:v>Demolition</x:v>
      </x:c>
      <x:c r="D66" t="str">
        <x:v>Operational isolation and service transfer</x:v>
      </x:c>
      <x:c r="E66" t="n">
        <x:v>165</x:v>
      </x:c>
      <x:c r="F66" t="n">
        <x:v>192</x:v>
      </x:c>
      <x:c r="G66" t="n">
        <x:f>IF(AND($E66&lt;=30,$F66&gt;=1),1,0)</x:f>
        <x:v>0</x:v>
      </x:c>
      <x:c r="H66" t="n">
        <x:f>IF(AND($E66&lt;=60,$F66&gt;=31),1,0)</x:f>
        <x:v>0</x:v>
      </x:c>
      <x:c r="I66" t="n">
        <x:f>IF(AND($E66&lt;=90,$F66&gt;=61),1,0)</x:f>
        <x:v>0</x:v>
      </x:c>
      <x:c r="J66" t="n">
        <x:f>IF(AND($E66&lt;=120,$F66&gt;=91),1,0)</x:f>
        <x:v>0</x:v>
      </x:c>
      <x:c r="K66" t="n">
        <x:f>IF(AND($E66&lt;=150,$F66&gt;=121),1,0)</x:f>
        <x:v>0</x:v>
      </x:c>
      <x:c r="L66" t="n">
        <x:f>IF(AND($E66&lt;=180,$F66&gt;=151),1,0)</x:f>
        <x:v>1</x:v>
      </x:c>
      <x:c r="M66" t="n">
        <x:f>IF(AND($E66&lt;=210,$F66&gt;=181),1,0)</x:f>
        <x:v>1</x:v>
      </x:c>
      <x:c r="N66" t="n">
        <x:f>IF(AND($E66&lt;=240,$F66&gt;=211),1,0)</x:f>
        <x:v>0</x:v>
      </x:c>
      <x:c r="O66" t="n">
        <x:f>IF(AND($E66&lt;=270,$F66&gt;=241),1,0)</x:f>
        <x:v>0</x:v>
      </x:c>
      <x:c r="P66" t="n">
        <x:f>IF(AND($E66&lt;=300,$F66&gt;=271),1,0)</x:f>
        <x:v>0</x:v>
      </x:c>
      <x:c r="Q66" t="n">
        <x:f>IF(AND($E66&lt;=330,$F66&gt;=301),1,0)</x:f>
        <x:v>0</x:v>
      </x:c>
      <x:c r="R66" t="n">
        <x:f>IF(AND($E66&lt;=360,$F66&gt;=331),1,0)</x:f>
        <x:v>0</x:v>
      </x:c>
    </x:row>
    <x:row r="67">
      <x:c r="A67" t="str">
        <x:v>BHS-SLQ-SP65</x:v>
      </x:c>
      <x:c r="B67" t="str">
        <x:v>BHS-SLQ</x:v>
      </x:c>
      <x:c r="C67" t="str">
        <x:v>Demolition</x:v>
      </x:c>
      <x:c r="D67" t="str">
        <x:v>Engineered demolition and removal</x:v>
      </x:c>
      <x:c r="E67" t="n">
        <x:v>210</x:v>
      </x:c>
      <x:c r="F67" t="n">
        <x:v>240</x:v>
      </x:c>
      <x:c r="G67" t="n">
        <x:f>IF(AND($E67&lt;=30,$F67&gt;=1),1,0)</x:f>
        <x:v>0</x:v>
      </x:c>
      <x:c r="H67" t="n">
        <x:f>IF(AND($E67&lt;=60,$F67&gt;=31),1,0)</x:f>
        <x:v>0</x:v>
      </x:c>
      <x:c r="I67" t="n">
        <x:f>IF(AND($E67&lt;=90,$F67&gt;=61),1,0)</x:f>
        <x:v>0</x:v>
      </x:c>
      <x:c r="J67" t="n">
        <x:f>IF(AND($E67&lt;=120,$F67&gt;=91),1,0)</x:f>
        <x:v>0</x:v>
      </x:c>
      <x:c r="K67" t="n">
        <x:f>IF(AND($E67&lt;=150,$F67&gt;=121),1,0)</x:f>
        <x:v>0</x:v>
      </x:c>
      <x:c r="L67" t="n">
        <x:f>IF(AND($E67&lt;=180,$F67&gt;=151),1,0)</x:f>
        <x:v>0</x:v>
      </x:c>
      <x:c r="M67" t="n">
        <x:f>IF(AND($E67&lt;=210,$F67&gt;=181),1,0)</x:f>
        <x:v>1</x:v>
      </x:c>
      <x:c r="N67" t="n">
        <x:f>IF(AND($E67&lt;=240,$F67&gt;=211),1,0)</x:f>
        <x:v>1</x:v>
      </x:c>
      <x:c r="O67" t="n">
        <x:f>IF(AND($E67&lt;=270,$F67&gt;=241),1,0)</x:f>
        <x:v>0</x:v>
      </x:c>
      <x:c r="P67" t="n">
        <x:f>IF(AND($E67&lt;=300,$F67&gt;=271),1,0)</x:f>
        <x:v>0</x:v>
      </x:c>
      <x:c r="Q67" t="n">
        <x:f>IF(AND($E67&lt;=330,$F67&gt;=301),1,0)</x:f>
        <x:v>0</x:v>
      </x:c>
      <x:c r="R67" t="n">
        <x:f>IF(AND($E67&lt;=360,$F67&gt;=331),1,0)</x:f>
        <x:v>0</x:v>
      </x:c>
    </x:row>
    <x:row r="68">
      <x:c r="A68" t="str">
        <x:v>BHS-SLQ-SP66</x:v>
      </x:c>
      <x:c r="B68" t="str">
        <x:v>BHS-SLQ</x:v>
      </x:c>
      <x:c r="C68" t="str">
        <x:v>Demolition</x:v>
      </x:c>
      <x:c r="D68" t="str">
        <x:v>Backload and disposal</x:v>
      </x:c>
      <x:c r="E68" t="n">
        <x:v>225</x:v>
      </x:c>
      <x:c r="F68" t="n">
        <x:v>260</x:v>
      </x:c>
      <x:c r="G68" t="n">
        <x:f>IF(AND($E68&lt;=30,$F68&gt;=1),1,0)</x:f>
        <x:v>0</x:v>
      </x:c>
      <x:c r="H68" t="n">
        <x:f>IF(AND($E68&lt;=60,$F68&gt;=31),1,0)</x:f>
        <x:v>0</x:v>
      </x:c>
      <x:c r="I68" t="n">
        <x:f>IF(AND($E68&lt;=90,$F68&gt;=61),1,0)</x:f>
        <x:v>0</x:v>
      </x:c>
      <x:c r="J68" t="n">
        <x:f>IF(AND($E68&lt;=120,$F68&gt;=91),1,0)</x:f>
        <x:v>0</x:v>
      </x:c>
      <x:c r="K68" t="n">
        <x:f>IF(AND($E68&lt;=150,$F68&gt;=121),1,0)</x:f>
        <x:v>0</x:v>
      </x:c>
      <x:c r="L68" t="n">
        <x:f>IF(AND($E68&lt;=180,$F68&gt;=151),1,0)</x:f>
        <x:v>0</x:v>
      </x:c>
      <x:c r="M68" t="n">
        <x:f>IF(AND($E68&lt;=210,$F68&gt;=181),1,0)</x:f>
        <x:v>0</x:v>
      </x:c>
      <x:c r="N68" t="n">
        <x:f>IF(AND($E68&lt;=240,$F68&gt;=211),1,0)</x:f>
        <x:v>1</x:v>
      </x:c>
      <x:c r="O68" t="n">
        <x:f>IF(AND($E68&lt;=270,$F68&gt;=241),1,0)</x:f>
        <x:v>1</x:v>
      </x:c>
      <x:c r="P68" t="n">
        <x:f>IF(AND($E68&lt;=300,$F68&gt;=271),1,0)</x:f>
        <x:v>0</x:v>
      </x:c>
      <x:c r="Q68" t="n">
        <x:f>IF(AND($E68&lt;=330,$F68&gt;=301),1,0)</x:f>
        <x:v>0</x:v>
      </x:c>
      <x:c r="R68" t="n">
        <x:f>IF(AND($E68&lt;=360,$F68&gt;=331),1,0)</x:f>
        <x:v>0</x:v>
      </x:c>
    </x:row>
    <x:row r="69">
      <x:c r="A69" t="str">
        <x:v>ICW-ICG-UD-01</x:v>
      </x:c>
      <x:c r="B69" t="str">
        <x:v>ICW-ICG-UD</x:v>
      </x:c>
      <x:c r="C69" t="str">
        <x:v>Engineering</x:v>
      </x:c>
      <x:c r="D69" t="str">
        <x:v>Existing-condition survey</x:v>
      </x:c>
      <x:c r="E69" t="n">
        <x:v>1</x:v>
      </x:c>
      <x:c r="F69" t="n">
        <x:v>28</x:v>
      </x:c>
      <x:c r="G69" t="n">
        <x:f>IF(AND($E69&lt;=30,$F69&gt;=1),1,0)</x:f>
        <x:v>1</x:v>
      </x:c>
      <x:c r="H69" t="n">
        <x:f>IF(AND($E69&lt;=60,$F69&gt;=31),1,0)</x:f>
        <x:v>0</x:v>
      </x:c>
      <x:c r="I69" t="n">
        <x:f>IF(AND($E69&lt;=90,$F69&gt;=61),1,0)</x:f>
        <x:v>0</x:v>
      </x:c>
      <x:c r="J69" t="n">
        <x:f>IF(AND($E69&lt;=120,$F69&gt;=91),1,0)</x:f>
        <x:v>0</x:v>
      </x:c>
      <x:c r="K69" t="n">
        <x:f>IF(AND($E69&lt;=150,$F69&gt;=121),1,0)</x:f>
        <x:v>0</x:v>
      </x:c>
      <x:c r="L69" t="n">
        <x:f>IF(AND($E69&lt;=180,$F69&gt;=151),1,0)</x:f>
        <x:v>0</x:v>
      </x:c>
      <x:c r="M69" t="n">
        <x:f>IF(AND($E69&lt;=210,$F69&gt;=181),1,0)</x:f>
        <x:v>0</x:v>
      </x:c>
      <x:c r="N69" t="n">
        <x:f>IF(AND($E69&lt;=240,$F69&gt;=211),1,0)</x:f>
        <x:v>0</x:v>
      </x:c>
      <x:c r="O69" t="n">
        <x:f>IF(AND($E69&lt;=270,$F69&gt;=241),1,0)</x:f>
        <x:v>0</x:v>
      </x:c>
      <x:c r="P69" t="n">
        <x:f>IF(AND($E69&lt;=300,$F69&gt;=271),1,0)</x:f>
        <x:v>0</x:v>
      </x:c>
      <x:c r="Q69" t="n">
        <x:f>IF(AND($E69&lt;=330,$F69&gt;=301),1,0)</x:f>
        <x:v>0</x:v>
      </x:c>
      <x:c r="R69" t="n">
        <x:f>IF(AND($E69&lt;=360,$F69&gt;=331),1,0)</x:f>
        <x:v>0</x:v>
      </x:c>
    </x:row>
    <x:row r="70">
      <x:c r="A70" t="str">
        <x:v>ICW-ICG-UD-02</x:v>
      </x:c>
      <x:c r="B70" t="str">
        <x:v>ICW-ICG-UD</x:v>
      </x:c>
      <x:c r="C70" t="str">
        <x:v>Engineering</x:v>
      </x:c>
      <x:c r="D70" t="str">
        <x:v>Design basis and interface verification</x:v>
      </x:c>
      <x:c r="E70" t="n">
        <x:v>15</x:v>
      </x:c>
      <x:c r="F70" t="n">
        <x:v>38</x:v>
      </x:c>
      <x:c r="G70" t="n">
        <x:f>IF(AND($E70&lt;=30,$F70&gt;=1),1,0)</x:f>
        <x:v>1</x:v>
      </x:c>
      <x:c r="H70" t="n">
        <x:f>IF(AND($E70&lt;=60,$F70&gt;=31),1,0)</x:f>
        <x:v>1</x:v>
      </x:c>
      <x:c r="I70" t="n">
        <x:f>IF(AND($E70&lt;=90,$F70&gt;=61),1,0)</x:f>
        <x:v>0</x:v>
      </x:c>
      <x:c r="J70" t="n">
        <x:f>IF(AND($E70&lt;=120,$F70&gt;=91),1,0)</x:f>
        <x:v>0</x:v>
      </x:c>
      <x:c r="K70" t="n">
        <x:f>IF(AND($E70&lt;=150,$F70&gt;=121),1,0)</x:f>
        <x:v>0</x:v>
      </x:c>
      <x:c r="L70" t="n">
        <x:f>IF(AND($E70&lt;=180,$F70&gt;=151),1,0)</x:f>
        <x:v>0</x:v>
      </x:c>
      <x:c r="M70" t="n">
        <x:f>IF(AND($E70&lt;=210,$F70&gt;=181),1,0)</x:f>
        <x:v>0</x:v>
      </x:c>
      <x:c r="N70" t="n">
        <x:f>IF(AND($E70&lt;=240,$F70&gt;=211),1,0)</x:f>
        <x:v>0</x:v>
      </x:c>
      <x:c r="O70" t="n">
        <x:f>IF(AND($E70&lt;=270,$F70&gt;=241),1,0)</x:f>
        <x:v>0</x:v>
      </x:c>
      <x:c r="P70" t="n">
        <x:f>IF(AND($E70&lt;=300,$F70&gt;=271),1,0)</x:f>
        <x:v>0</x:v>
      </x:c>
      <x:c r="Q70" t="n">
        <x:f>IF(AND($E70&lt;=330,$F70&gt;=301),1,0)</x:f>
        <x:v>0</x:v>
      </x:c>
      <x:c r="R70" t="n">
        <x:f>IF(AND($E70&lt;=360,$F70&gt;=331),1,0)</x:f>
        <x:v>0</x:v>
      </x:c>
    </x:row>
    <x:row r="71">
      <x:c r="A71" t="str">
        <x:v>ICW-ICG-UD-03</x:v>
      </x:c>
      <x:c r="B71" t="str">
        <x:v>ICW-ICG-UD</x:v>
      </x:c>
      <x:c r="C71" t="str">
        <x:v>Engineering</x:v>
      </x:c>
      <x:c r="D71" t="str">
        <x:v>Detailed structural and temporary works engineering</x:v>
      </x:c>
      <x:c r="E71" t="n">
        <x:v>28</x:v>
      </x:c>
      <x:c r="F71" t="n">
        <x:v>92</x:v>
      </x:c>
      <x:c r="G71" t="n">
        <x:f>IF(AND($E71&lt;=30,$F71&gt;=1),1,0)</x:f>
        <x:v>1</x:v>
      </x:c>
      <x:c r="H71" t="n">
        <x:f>IF(AND($E71&lt;=60,$F71&gt;=31),1,0)</x:f>
        <x:v>1</x:v>
      </x:c>
      <x:c r="I71" t="n">
        <x:f>IF(AND($E71&lt;=90,$F71&gt;=61),1,0)</x:f>
        <x:v>1</x:v>
      </x:c>
      <x:c r="J71" t="n">
        <x:f>IF(AND($E71&lt;=120,$F71&gt;=91),1,0)</x:f>
        <x:v>1</x:v>
      </x:c>
      <x:c r="K71" t="n">
        <x:f>IF(AND($E71&lt;=150,$F71&gt;=121),1,0)</x:f>
        <x:v>0</x:v>
      </x:c>
      <x:c r="L71" t="n">
        <x:f>IF(AND($E71&lt;=180,$F71&gt;=151),1,0)</x:f>
        <x:v>0</x:v>
      </x:c>
      <x:c r="M71" t="n">
        <x:f>IF(AND($E71&lt;=210,$F71&gt;=181),1,0)</x:f>
        <x:v>0</x:v>
      </x:c>
      <x:c r="N71" t="n">
        <x:f>IF(AND($E71&lt;=240,$F71&gt;=211),1,0)</x:f>
        <x:v>0</x:v>
      </x:c>
      <x:c r="O71" t="n">
        <x:f>IF(AND($E71&lt;=270,$F71&gt;=241),1,0)</x:f>
        <x:v>0</x:v>
      </x:c>
      <x:c r="P71" t="n">
        <x:f>IF(AND($E71&lt;=300,$F71&gt;=271),1,0)</x:f>
        <x:v>0</x:v>
      </x:c>
      <x:c r="Q71" t="n">
        <x:f>IF(AND($E71&lt;=330,$F71&gt;=301),1,0)</x:f>
        <x:v>0</x:v>
      </x:c>
      <x:c r="R71" t="n">
        <x:f>IF(AND($E71&lt;=360,$F71&gt;=331),1,0)</x:f>
        <x:v>0</x:v>
      </x:c>
    </x:row>
    <x:row r="72">
      <x:c r="A72" t="str">
        <x:v>ICW-ICG-UD-04</x:v>
      </x:c>
      <x:c r="B72" t="str">
        <x:v>ICW-ICG-UD</x:v>
      </x:c>
      <x:c r="C72" t="str">
        <x:v>Engineering</x:v>
      </x:c>
      <x:c r="D72" t="str">
        <x:v>Fabrication drawing release</x:v>
      </x:c>
      <x:c r="E72" t="n">
        <x:v>48</x:v>
      </x:c>
      <x:c r="F72" t="n">
        <x:v>105</x:v>
      </x:c>
      <x:c r="G72" t="n">
        <x:f>IF(AND($E72&lt;=30,$F72&gt;=1),1,0)</x:f>
        <x:v>0</x:v>
      </x:c>
      <x:c r="H72" t="n">
        <x:f>IF(AND($E72&lt;=60,$F72&gt;=31),1,0)</x:f>
        <x:v>1</x:v>
      </x:c>
      <x:c r="I72" t="n">
        <x:f>IF(AND($E72&lt;=90,$F72&gt;=61),1,0)</x:f>
        <x:v>1</x:v>
      </x:c>
      <x:c r="J72" t="n">
        <x:f>IF(AND($E72&lt;=120,$F72&gt;=91),1,0)</x:f>
        <x:v>1</x:v>
      </x:c>
      <x:c r="K72" t="n">
        <x:f>IF(AND($E72&lt;=150,$F72&gt;=121),1,0)</x:f>
        <x:v>0</x:v>
      </x:c>
      <x:c r="L72" t="n">
        <x:f>IF(AND($E72&lt;=180,$F72&gt;=151),1,0)</x:f>
        <x:v>0</x:v>
      </x:c>
      <x:c r="M72" t="n">
        <x:f>IF(AND($E72&lt;=210,$F72&gt;=181),1,0)</x:f>
        <x:v>0</x:v>
      </x:c>
      <x:c r="N72" t="n">
        <x:f>IF(AND($E72&lt;=240,$F72&gt;=211),1,0)</x:f>
        <x:v>0</x:v>
      </x:c>
      <x:c r="O72" t="n">
        <x:f>IF(AND($E72&lt;=270,$F72&gt;=241),1,0)</x:f>
        <x:v>0</x:v>
      </x:c>
      <x:c r="P72" t="n">
        <x:f>IF(AND($E72&lt;=300,$F72&gt;=271),1,0)</x:f>
        <x:v>0</x:v>
      </x:c>
      <x:c r="Q72" t="n">
        <x:f>IF(AND($E72&lt;=330,$F72&gt;=301),1,0)</x:f>
        <x:v>0</x:v>
      </x:c>
      <x:c r="R72" t="n">
        <x:f>IF(AND($E72&lt;=360,$F72&gt;=331),1,0)</x:f>
        <x:v>0</x:v>
      </x:c>
    </x:row>
    <x:row r="73">
      <x:c r="A73" t="str">
        <x:v>ICW-ICG-UD-05</x:v>
      </x:c>
      <x:c r="B73" t="str">
        <x:v>ICW-ICG-UD</x:v>
      </x:c>
      <x:c r="C73" t="str">
        <x:v>Procurement</x:v>
      </x:c>
      <x:c r="D73" t="str">
        <x:v>Material requisitions and vendor approval</x:v>
      </x:c>
      <x:c r="E73" t="n">
        <x:v>28</x:v>
      </x:c>
      <x:c r="F73" t="n">
        <x:v>55</x:v>
      </x:c>
      <x:c r="G73" t="n">
        <x:f>IF(AND($E73&lt;=30,$F73&gt;=1),1,0)</x:f>
        <x:v>1</x:v>
      </x:c>
      <x:c r="H73" t="n">
        <x:f>IF(AND($E73&lt;=60,$F73&gt;=31),1,0)</x:f>
        <x:v>1</x:v>
      </x:c>
      <x:c r="I73" t="n">
        <x:f>IF(AND($E73&lt;=90,$F73&gt;=61),1,0)</x:f>
        <x:v>0</x:v>
      </x:c>
      <x:c r="J73" t="n">
        <x:f>IF(AND($E73&lt;=120,$F73&gt;=91),1,0)</x:f>
        <x:v>0</x:v>
      </x:c>
      <x:c r="K73" t="n">
        <x:f>IF(AND($E73&lt;=150,$F73&gt;=121),1,0)</x:f>
        <x:v>0</x:v>
      </x:c>
      <x:c r="L73" t="n">
        <x:f>IF(AND($E73&lt;=180,$F73&gt;=151),1,0)</x:f>
        <x:v>0</x:v>
      </x:c>
      <x:c r="M73" t="n">
        <x:f>IF(AND($E73&lt;=210,$F73&gt;=181),1,0)</x:f>
        <x:v>0</x:v>
      </x:c>
      <x:c r="N73" t="n">
        <x:f>IF(AND($E73&lt;=240,$F73&gt;=211),1,0)</x:f>
        <x:v>0</x:v>
      </x:c>
      <x:c r="O73" t="n">
        <x:f>IF(AND($E73&lt;=270,$F73&gt;=241),1,0)</x:f>
        <x:v>0</x:v>
      </x:c>
      <x:c r="P73" t="n">
        <x:f>IF(AND($E73&lt;=300,$F73&gt;=271),1,0)</x:f>
        <x:v>0</x:v>
      </x:c>
      <x:c r="Q73" t="n">
        <x:f>IF(AND($E73&lt;=330,$F73&gt;=301),1,0)</x:f>
        <x:v>0</x:v>
      </x:c>
      <x:c r="R73" t="n">
        <x:f>IF(AND($E73&lt;=360,$F73&gt;=331),1,0)</x:f>
        <x:v>0</x:v>
      </x:c>
    </x:row>
    <x:row r="74">
      <x:c r="A74" t="str">
        <x:v>ICW-ICG-UD-06</x:v>
      </x:c>
      <x:c r="B74" t="str">
        <x:v>ICW-ICG-UD</x:v>
      </x:c>
      <x:c r="C74" t="str">
        <x:v>Procurement</x:v>
      </x:c>
      <x:c r="D74" t="str">
        <x:v>Steel purchasing and delivery</x:v>
      </x:c>
      <x:c r="E74" t="n">
        <x:v>48</x:v>
      </x:c>
      <x:c r="F74" t="n">
        <x:v>110</x:v>
      </x:c>
      <x:c r="G74" t="n">
        <x:f>IF(AND($E74&lt;=30,$F74&gt;=1),1,0)</x:f>
        <x:v>0</x:v>
      </x:c>
      <x:c r="H74" t="n">
        <x:f>IF(AND($E74&lt;=60,$F74&gt;=31),1,0)</x:f>
        <x:v>1</x:v>
      </x:c>
      <x:c r="I74" t="n">
        <x:f>IF(AND($E74&lt;=90,$F74&gt;=61),1,0)</x:f>
        <x:v>1</x:v>
      </x:c>
      <x:c r="J74" t="n">
        <x:f>IF(AND($E74&lt;=120,$F74&gt;=91),1,0)</x:f>
        <x:v>1</x:v>
      </x:c>
      <x:c r="K74" t="n">
        <x:f>IF(AND($E74&lt;=150,$F74&gt;=121),1,0)</x:f>
        <x:v>0</x:v>
      </x:c>
      <x:c r="L74" t="n">
        <x:f>IF(AND($E74&lt;=180,$F74&gt;=151),1,0)</x:f>
        <x:v>0</x:v>
      </x:c>
      <x:c r="M74" t="n">
        <x:f>IF(AND($E74&lt;=210,$F74&gt;=181),1,0)</x:f>
        <x:v>0</x:v>
      </x:c>
      <x:c r="N74" t="n">
        <x:f>IF(AND($E74&lt;=240,$F74&gt;=211),1,0)</x:f>
        <x:v>0</x:v>
      </x:c>
      <x:c r="O74" t="n">
        <x:f>IF(AND($E74&lt;=270,$F74&gt;=241),1,0)</x:f>
        <x:v>0</x:v>
      </x:c>
      <x:c r="P74" t="n">
        <x:f>IF(AND($E74&lt;=300,$F74&gt;=271),1,0)</x:f>
        <x:v>0</x:v>
      </x:c>
      <x:c r="Q74" t="n">
        <x:f>IF(AND($E74&lt;=330,$F74&gt;=301),1,0)</x:f>
        <x:v>0</x:v>
      </x:c>
      <x:c r="R74" t="n">
        <x:f>IF(AND($E74&lt;=360,$F74&gt;=331),1,0)</x:f>
        <x:v>0</x:v>
      </x:c>
    </x:row>
    <x:row r="75">
      <x:c r="A75" t="str">
        <x:v>ICW-ICG-UD-07</x:v>
      </x:c>
      <x:c r="B75" t="str">
        <x:v>ICW-ICG-UD</x:v>
      </x:c>
      <x:c r="C75" t="str">
        <x:v>Fabrication</x:v>
      </x:c>
      <x:c r="D75" t="str">
        <x:v>Cutting and material preparation</x:v>
      </x:c>
      <x:c r="E75" t="n">
        <x:v>75</x:v>
      </x:c>
      <x:c r="F75" t="n">
        <x:v>105</x:v>
      </x:c>
      <x:c r="G75" t="n">
        <x:f>IF(AND($E75&lt;=30,$F75&gt;=1),1,0)</x:f>
        <x:v>0</x:v>
      </x:c>
      <x:c r="H75" t="n">
        <x:f>IF(AND($E75&lt;=60,$F75&gt;=31),1,0)</x:f>
        <x:v>0</x:v>
      </x:c>
      <x:c r="I75" t="n">
        <x:f>IF(AND($E75&lt;=90,$F75&gt;=61),1,0)</x:f>
        <x:v>1</x:v>
      </x:c>
      <x:c r="J75" t="n">
        <x:f>IF(AND($E75&lt;=120,$F75&gt;=91),1,0)</x:f>
        <x:v>1</x:v>
      </x:c>
      <x:c r="K75" t="n">
        <x:f>IF(AND($E75&lt;=150,$F75&gt;=121),1,0)</x:f>
        <x:v>0</x:v>
      </x:c>
      <x:c r="L75" t="n">
        <x:f>IF(AND($E75&lt;=180,$F75&gt;=151),1,0)</x:f>
        <x:v>0</x:v>
      </x:c>
      <x:c r="M75" t="n">
        <x:f>IF(AND($E75&lt;=210,$F75&gt;=181),1,0)</x:f>
        <x:v>0</x:v>
      </x:c>
      <x:c r="N75" t="n">
        <x:f>IF(AND($E75&lt;=240,$F75&gt;=211),1,0)</x:f>
        <x:v>0</x:v>
      </x:c>
      <x:c r="O75" t="n">
        <x:f>IF(AND($E75&lt;=270,$F75&gt;=241),1,0)</x:f>
        <x:v>0</x:v>
      </x:c>
      <x:c r="P75" t="n">
        <x:f>IF(AND($E75&lt;=300,$F75&gt;=271),1,0)</x:f>
        <x:v>0</x:v>
      </x:c>
      <x:c r="Q75" t="n">
        <x:f>IF(AND($E75&lt;=330,$F75&gt;=301),1,0)</x:f>
        <x:v>0</x:v>
      </x:c>
      <x:c r="R75" t="n">
        <x:f>IF(AND($E75&lt;=360,$F75&gt;=331),1,0)</x:f>
        <x:v>0</x:v>
      </x:c>
    </x:row>
    <x:row r="76">
      <x:c r="A76" t="str">
        <x:v>ICW-ICG-UD-08</x:v>
      </x:c>
      <x:c r="B76" t="str">
        <x:v>ICW-ICG-UD</x:v>
      </x:c>
      <x:c r="C76" t="str">
        <x:v>Fabrication</x:v>
      </x:c>
      <x:c r="D76" t="str">
        <x:v>Assembly and fit-up</x:v>
      </x:c>
      <x:c r="E76" t="n">
        <x:v>90</x:v>
      </x:c>
      <x:c r="F76" t="n">
        <x:v>135</x:v>
      </x:c>
      <x:c r="G76" t="n">
        <x:f>IF(AND($E76&lt;=30,$F76&gt;=1),1,0)</x:f>
        <x:v>0</x:v>
      </x:c>
      <x:c r="H76" t="n">
        <x:f>IF(AND($E76&lt;=60,$F76&gt;=31),1,0)</x:f>
        <x:v>0</x:v>
      </x:c>
      <x:c r="I76" t="n">
        <x:f>IF(AND($E76&lt;=90,$F76&gt;=61),1,0)</x:f>
        <x:v>1</x:v>
      </x:c>
      <x:c r="J76" t="n">
        <x:f>IF(AND($E76&lt;=120,$F76&gt;=91),1,0)</x:f>
        <x:v>1</x:v>
      </x:c>
      <x:c r="K76" t="n">
        <x:f>IF(AND($E76&lt;=150,$F76&gt;=121),1,0)</x:f>
        <x:v>1</x:v>
      </x:c>
      <x:c r="L76" t="n">
        <x:f>IF(AND($E76&lt;=180,$F76&gt;=151),1,0)</x:f>
        <x:v>0</x:v>
      </x:c>
      <x:c r="M76" t="n">
        <x:f>IF(AND($E76&lt;=210,$F76&gt;=181),1,0)</x:f>
        <x:v>0</x:v>
      </x:c>
      <x:c r="N76" t="n">
        <x:f>IF(AND($E76&lt;=240,$F76&gt;=211),1,0)</x:f>
        <x:v>0</x:v>
      </x:c>
      <x:c r="O76" t="n">
        <x:f>IF(AND($E76&lt;=270,$F76&gt;=241),1,0)</x:f>
        <x:v>0</x:v>
      </x:c>
      <x:c r="P76" t="n">
        <x:f>IF(AND($E76&lt;=300,$F76&gt;=271),1,0)</x:f>
        <x:v>0</x:v>
      </x:c>
      <x:c r="Q76" t="n">
        <x:f>IF(AND($E76&lt;=330,$F76&gt;=301),1,0)</x:f>
        <x:v>0</x:v>
      </x:c>
      <x:c r="R76" t="n">
        <x:f>IF(AND($E76&lt;=360,$F76&gt;=331),1,0)</x:f>
        <x:v>0</x:v>
      </x:c>
    </x:row>
    <x:row r="77">
      <x:c r="A77" t="str">
        <x:v>ICW-ICG-UD-09</x:v>
      </x:c>
      <x:c r="B77" t="str">
        <x:v>ICW-ICG-UD</x:v>
      </x:c>
      <x:c r="C77" t="str">
        <x:v>Fabrication</x:v>
      </x:c>
      <x:c r="D77" t="str">
        <x:v>Shop welding</x:v>
      </x:c>
      <x:c r="E77" t="n">
        <x:v>103</x:v>
      </x:c>
      <x:c r="F77" t="n">
        <x:v>148</x:v>
      </x:c>
      <x:c r="G77" t="n">
        <x:f>IF(AND($E77&lt;=30,$F77&gt;=1),1,0)</x:f>
        <x:v>0</x:v>
      </x:c>
      <x:c r="H77" t="n">
        <x:f>IF(AND($E77&lt;=60,$F77&gt;=31),1,0)</x:f>
        <x:v>0</x:v>
      </x:c>
      <x:c r="I77" t="n">
        <x:f>IF(AND($E77&lt;=90,$F77&gt;=61),1,0)</x:f>
        <x:v>0</x:v>
      </x:c>
      <x:c r="J77" t="n">
        <x:f>IF(AND($E77&lt;=120,$F77&gt;=91),1,0)</x:f>
        <x:v>1</x:v>
      </x:c>
      <x:c r="K77" t="n">
        <x:f>IF(AND($E77&lt;=150,$F77&gt;=121),1,0)</x:f>
        <x:v>1</x:v>
      </x:c>
      <x:c r="L77" t="n">
        <x:f>IF(AND($E77&lt;=180,$F77&gt;=151),1,0)</x:f>
        <x:v>0</x:v>
      </x:c>
      <x:c r="M77" t="n">
        <x:f>IF(AND($E77&lt;=210,$F77&gt;=181),1,0)</x:f>
        <x:v>0</x:v>
      </x:c>
      <x:c r="N77" t="n">
        <x:f>IF(AND($E77&lt;=240,$F77&gt;=211),1,0)</x:f>
        <x:v>0</x:v>
      </x:c>
      <x:c r="O77" t="n">
        <x:f>IF(AND($E77&lt;=270,$F77&gt;=241),1,0)</x:f>
        <x:v>0</x:v>
      </x:c>
      <x:c r="P77" t="n">
        <x:f>IF(AND($E77&lt;=300,$F77&gt;=271),1,0)</x:f>
        <x:v>0</x:v>
      </x:c>
      <x:c r="Q77" t="n">
        <x:f>IF(AND($E77&lt;=330,$F77&gt;=301),1,0)</x:f>
        <x:v>0</x:v>
      </x:c>
      <x:c r="R77" t="n">
        <x:f>IF(AND($E77&lt;=360,$F77&gt;=331),1,0)</x:f>
        <x:v>0</x:v>
      </x:c>
    </x:row>
    <x:row r="78">
      <x:c r="A78" t="str">
        <x:v>ICW-ICG-UD-10</x:v>
      </x:c>
      <x:c r="B78" t="str">
        <x:v>ICW-ICG-UD</x:v>
      </x:c>
      <x:c r="C78" t="str">
        <x:v>Quality</x:v>
      </x:c>
      <x:c r="D78" t="str">
        <x:v>NDT and dimensional acceptance</x:v>
      </x:c>
      <x:c r="E78" t="n">
        <x:v>120</x:v>
      </x:c>
      <x:c r="F78" t="n">
        <x:v>157</x:v>
      </x:c>
      <x:c r="G78" t="n">
        <x:f>IF(AND($E78&lt;=30,$F78&gt;=1),1,0)</x:f>
        <x:v>0</x:v>
      </x:c>
      <x:c r="H78" t="n">
        <x:f>IF(AND($E78&lt;=60,$F78&gt;=31),1,0)</x:f>
        <x:v>0</x:v>
      </x:c>
      <x:c r="I78" t="n">
        <x:f>IF(AND($E78&lt;=90,$F78&gt;=61),1,0)</x:f>
        <x:v>0</x:v>
      </x:c>
      <x:c r="J78" t="n">
        <x:f>IF(AND($E78&lt;=120,$F78&gt;=91),1,0)</x:f>
        <x:v>1</x:v>
      </x:c>
      <x:c r="K78" t="n">
        <x:f>IF(AND($E78&lt;=150,$F78&gt;=121),1,0)</x:f>
        <x:v>1</x:v>
      </x:c>
      <x:c r="L78" t="n">
        <x:f>IF(AND($E78&lt;=180,$F78&gt;=151),1,0)</x:f>
        <x:v>1</x:v>
      </x:c>
      <x:c r="M78" t="n">
        <x:f>IF(AND($E78&lt;=210,$F78&gt;=181),1,0)</x:f>
        <x:v>0</x:v>
      </x:c>
      <x:c r="N78" t="n">
        <x:f>IF(AND($E78&lt;=240,$F78&gt;=211),1,0)</x:f>
        <x:v>0</x:v>
      </x:c>
      <x:c r="O78" t="n">
        <x:f>IF(AND($E78&lt;=270,$F78&gt;=241),1,0)</x:f>
        <x:v>0</x:v>
      </x:c>
      <x:c r="P78" t="n">
        <x:f>IF(AND($E78&lt;=300,$F78&gt;=271),1,0)</x:f>
        <x:v>0</x:v>
      </x:c>
      <x:c r="Q78" t="n">
        <x:f>IF(AND($E78&lt;=330,$F78&gt;=301),1,0)</x:f>
        <x:v>0</x:v>
      </x:c>
      <x:c r="R78" t="n">
        <x:f>IF(AND($E78&lt;=360,$F78&gt;=331),1,0)</x:f>
        <x:v>0</x:v>
      </x:c>
    </x:row>
    <x:row r="79">
      <x:c r="A79" t="str">
        <x:v>ICW-ICG-UD-11</x:v>
      </x:c>
      <x:c r="B79" t="str">
        <x:v>ICW-ICG-UD</x:v>
      </x:c>
      <x:c r="C79" t="str">
        <x:v>Quality</x:v>
      </x:c>
      <x:c r="D79" t="str">
        <x:v>Blast, coat and preserve</x:v>
      </x:c>
      <x:c r="E79" t="n">
        <x:v>135</x:v>
      </x:c>
      <x:c r="F79" t="n">
        <x:v>165</x:v>
      </x:c>
      <x:c r="G79" t="n">
        <x:f>IF(AND($E79&lt;=30,$F79&gt;=1),1,0)</x:f>
        <x:v>0</x:v>
      </x:c>
      <x:c r="H79" t="n">
        <x:f>IF(AND($E79&lt;=60,$F79&gt;=31),1,0)</x:f>
        <x:v>0</x:v>
      </x:c>
      <x:c r="I79" t="n">
        <x:f>IF(AND($E79&lt;=90,$F79&gt;=61),1,0)</x:f>
        <x:v>0</x:v>
      </x:c>
      <x:c r="J79" t="n">
        <x:f>IF(AND($E79&lt;=120,$F79&gt;=91),1,0)</x:f>
        <x:v>0</x:v>
      </x:c>
      <x:c r="K79" t="n">
        <x:f>IF(AND($E79&lt;=150,$F79&gt;=121),1,0)</x:f>
        <x:v>1</x:v>
      </x:c>
      <x:c r="L79" t="n">
        <x:f>IF(AND($E79&lt;=180,$F79&gt;=151),1,0)</x:f>
        <x:v>1</x:v>
      </x:c>
      <x:c r="M79" t="n">
        <x:f>IF(AND($E79&lt;=210,$F79&gt;=181),1,0)</x:f>
        <x:v>0</x:v>
      </x:c>
      <x:c r="N79" t="n">
        <x:f>IF(AND($E79&lt;=240,$F79&gt;=211),1,0)</x:f>
        <x:v>0</x:v>
      </x:c>
      <x:c r="O79" t="n">
        <x:f>IF(AND($E79&lt;=270,$F79&gt;=241),1,0)</x:f>
        <x:v>0</x:v>
      </x:c>
      <x:c r="P79" t="n">
        <x:f>IF(AND($E79&lt;=300,$F79&gt;=271),1,0)</x:f>
        <x:v>0</x:v>
      </x:c>
      <x:c r="Q79" t="n">
        <x:f>IF(AND($E79&lt;=330,$F79&gt;=301),1,0)</x:f>
        <x:v>0</x:v>
      </x:c>
      <x:c r="R79" t="n">
        <x:f>IF(AND($E79&lt;=360,$F79&gt;=331),1,0)</x:f>
        <x:v>0</x:v>
      </x:c>
    </x:row>
    <x:row r="80">
      <x:c r="A80" t="str">
        <x:v>ICW-ICG-UD-13</x:v>
      </x:c>
      <x:c r="B80" t="str">
        <x:v>ICW-ICG-UD</x:v>
      </x:c>
      <x:c r="C80" t="str">
        <x:v>Logistics</x:v>
      </x:c>
      <x:c r="D80" t="str">
        <x:v>Cargo manifest and shore base transfer</x:v>
      </x:c>
      <x:c r="E80" t="n">
        <x:v>135</x:v>
      </x:c>
      <x:c r="F80" t="n">
        <x:v>175</x:v>
      </x:c>
      <x:c r="G80" t="n">
        <x:f>IF(AND($E80&lt;=30,$F80&gt;=1),1,0)</x:f>
        <x:v>0</x:v>
      </x:c>
      <x:c r="H80" t="n">
        <x:f>IF(AND($E80&lt;=60,$F80&gt;=31),1,0)</x:f>
        <x:v>0</x:v>
      </x:c>
      <x:c r="I80" t="n">
        <x:f>IF(AND($E80&lt;=90,$F80&gt;=61),1,0)</x:f>
        <x:v>0</x:v>
      </x:c>
      <x:c r="J80" t="n">
        <x:f>IF(AND($E80&lt;=120,$F80&gt;=91),1,0)</x:f>
        <x:v>0</x:v>
      </x:c>
      <x:c r="K80" t="n">
        <x:f>IF(AND($E80&lt;=150,$F80&gt;=121),1,0)</x:f>
        <x:v>1</x:v>
      </x:c>
      <x:c r="L80" t="n">
        <x:f>IF(AND($E80&lt;=180,$F80&gt;=151),1,0)</x:f>
        <x:v>1</x:v>
      </x:c>
      <x:c r="M80" t="n">
        <x:f>IF(AND($E80&lt;=210,$F80&gt;=181),1,0)</x:f>
        <x:v>0</x:v>
      </x:c>
      <x:c r="N80" t="n">
        <x:f>IF(AND($E80&lt;=240,$F80&gt;=211),1,0)</x:f>
        <x:v>0</x:v>
      </x:c>
      <x:c r="O80" t="n">
        <x:f>IF(AND($E80&lt;=270,$F80&gt;=241),1,0)</x:f>
        <x:v>0</x:v>
      </x:c>
      <x:c r="P80" t="n">
        <x:f>IF(AND($E80&lt;=300,$F80&gt;=271),1,0)</x:f>
        <x:v>0</x:v>
      </x:c>
      <x:c r="Q80" t="n">
        <x:f>IF(AND($E80&lt;=330,$F80&gt;=301),1,0)</x:f>
        <x:v>0</x:v>
      </x:c>
      <x:c r="R80" t="n">
        <x:f>IF(AND($E80&lt;=360,$F80&gt;=331),1,0)</x:f>
        <x:v>0</x:v>
      </x:c>
    </x:row>
    <x:row r="81">
      <x:c r="A81" t="str">
        <x:v>ICW-ICG-UD-14</x:v>
      </x:c>
      <x:c r="B81" t="str">
        <x:v>ICW-ICG-UD</x:v>
      </x:c>
      <x:c r="C81" t="str">
        <x:v>Marine</x:v>
      </x:c>
      <x:c r="D81" t="str">
        <x:v>Vessel technical selection and assurance</x:v>
      </x:c>
      <x:c r="E81" t="n">
        <x:v>45</x:v>
      </x:c>
      <x:c r="F81" t="n">
        <x:v>135</x:v>
      </x:c>
      <x:c r="G81" t="n">
        <x:f>IF(AND($E81&lt;=30,$F81&gt;=1),1,0)</x:f>
        <x:v>0</x:v>
      </x:c>
      <x:c r="H81" t="n">
        <x:f>IF(AND($E81&lt;=60,$F81&gt;=31),1,0)</x:f>
        <x:v>1</x:v>
      </x:c>
      <x:c r="I81" t="n">
        <x:f>IF(AND($E81&lt;=90,$F81&gt;=61),1,0)</x:f>
        <x:v>1</x:v>
      </x:c>
      <x:c r="J81" t="n">
        <x:f>IF(AND($E81&lt;=120,$F81&gt;=91),1,0)</x:f>
        <x:v>1</x:v>
      </x:c>
      <x:c r="K81" t="n">
        <x:f>IF(AND($E81&lt;=150,$F81&gt;=121),1,0)</x:f>
        <x:v>1</x:v>
      </x:c>
      <x:c r="L81" t="n">
        <x:f>IF(AND($E81&lt;=180,$F81&gt;=151),1,0)</x:f>
        <x:v>0</x:v>
      </x:c>
      <x:c r="M81" t="n">
        <x:f>IF(AND($E81&lt;=210,$F81&gt;=181),1,0)</x:f>
        <x:v>0</x:v>
      </x:c>
      <x:c r="N81" t="n">
        <x:f>IF(AND($E81&lt;=240,$F81&gt;=211),1,0)</x:f>
        <x:v>0</x:v>
      </x:c>
      <x:c r="O81" t="n">
        <x:f>IF(AND($E81&lt;=270,$F81&gt;=241),1,0)</x:f>
        <x:v>0</x:v>
      </x:c>
      <x:c r="P81" t="n">
        <x:f>IF(AND($E81&lt;=300,$F81&gt;=271),1,0)</x:f>
        <x:v>0</x:v>
      </x:c>
      <x:c r="Q81" t="n">
        <x:f>IF(AND($E81&lt;=330,$F81&gt;=301),1,0)</x:f>
        <x:v>0</x:v>
      </x:c>
      <x:c r="R81" t="n">
        <x:f>IF(AND($E81&lt;=360,$F81&gt;=331),1,0)</x:f>
        <x:v>0</x:v>
      </x:c>
    </x:row>
    <x:row r="82">
      <x:c r="A82" t="str">
        <x:v>ICW-ICG-UD-16</x:v>
      </x:c>
      <x:c r="B82" t="str">
        <x:v>ICW-ICG-UD</x:v>
      </x:c>
      <x:c r="C82" t="str">
        <x:v>Offshore</x:v>
      </x:c>
      <x:c r="D82" t="str">
        <x:v>Access and permit readiness</x:v>
      </x:c>
      <x:c r="E82" t="n">
        <x:v>60</x:v>
      </x:c>
      <x:c r="F82" t="n">
        <x:v>140</x:v>
      </x:c>
      <x:c r="G82" t="n">
        <x:f>IF(AND($E82&lt;=30,$F82&gt;=1),1,0)</x:f>
        <x:v>0</x:v>
      </x:c>
      <x:c r="H82" t="n">
        <x:f>IF(AND($E82&lt;=60,$F82&gt;=31),1,0)</x:f>
        <x:v>1</x:v>
      </x:c>
      <x:c r="I82" t="n">
        <x:f>IF(AND($E82&lt;=90,$F82&gt;=61),1,0)</x:f>
        <x:v>1</x:v>
      </x:c>
      <x:c r="J82" t="n">
        <x:f>IF(AND($E82&lt;=120,$F82&gt;=91),1,0)</x:f>
        <x:v>1</x:v>
      </x:c>
      <x:c r="K82" t="n">
        <x:f>IF(AND($E82&lt;=150,$F82&gt;=121),1,0)</x:f>
        <x:v>1</x:v>
      </x:c>
      <x:c r="L82" t="n">
        <x:f>IF(AND($E82&lt;=180,$F82&gt;=151),1,0)</x:f>
        <x:v>0</x:v>
      </x:c>
      <x:c r="M82" t="n">
        <x:f>IF(AND($E82&lt;=210,$F82&gt;=181),1,0)</x:f>
        <x:v>0</x:v>
      </x:c>
      <x:c r="N82" t="n">
        <x:f>IF(AND($E82&lt;=240,$F82&gt;=211),1,0)</x:f>
        <x:v>0</x:v>
      </x:c>
      <x:c r="O82" t="n">
        <x:f>IF(AND($E82&lt;=270,$F82&gt;=241),1,0)</x:f>
        <x:v>0</x:v>
      </x:c>
      <x:c r="P82" t="n">
        <x:f>IF(AND($E82&lt;=300,$F82&gt;=271),1,0)</x:f>
        <x:v>0</x:v>
      </x:c>
      <x:c r="Q82" t="n">
        <x:f>IF(AND($E82&lt;=330,$F82&gt;=301),1,0)</x:f>
        <x:v>0</x:v>
      </x:c>
      <x:c r="R82" t="n">
        <x:f>IF(AND($E82&lt;=360,$F82&gt;=331),1,0)</x:f>
        <x:v>0</x:v>
      </x:c>
    </x:row>
    <x:row r="83">
      <x:c r="A83" t="str">
        <x:v>ICW-ICG-UD-17</x:v>
      </x:c>
      <x:c r="B83" t="str">
        <x:v>ICW-ICG-UD</x:v>
      </x:c>
      <x:c r="C83" t="str">
        <x:v>Offshore</x:v>
      </x:c>
      <x:c r="D83" t="str">
        <x:v>Temporary access and works</x:v>
      </x:c>
      <x:c r="E83" t="n">
        <x:v>85</x:v>
      </x:c>
      <x:c r="F83" t="n">
        <x:v>175</x:v>
      </x:c>
      <x:c r="G83" t="n">
        <x:f>IF(AND($E83&lt;=30,$F83&gt;=1),1,0)</x:f>
        <x:v>0</x:v>
      </x:c>
      <x:c r="H83" t="n">
        <x:f>IF(AND($E83&lt;=60,$F83&gt;=31),1,0)</x:f>
        <x:v>0</x:v>
      </x:c>
      <x:c r="I83" t="n">
        <x:f>IF(AND($E83&lt;=90,$F83&gt;=61),1,0)</x:f>
        <x:v>1</x:v>
      </x:c>
      <x:c r="J83" t="n">
        <x:f>IF(AND($E83&lt;=120,$F83&gt;=91),1,0)</x:f>
        <x:v>1</x:v>
      </x:c>
      <x:c r="K83" t="n">
        <x:f>IF(AND($E83&lt;=150,$F83&gt;=121),1,0)</x:f>
        <x:v>1</x:v>
      </x:c>
      <x:c r="L83" t="n">
        <x:f>IF(AND($E83&lt;=180,$F83&gt;=151),1,0)</x:f>
        <x:v>1</x:v>
      </x:c>
      <x:c r="M83" t="n">
        <x:f>IF(AND($E83&lt;=210,$F83&gt;=181),1,0)</x:f>
        <x:v>0</x:v>
      </x:c>
      <x:c r="N83" t="n">
        <x:f>IF(AND($E83&lt;=240,$F83&gt;=211),1,0)</x:f>
        <x:v>0</x:v>
      </x:c>
      <x:c r="O83" t="n">
        <x:f>IF(AND($E83&lt;=270,$F83&gt;=241),1,0)</x:f>
        <x:v>0</x:v>
      </x:c>
      <x:c r="P83" t="n">
        <x:f>IF(AND($E83&lt;=300,$F83&gt;=271),1,0)</x:f>
        <x:v>0</x:v>
      </x:c>
      <x:c r="Q83" t="n">
        <x:f>IF(AND($E83&lt;=330,$F83&gt;=301),1,0)</x:f>
        <x:v>0</x:v>
      </x:c>
      <x:c r="R83" t="n">
        <x:f>IF(AND($E83&lt;=360,$F83&gt;=331),1,0)</x:f>
        <x:v>0</x:v>
      </x:c>
    </x:row>
    <x:row r="84">
      <x:c r="A84" t="str">
        <x:v>ICW-ICG-UD-18</x:v>
      </x:c>
      <x:c r="B84" t="str">
        <x:v>ICW-ICG-UD</x:v>
      </x:c>
      <x:c r="C84" t="str">
        <x:v>Offshore</x:v>
      </x:c>
      <x:c r="D84" t="str">
        <x:v>Structural fit-up or landing</x:v>
      </x:c>
      <x:c r="E84" t="n">
        <x:v>110</x:v>
      </x:c>
      <x:c r="F84" t="n">
        <x:v>200</x:v>
      </x:c>
      <x:c r="G84" t="n">
        <x:f>IF(AND($E84&lt;=30,$F84&gt;=1),1,0)</x:f>
        <x:v>0</x:v>
      </x:c>
      <x:c r="H84" t="n">
        <x:f>IF(AND($E84&lt;=60,$F84&gt;=31),1,0)</x:f>
        <x:v>0</x:v>
      </x:c>
      <x:c r="I84" t="n">
        <x:f>IF(AND($E84&lt;=90,$F84&gt;=61),1,0)</x:f>
        <x:v>0</x:v>
      </x:c>
      <x:c r="J84" t="n">
        <x:f>IF(AND($E84&lt;=120,$F84&gt;=91),1,0)</x:f>
        <x:v>1</x:v>
      </x:c>
      <x:c r="K84" t="n">
        <x:f>IF(AND($E84&lt;=150,$F84&gt;=121),1,0)</x:f>
        <x:v>1</x:v>
      </x:c>
      <x:c r="L84" t="n">
        <x:f>IF(AND($E84&lt;=180,$F84&gt;=151),1,0)</x:f>
        <x:v>1</x:v>
      </x:c>
      <x:c r="M84" t="n">
        <x:f>IF(AND($E84&lt;=210,$F84&gt;=181),1,0)</x:f>
        <x:v>1</x:v>
      </x:c>
      <x:c r="N84" t="n">
        <x:f>IF(AND($E84&lt;=240,$F84&gt;=211),1,0)</x:f>
        <x:v>0</x:v>
      </x:c>
      <x:c r="O84" t="n">
        <x:f>IF(AND($E84&lt;=270,$F84&gt;=241),1,0)</x:f>
        <x:v>0</x:v>
      </x:c>
      <x:c r="P84" t="n">
        <x:f>IF(AND($E84&lt;=300,$F84&gt;=271),1,0)</x:f>
        <x:v>0</x:v>
      </x:c>
      <x:c r="Q84" t="n">
        <x:f>IF(AND($E84&lt;=330,$F84&gt;=301),1,0)</x:f>
        <x:v>0</x:v>
      </x:c>
      <x:c r="R84" t="n">
        <x:f>IF(AND($E84&lt;=360,$F84&gt;=331),1,0)</x:f>
        <x:v>0</x:v>
      </x:c>
    </x:row>
    <x:row r="85">
      <x:c r="A85" t="str">
        <x:v>ICW-ICG-UD-19</x:v>
      </x:c>
      <x:c r="B85" t="str">
        <x:v>ICW-ICG-UD</x:v>
      </x:c>
      <x:c r="C85" t="str">
        <x:v>Offshore</x:v>
      </x:c>
      <x:c r="D85" t="str">
        <x:v>Connection welding and bolting</x:v>
      </x:c>
      <x:c r="E85" t="n">
        <x:v>125</x:v>
      </x:c>
      <x:c r="F85" t="n">
        <x:v>215</x:v>
      </x:c>
      <x:c r="G85" t="n">
        <x:f>IF(AND($E85&lt;=30,$F85&gt;=1),1,0)</x:f>
        <x:v>0</x:v>
      </x:c>
      <x:c r="H85" t="n">
        <x:f>IF(AND($E85&lt;=60,$F85&gt;=31),1,0)</x:f>
        <x:v>0</x:v>
      </x:c>
      <x:c r="I85" t="n">
        <x:f>IF(AND($E85&lt;=90,$F85&gt;=61),1,0)</x:f>
        <x:v>0</x:v>
      </x:c>
      <x:c r="J85" t="n">
        <x:f>IF(AND($E85&lt;=120,$F85&gt;=91),1,0)</x:f>
        <x:v>0</x:v>
      </x:c>
      <x:c r="K85" t="n">
        <x:f>IF(AND($E85&lt;=150,$F85&gt;=121),1,0)</x:f>
        <x:v>1</x:v>
      </x:c>
      <x:c r="L85" t="n">
        <x:f>IF(AND($E85&lt;=180,$F85&gt;=151),1,0)</x:f>
        <x:v>1</x:v>
      </x:c>
      <x:c r="M85" t="n">
        <x:f>IF(AND($E85&lt;=210,$F85&gt;=181),1,0)</x:f>
        <x:v>1</x:v>
      </x:c>
      <x:c r="N85" t="n">
        <x:f>IF(AND($E85&lt;=240,$F85&gt;=211),1,0)</x:f>
        <x:v>1</x:v>
      </x:c>
      <x:c r="O85" t="n">
        <x:f>IF(AND($E85&lt;=270,$F85&gt;=241),1,0)</x:f>
        <x:v>0</x:v>
      </x:c>
      <x:c r="P85" t="n">
        <x:f>IF(AND($E85&lt;=300,$F85&gt;=271),1,0)</x:f>
        <x:v>0</x:v>
      </x:c>
      <x:c r="Q85" t="n">
        <x:f>IF(AND($E85&lt;=330,$F85&gt;=301),1,0)</x:f>
        <x:v>0</x:v>
      </x:c>
      <x:c r="R85" t="n">
        <x:f>IF(AND($E85&lt;=360,$F85&gt;=331),1,0)</x:f>
        <x:v>0</x:v>
      </x:c>
    </x:row>
    <x:row r="86">
      <x:c r="A86" t="str">
        <x:v>ICW-ICG-UD-20</x:v>
      </x:c>
      <x:c r="B86" t="str">
        <x:v>ICW-ICG-UD</x:v>
      </x:c>
      <x:c r="C86" t="str">
        <x:v>Offshore</x:v>
      </x:c>
      <x:c r="D86" t="str">
        <x:v>Inspection and coating restoration</x:v>
      </x:c>
      <x:c r="E86" t="n">
        <x:v>145</x:v>
      </x:c>
      <x:c r="F86" t="n">
        <x:v>235</x:v>
      </x:c>
      <x:c r="G86" t="n">
        <x:f>IF(AND($E86&lt;=30,$F86&gt;=1),1,0)</x:f>
        <x:v>0</x:v>
      </x:c>
      <x:c r="H86" t="n">
        <x:f>IF(AND($E86&lt;=60,$F86&gt;=31),1,0)</x:f>
        <x:v>0</x:v>
      </x:c>
      <x:c r="I86" t="n">
        <x:f>IF(AND($E86&lt;=90,$F86&gt;=61),1,0)</x:f>
        <x:v>0</x:v>
      </x:c>
      <x:c r="J86" t="n">
        <x:f>IF(AND($E86&lt;=120,$F86&gt;=91),1,0)</x:f>
        <x:v>0</x:v>
      </x:c>
      <x:c r="K86" t="n">
        <x:f>IF(AND($E86&lt;=150,$F86&gt;=121),1,0)</x:f>
        <x:v>1</x:v>
      </x:c>
      <x:c r="L86" t="n">
        <x:f>IF(AND($E86&lt;=180,$F86&gt;=151),1,0)</x:f>
        <x:v>1</x:v>
      </x:c>
      <x:c r="M86" t="n">
        <x:f>IF(AND($E86&lt;=210,$F86&gt;=181),1,0)</x:f>
        <x:v>1</x:v>
      </x:c>
      <x:c r="N86" t="n">
        <x:f>IF(AND($E86&lt;=240,$F86&gt;=211),1,0)</x:f>
        <x:v>1</x:v>
      </x:c>
      <x:c r="O86" t="n">
        <x:f>IF(AND($E86&lt;=270,$F86&gt;=241),1,0)</x:f>
        <x:v>0</x:v>
      </x:c>
      <x:c r="P86" t="n">
        <x:f>IF(AND($E86&lt;=300,$F86&gt;=271),1,0)</x:f>
        <x:v>0</x:v>
      </x:c>
      <x:c r="Q86" t="n">
        <x:f>IF(AND($E86&lt;=330,$F86&gt;=301),1,0)</x:f>
        <x:v>0</x:v>
      </x:c>
      <x:c r="R86" t="n">
        <x:f>IF(AND($E86&lt;=360,$F86&gt;=331),1,0)</x:f>
        <x:v>0</x:v>
      </x:c>
    </x:row>
    <x:row r="87">
      <x:c r="A87" t="str">
        <x:v>ICW-ICG-UD-21</x:v>
      </x:c>
      <x:c r="B87" t="str">
        <x:v>ICW-ICG-UD</x:v>
      </x:c>
      <x:c r="C87" t="str">
        <x:v>Closeout</x:v>
      </x:c>
      <x:c r="D87" t="str">
        <x:v>Punch closure and dossier</x:v>
      </x:c>
      <x:c r="E87" t="n">
        <x:v>235</x:v>
      </x:c>
      <x:c r="F87" t="n">
        <x:v>320</x:v>
      </x:c>
      <x:c r="G87" t="n">
        <x:f>IF(AND($E87&lt;=30,$F87&gt;=1),1,0)</x:f>
        <x:v>0</x:v>
      </x:c>
      <x:c r="H87" t="n">
        <x:f>IF(AND($E87&lt;=60,$F87&gt;=31),1,0)</x:f>
        <x:v>0</x:v>
      </x:c>
      <x:c r="I87" t="n">
        <x:f>IF(AND($E87&lt;=90,$F87&gt;=61),1,0)</x:f>
        <x:v>0</x:v>
      </x:c>
      <x:c r="J87" t="n">
        <x:f>IF(AND($E87&lt;=120,$F87&gt;=91),1,0)</x:f>
        <x:v>0</x:v>
      </x:c>
      <x:c r="K87" t="n">
        <x:f>IF(AND($E87&lt;=150,$F87&gt;=121),1,0)</x:f>
        <x:v>0</x:v>
      </x:c>
      <x:c r="L87" t="n">
        <x:f>IF(AND($E87&lt;=180,$F87&gt;=151),1,0)</x:f>
        <x:v>0</x:v>
      </x:c>
      <x:c r="M87" t="n">
        <x:f>IF(AND($E87&lt;=210,$F87&gt;=181),1,0)</x:f>
        <x:v>0</x:v>
      </x:c>
      <x:c r="N87" t="n">
        <x:f>IF(AND($E87&lt;=240,$F87&gt;=211),1,0)</x:f>
        <x:v>1</x:v>
      </x:c>
      <x:c r="O87" t="n">
        <x:f>IF(AND($E87&lt;=270,$F87&gt;=241),1,0)</x:f>
        <x:v>1</x:v>
      </x:c>
      <x:c r="P87" t="n">
        <x:f>IF(AND($E87&lt;=300,$F87&gt;=271),1,0)</x:f>
        <x:v>1</x:v>
      </x:c>
      <x:c r="Q87" t="n">
        <x:f>IF(AND($E87&lt;=330,$F87&gt;=301),1,0)</x:f>
        <x:v>1</x:v>
      </x:c>
      <x:c r="R87" t="n">
        <x:f>IF(AND($E87&lt;=360,$F87&gt;=331),1,0)</x:f>
        <x:v>0</x:v>
      </x:c>
    </x:row>
    <x:row r="88">
      <x:c r="A88" t="str">
        <x:v>ICW-ICG-UD-22</x:v>
      </x:c>
      <x:c r="B88" t="str">
        <x:v>ICW-ICG-UD</x:v>
      </x:c>
      <x:c r="C88" t="str">
        <x:v>Closeout</x:v>
      </x:c>
      <x:c r="D88" t="str">
        <x:v>Client acceptance and final handover</x:v>
      </x:c>
      <x:c r="E88" t="n">
        <x:v>300</x:v>
      </x:c>
      <x:c r="F88" t="n">
        <x:v>350</x:v>
      </x:c>
      <x:c r="G88" t="n">
        <x:f>IF(AND($E88&lt;=30,$F88&gt;=1),1,0)</x:f>
        <x:v>0</x:v>
      </x:c>
      <x:c r="H88" t="n">
        <x:f>IF(AND($E88&lt;=60,$F88&gt;=31),1,0)</x:f>
        <x:v>0</x:v>
      </x:c>
      <x:c r="I88" t="n">
        <x:f>IF(AND($E88&lt;=90,$F88&gt;=61),1,0)</x:f>
        <x:v>0</x:v>
      </x:c>
      <x:c r="J88" t="n">
        <x:f>IF(AND($E88&lt;=120,$F88&gt;=91),1,0)</x:f>
        <x:v>0</x:v>
      </x:c>
      <x:c r="K88" t="n">
        <x:f>IF(AND($E88&lt;=150,$F88&gt;=121),1,0)</x:f>
        <x:v>0</x:v>
      </x:c>
      <x:c r="L88" t="n">
        <x:f>IF(AND($E88&lt;=180,$F88&gt;=151),1,0)</x:f>
        <x:v>0</x:v>
      </x:c>
      <x:c r="M88" t="n">
        <x:f>IF(AND($E88&lt;=210,$F88&gt;=181),1,0)</x:f>
        <x:v>0</x:v>
      </x:c>
      <x:c r="N88" t="n">
        <x:f>IF(AND($E88&lt;=240,$F88&gt;=211),1,0)</x:f>
        <x:v>0</x:v>
      </x:c>
      <x:c r="O88" t="n">
        <x:f>IF(AND($E88&lt;=270,$F88&gt;=241),1,0)</x:f>
        <x:v>0</x:v>
      </x:c>
      <x:c r="P88" t="n">
        <x:f>IF(AND($E88&lt;=300,$F88&gt;=271),1,0)</x:f>
        <x:v>1</x:v>
      </x:c>
      <x:c r="Q88" t="n">
        <x:f>IF(AND($E88&lt;=330,$F88&gt;=301),1,0)</x:f>
        <x:v>1</x:v>
      </x:c>
      <x:c r="R88" t="n">
        <x:f>IF(AND($E88&lt;=360,$F88&gt;=331),1,0)</x:f>
        <x:v>1</x:v>
      </x:c>
    </x:row>
    <x:row r="89">
      <x:c r="A89" t="str">
        <x:v>ICG-ICP-UD-01</x:v>
      </x:c>
      <x:c r="B89" t="str">
        <x:v>ICG-ICP-UD</x:v>
      </x:c>
      <x:c r="C89" t="str">
        <x:v>Engineering</x:v>
      </x:c>
      <x:c r="D89" t="str">
        <x:v>Existing-condition survey</x:v>
      </x:c>
      <x:c r="E89" t="n">
        <x:v>13</x:v>
      </x:c>
      <x:c r="F89" t="n">
        <x:v>40</x:v>
      </x:c>
      <x:c r="G89" t="n">
        <x:f>IF(AND($E89&lt;=30,$F89&gt;=1),1,0)</x:f>
        <x:v>1</x:v>
      </x:c>
      <x:c r="H89" t="n">
        <x:f>IF(AND($E89&lt;=60,$F89&gt;=31),1,0)</x:f>
        <x:v>1</x:v>
      </x:c>
      <x:c r="I89" t="n">
        <x:f>IF(AND($E89&lt;=90,$F89&gt;=61),1,0)</x:f>
        <x:v>0</x:v>
      </x:c>
      <x:c r="J89" t="n">
        <x:f>IF(AND($E89&lt;=120,$F89&gt;=91),1,0)</x:f>
        <x:v>0</x:v>
      </x:c>
      <x:c r="K89" t="n">
        <x:f>IF(AND($E89&lt;=150,$F89&gt;=121),1,0)</x:f>
        <x:v>0</x:v>
      </x:c>
      <x:c r="L89" t="n">
        <x:f>IF(AND($E89&lt;=180,$F89&gt;=151),1,0)</x:f>
        <x:v>0</x:v>
      </x:c>
      <x:c r="M89" t="n">
        <x:f>IF(AND($E89&lt;=210,$F89&gt;=181),1,0)</x:f>
        <x:v>0</x:v>
      </x:c>
      <x:c r="N89" t="n">
        <x:f>IF(AND($E89&lt;=240,$F89&gt;=211),1,0)</x:f>
        <x:v>0</x:v>
      </x:c>
      <x:c r="O89" t="n">
        <x:f>IF(AND($E89&lt;=270,$F89&gt;=241),1,0)</x:f>
        <x:v>0</x:v>
      </x:c>
      <x:c r="P89" t="n">
        <x:f>IF(AND($E89&lt;=300,$F89&gt;=271),1,0)</x:f>
        <x:v>0</x:v>
      </x:c>
      <x:c r="Q89" t="n">
        <x:f>IF(AND($E89&lt;=330,$F89&gt;=301),1,0)</x:f>
        <x:v>0</x:v>
      </x:c>
      <x:c r="R89" t="n">
        <x:f>IF(AND($E89&lt;=360,$F89&gt;=331),1,0)</x:f>
        <x:v>0</x:v>
      </x:c>
    </x:row>
    <x:row r="90">
      <x:c r="A90" t="str">
        <x:v>ICG-ICP-UD-02</x:v>
      </x:c>
      <x:c r="B90" t="str">
        <x:v>ICG-ICP-UD</x:v>
      </x:c>
      <x:c r="C90" t="str">
        <x:v>Engineering</x:v>
      </x:c>
      <x:c r="D90" t="str">
        <x:v>Design basis and interface verification</x:v>
      </x:c>
      <x:c r="E90" t="n">
        <x:v>27</x:v>
      </x:c>
      <x:c r="F90" t="n">
        <x:v>50</x:v>
      </x:c>
      <x:c r="G90" t="n">
        <x:f>IF(AND($E90&lt;=30,$F90&gt;=1),1,0)</x:f>
        <x:v>1</x:v>
      </x:c>
      <x:c r="H90" t="n">
        <x:f>IF(AND($E90&lt;=60,$F90&gt;=31),1,0)</x:f>
        <x:v>1</x:v>
      </x:c>
      <x:c r="I90" t="n">
        <x:f>IF(AND($E90&lt;=90,$F90&gt;=61),1,0)</x:f>
        <x:v>0</x:v>
      </x:c>
      <x:c r="J90" t="n">
        <x:f>IF(AND($E90&lt;=120,$F90&gt;=91),1,0)</x:f>
        <x:v>0</x:v>
      </x:c>
      <x:c r="K90" t="n">
        <x:f>IF(AND($E90&lt;=150,$F90&gt;=121),1,0)</x:f>
        <x:v>0</x:v>
      </x:c>
      <x:c r="L90" t="n">
        <x:f>IF(AND($E90&lt;=180,$F90&gt;=151),1,0)</x:f>
        <x:v>0</x:v>
      </x:c>
      <x:c r="M90" t="n">
        <x:f>IF(AND($E90&lt;=210,$F90&gt;=181),1,0)</x:f>
        <x:v>0</x:v>
      </x:c>
      <x:c r="N90" t="n">
        <x:f>IF(AND($E90&lt;=240,$F90&gt;=211),1,0)</x:f>
        <x:v>0</x:v>
      </x:c>
      <x:c r="O90" t="n">
        <x:f>IF(AND($E90&lt;=270,$F90&gt;=241),1,0)</x:f>
        <x:v>0</x:v>
      </x:c>
      <x:c r="P90" t="n">
        <x:f>IF(AND($E90&lt;=300,$F90&gt;=271),1,0)</x:f>
        <x:v>0</x:v>
      </x:c>
      <x:c r="Q90" t="n">
        <x:f>IF(AND($E90&lt;=330,$F90&gt;=301),1,0)</x:f>
        <x:v>0</x:v>
      </x:c>
      <x:c r="R90" t="n">
        <x:f>IF(AND($E90&lt;=360,$F90&gt;=331),1,0)</x:f>
        <x:v>0</x:v>
      </x:c>
    </x:row>
    <x:row r="91">
      <x:c r="A91" t="str">
        <x:v>ICG-ICP-UD-03</x:v>
      </x:c>
      <x:c r="B91" t="str">
        <x:v>ICG-ICP-UD</x:v>
      </x:c>
      <x:c r="C91" t="str">
        <x:v>Engineering</x:v>
      </x:c>
      <x:c r="D91" t="str">
        <x:v>Detailed structural and temporary works engineering</x:v>
      </x:c>
      <x:c r="E91" t="n">
        <x:v>40</x:v>
      </x:c>
      <x:c r="F91" t="n">
        <x:v>104</x:v>
      </x:c>
      <x:c r="G91" t="n">
        <x:f>IF(AND($E91&lt;=30,$F91&gt;=1),1,0)</x:f>
        <x:v>0</x:v>
      </x:c>
      <x:c r="H91" t="n">
        <x:f>IF(AND($E91&lt;=60,$F91&gt;=31),1,0)</x:f>
        <x:v>1</x:v>
      </x:c>
      <x:c r="I91" t="n">
        <x:f>IF(AND($E91&lt;=90,$F91&gt;=61),1,0)</x:f>
        <x:v>1</x:v>
      </x:c>
      <x:c r="J91" t="n">
        <x:f>IF(AND($E91&lt;=120,$F91&gt;=91),1,0)</x:f>
        <x:v>1</x:v>
      </x:c>
      <x:c r="K91" t="n">
        <x:f>IF(AND($E91&lt;=150,$F91&gt;=121),1,0)</x:f>
        <x:v>0</x:v>
      </x:c>
      <x:c r="L91" t="n">
        <x:f>IF(AND($E91&lt;=180,$F91&gt;=151),1,0)</x:f>
        <x:v>0</x:v>
      </x:c>
      <x:c r="M91" t="n">
        <x:f>IF(AND($E91&lt;=210,$F91&gt;=181),1,0)</x:f>
        <x:v>0</x:v>
      </x:c>
      <x:c r="N91" t="n">
        <x:f>IF(AND($E91&lt;=240,$F91&gt;=211),1,0)</x:f>
        <x:v>0</x:v>
      </x:c>
      <x:c r="O91" t="n">
        <x:f>IF(AND($E91&lt;=270,$F91&gt;=241),1,0)</x:f>
        <x:v>0</x:v>
      </x:c>
      <x:c r="P91" t="n">
        <x:f>IF(AND($E91&lt;=300,$F91&gt;=271),1,0)</x:f>
        <x:v>0</x:v>
      </x:c>
      <x:c r="Q91" t="n">
        <x:f>IF(AND($E91&lt;=330,$F91&gt;=301),1,0)</x:f>
        <x:v>0</x:v>
      </x:c>
      <x:c r="R91" t="n">
        <x:f>IF(AND($E91&lt;=360,$F91&gt;=331),1,0)</x:f>
        <x:v>0</x:v>
      </x:c>
    </x:row>
    <x:row r="92">
      <x:c r="A92" t="str">
        <x:v>ICG-ICP-UD-04</x:v>
      </x:c>
      <x:c r="B92" t="str">
        <x:v>ICG-ICP-UD</x:v>
      </x:c>
      <x:c r="C92" t="str">
        <x:v>Engineering</x:v>
      </x:c>
      <x:c r="D92" t="str">
        <x:v>Fabrication drawing release</x:v>
      </x:c>
      <x:c r="E92" t="n">
        <x:v>60</x:v>
      </x:c>
      <x:c r="F92" t="n">
        <x:v>117</x:v>
      </x:c>
      <x:c r="G92" t="n">
        <x:f>IF(AND($E92&lt;=30,$F92&gt;=1),1,0)</x:f>
        <x:v>0</x:v>
      </x:c>
      <x:c r="H92" t="n">
        <x:f>IF(AND($E92&lt;=60,$F92&gt;=31),1,0)</x:f>
        <x:v>1</x:v>
      </x:c>
      <x:c r="I92" t="n">
        <x:f>IF(AND($E92&lt;=90,$F92&gt;=61),1,0)</x:f>
        <x:v>1</x:v>
      </x:c>
      <x:c r="J92" t="n">
        <x:f>IF(AND($E92&lt;=120,$F92&gt;=91),1,0)</x:f>
        <x:v>1</x:v>
      </x:c>
      <x:c r="K92" t="n">
        <x:f>IF(AND($E92&lt;=150,$F92&gt;=121),1,0)</x:f>
        <x:v>0</x:v>
      </x:c>
      <x:c r="L92" t="n">
        <x:f>IF(AND($E92&lt;=180,$F92&gt;=151),1,0)</x:f>
        <x:v>0</x:v>
      </x:c>
      <x:c r="M92" t="n">
        <x:f>IF(AND($E92&lt;=210,$F92&gt;=181),1,0)</x:f>
        <x:v>0</x:v>
      </x:c>
      <x:c r="N92" t="n">
        <x:f>IF(AND($E92&lt;=240,$F92&gt;=211),1,0)</x:f>
        <x:v>0</x:v>
      </x:c>
      <x:c r="O92" t="n">
        <x:f>IF(AND($E92&lt;=270,$F92&gt;=241),1,0)</x:f>
        <x:v>0</x:v>
      </x:c>
      <x:c r="P92" t="n">
        <x:f>IF(AND($E92&lt;=300,$F92&gt;=271),1,0)</x:f>
        <x:v>0</x:v>
      </x:c>
      <x:c r="Q92" t="n">
        <x:f>IF(AND($E92&lt;=330,$F92&gt;=301),1,0)</x:f>
        <x:v>0</x:v>
      </x:c>
      <x:c r="R92" t="n">
        <x:f>IF(AND($E92&lt;=360,$F92&gt;=331),1,0)</x:f>
        <x:v>0</x:v>
      </x:c>
    </x:row>
    <x:row r="93">
      <x:c r="A93" t="str">
        <x:v>ICG-ICP-UD-05</x:v>
      </x:c>
      <x:c r="B93" t="str">
        <x:v>ICG-ICP-UD</x:v>
      </x:c>
      <x:c r="C93" t="str">
        <x:v>Procurement</x:v>
      </x:c>
      <x:c r="D93" t="str">
        <x:v>Material requisitions and vendor approval</x:v>
      </x:c>
      <x:c r="E93" t="n">
        <x:v>40</x:v>
      </x:c>
      <x:c r="F93" t="n">
        <x:v>67</x:v>
      </x:c>
      <x:c r="G93" t="n">
        <x:f>IF(AND($E93&lt;=30,$F93&gt;=1),1,0)</x:f>
        <x:v>0</x:v>
      </x:c>
      <x:c r="H93" t="n">
        <x:f>IF(AND($E93&lt;=60,$F93&gt;=31),1,0)</x:f>
        <x:v>1</x:v>
      </x:c>
      <x:c r="I93" t="n">
        <x:f>IF(AND($E93&lt;=90,$F93&gt;=61),1,0)</x:f>
        <x:v>1</x:v>
      </x:c>
      <x:c r="J93" t="n">
        <x:f>IF(AND($E93&lt;=120,$F93&gt;=91),1,0)</x:f>
        <x:v>0</x:v>
      </x:c>
      <x:c r="K93" t="n">
        <x:f>IF(AND($E93&lt;=150,$F93&gt;=121),1,0)</x:f>
        <x:v>0</x:v>
      </x:c>
      <x:c r="L93" t="n">
        <x:f>IF(AND($E93&lt;=180,$F93&gt;=151),1,0)</x:f>
        <x:v>0</x:v>
      </x:c>
      <x:c r="M93" t="n">
        <x:f>IF(AND($E93&lt;=210,$F93&gt;=181),1,0)</x:f>
        <x:v>0</x:v>
      </x:c>
      <x:c r="N93" t="n">
        <x:f>IF(AND($E93&lt;=240,$F93&gt;=211),1,0)</x:f>
        <x:v>0</x:v>
      </x:c>
      <x:c r="O93" t="n">
        <x:f>IF(AND($E93&lt;=270,$F93&gt;=241),1,0)</x:f>
        <x:v>0</x:v>
      </x:c>
      <x:c r="P93" t="n">
        <x:f>IF(AND($E93&lt;=300,$F93&gt;=271),1,0)</x:f>
        <x:v>0</x:v>
      </x:c>
      <x:c r="Q93" t="n">
        <x:f>IF(AND($E93&lt;=330,$F93&gt;=301),1,0)</x:f>
        <x:v>0</x:v>
      </x:c>
      <x:c r="R93" t="n">
        <x:f>IF(AND($E93&lt;=360,$F93&gt;=331),1,0)</x:f>
        <x:v>0</x:v>
      </x:c>
    </x:row>
    <x:row r="94">
      <x:c r="A94" t="str">
        <x:v>ICG-ICP-UD-06</x:v>
      </x:c>
      <x:c r="B94" t="str">
        <x:v>ICG-ICP-UD</x:v>
      </x:c>
      <x:c r="C94" t="str">
        <x:v>Procurement</x:v>
      </x:c>
      <x:c r="D94" t="str">
        <x:v>Steel purchasing and delivery</x:v>
      </x:c>
      <x:c r="E94" t="n">
        <x:v>60</x:v>
      </x:c>
      <x:c r="F94" t="n">
        <x:v>122</x:v>
      </x:c>
      <x:c r="G94" t="n">
        <x:f>IF(AND($E94&lt;=30,$F94&gt;=1),1,0)</x:f>
        <x:v>0</x:v>
      </x:c>
      <x:c r="H94" t="n">
        <x:f>IF(AND($E94&lt;=60,$F94&gt;=31),1,0)</x:f>
        <x:v>1</x:v>
      </x:c>
      <x:c r="I94" t="n">
        <x:f>IF(AND($E94&lt;=90,$F94&gt;=61),1,0)</x:f>
        <x:v>1</x:v>
      </x:c>
      <x:c r="J94" t="n">
        <x:f>IF(AND($E94&lt;=120,$F94&gt;=91),1,0)</x:f>
        <x:v>1</x:v>
      </x:c>
      <x:c r="K94" t="n">
        <x:f>IF(AND($E94&lt;=150,$F94&gt;=121),1,0)</x:f>
        <x:v>1</x:v>
      </x:c>
      <x:c r="L94" t="n">
        <x:f>IF(AND($E94&lt;=180,$F94&gt;=151),1,0)</x:f>
        <x:v>0</x:v>
      </x:c>
      <x:c r="M94" t="n">
        <x:f>IF(AND($E94&lt;=210,$F94&gt;=181),1,0)</x:f>
        <x:v>0</x:v>
      </x:c>
      <x:c r="N94" t="n">
        <x:f>IF(AND($E94&lt;=240,$F94&gt;=211),1,0)</x:f>
        <x:v>0</x:v>
      </x:c>
      <x:c r="O94" t="n">
        <x:f>IF(AND($E94&lt;=270,$F94&gt;=241),1,0)</x:f>
        <x:v>0</x:v>
      </x:c>
      <x:c r="P94" t="n">
        <x:f>IF(AND($E94&lt;=300,$F94&gt;=271),1,0)</x:f>
        <x:v>0</x:v>
      </x:c>
      <x:c r="Q94" t="n">
        <x:f>IF(AND($E94&lt;=330,$F94&gt;=301),1,0)</x:f>
        <x:v>0</x:v>
      </x:c>
      <x:c r="R94" t="n">
        <x:f>IF(AND($E94&lt;=360,$F94&gt;=331),1,0)</x:f>
        <x:v>0</x:v>
      </x:c>
    </x:row>
    <x:row r="95">
      <x:c r="A95" t="str">
        <x:v>ICG-ICP-UD-07</x:v>
      </x:c>
      <x:c r="B95" t="str">
        <x:v>ICG-ICP-UD</x:v>
      </x:c>
      <x:c r="C95" t="str">
        <x:v>Fabrication</x:v>
      </x:c>
      <x:c r="D95" t="str">
        <x:v>Cutting and material preparation</x:v>
      </x:c>
      <x:c r="E95" t="n">
        <x:v>87</x:v>
      </x:c>
      <x:c r="F95" t="n">
        <x:v>117</x:v>
      </x:c>
      <x:c r="G95" t="n">
        <x:f>IF(AND($E95&lt;=30,$F95&gt;=1),1,0)</x:f>
        <x:v>0</x:v>
      </x:c>
      <x:c r="H95" t="n">
        <x:f>IF(AND($E95&lt;=60,$F95&gt;=31),1,0)</x:f>
        <x:v>0</x:v>
      </x:c>
      <x:c r="I95" t="n">
        <x:f>IF(AND($E95&lt;=90,$F95&gt;=61),1,0)</x:f>
        <x:v>1</x:v>
      </x:c>
      <x:c r="J95" t="n">
        <x:f>IF(AND($E95&lt;=120,$F95&gt;=91),1,0)</x:f>
        <x:v>1</x:v>
      </x:c>
      <x:c r="K95" t="n">
        <x:f>IF(AND($E95&lt;=150,$F95&gt;=121),1,0)</x:f>
        <x:v>0</x:v>
      </x:c>
      <x:c r="L95" t="n">
        <x:f>IF(AND($E95&lt;=180,$F95&gt;=151),1,0)</x:f>
        <x:v>0</x:v>
      </x:c>
      <x:c r="M95" t="n">
        <x:f>IF(AND($E95&lt;=210,$F95&gt;=181),1,0)</x:f>
        <x:v>0</x:v>
      </x:c>
      <x:c r="N95" t="n">
        <x:f>IF(AND($E95&lt;=240,$F95&gt;=211),1,0)</x:f>
        <x:v>0</x:v>
      </x:c>
      <x:c r="O95" t="n">
        <x:f>IF(AND($E95&lt;=270,$F95&gt;=241),1,0)</x:f>
        <x:v>0</x:v>
      </x:c>
      <x:c r="P95" t="n">
        <x:f>IF(AND($E95&lt;=300,$F95&gt;=271),1,0)</x:f>
        <x:v>0</x:v>
      </x:c>
      <x:c r="Q95" t="n">
        <x:f>IF(AND($E95&lt;=330,$F95&gt;=301),1,0)</x:f>
        <x:v>0</x:v>
      </x:c>
      <x:c r="R95" t="n">
        <x:f>IF(AND($E95&lt;=360,$F95&gt;=331),1,0)</x:f>
        <x:v>0</x:v>
      </x:c>
    </x:row>
    <x:row r="96">
      <x:c r="A96" t="str">
        <x:v>ICG-ICP-UD-08</x:v>
      </x:c>
      <x:c r="B96" t="str">
        <x:v>ICG-ICP-UD</x:v>
      </x:c>
      <x:c r="C96" t="str">
        <x:v>Fabrication</x:v>
      </x:c>
      <x:c r="D96" t="str">
        <x:v>Assembly and fit-up</x:v>
      </x:c>
      <x:c r="E96" t="n">
        <x:v>102</x:v>
      </x:c>
      <x:c r="F96" t="n">
        <x:v>147</x:v>
      </x:c>
      <x:c r="G96" t="n">
        <x:f>IF(AND($E96&lt;=30,$F96&gt;=1),1,0)</x:f>
        <x:v>0</x:v>
      </x:c>
      <x:c r="H96" t="n">
        <x:f>IF(AND($E96&lt;=60,$F96&gt;=31),1,0)</x:f>
        <x:v>0</x:v>
      </x:c>
      <x:c r="I96" t="n">
        <x:f>IF(AND($E96&lt;=90,$F96&gt;=61),1,0)</x:f>
        <x:v>0</x:v>
      </x:c>
      <x:c r="J96" t="n">
        <x:f>IF(AND($E96&lt;=120,$F96&gt;=91),1,0)</x:f>
        <x:v>1</x:v>
      </x:c>
      <x:c r="K96" t="n">
        <x:f>IF(AND($E96&lt;=150,$F96&gt;=121),1,0)</x:f>
        <x:v>1</x:v>
      </x:c>
      <x:c r="L96" t="n">
        <x:f>IF(AND($E96&lt;=180,$F96&gt;=151),1,0)</x:f>
        <x:v>0</x:v>
      </x:c>
      <x:c r="M96" t="n">
        <x:f>IF(AND($E96&lt;=210,$F96&gt;=181),1,0)</x:f>
        <x:v>0</x:v>
      </x:c>
      <x:c r="N96" t="n">
        <x:f>IF(AND($E96&lt;=240,$F96&gt;=211),1,0)</x:f>
        <x:v>0</x:v>
      </x:c>
      <x:c r="O96" t="n">
        <x:f>IF(AND($E96&lt;=270,$F96&gt;=241),1,0)</x:f>
        <x:v>0</x:v>
      </x:c>
      <x:c r="P96" t="n">
        <x:f>IF(AND($E96&lt;=300,$F96&gt;=271),1,0)</x:f>
        <x:v>0</x:v>
      </x:c>
      <x:c r="Q96" t="n">
        <x:f>IF(AND($E96&lt;=330,$F96&gt;=301),1,0)</x:f>
        <x:v>0</x:v>
      </x:c>
      <x:c r="R96" t="n">
        <x:f>IF(AND($E96&lt;=360,$F96&gt;=331),1,0)</x:f>
        <x:v>0</x:v>
      </x:c>
    </x:row>
    <x:row r="97">
      <x:c r="A97" t="str">
        <x:v>ICG-ICP-UD-09</x:v>
      </x:c>
      <x:c r="B97" t="str">
        <x:v>ICG-ICP-UD</x:v>
      </x:c>
      <x:c r="C97" t="str">
        <x:v>Fabrication</x:v>
      </x:c>
      <x:c r="D97" t="str">
        <x:v>Shop welding</x:v>
      </x:c>
      <x:c r="E97" t="n">
        <x:v>115</x:v>
      </x:c>
      <x:c r="F97" t="n">
        <x:v>160</x:v>
      </x:c>
      <x:c r="G97" t="n">
        <x:f>IF(AND($E97&lt;=30,$F97&gt;=1),1,0)</x:f>
        <x:v>0</x:v>
      </x:c>
      <x:c r="H97" t="n">
        <x:f>IF(AND($E97&lt;=60,$F97&gt;=31),1,0)</x:f>
        <x:v>0</x:v>
      </x:c>
      <x:c r="I97" t="n">
        <x:f>IF(AND($E97&lt;=90,$F97&gt;=61),1,0)</x:f>
        <x:v>0</x:v>
      </x:c>
      <x:c r="J97" t="n">
        <x:f>IF(AND($E97&lt;=120,$F97&gt;=91),1,0)</x:f>
        <x:v>1</x:v>
      </x:c>
      <x:c r="K97" t="n">
        <x:f>IF(AND($E97&lt;=150,$F97&gt;=121),1,0)</x:f>
        <x:v>1</x:v>
      </x:c>
      <x:c r="L97" t="n">
        <x:f>IF(AND($E97&lt;=180,$F97&gt;=151),1,0)</x:f>
        <x:v>1</x:v>
      </x:c>
      <x:c r="M97" t="n">
        <x:f>IF(AND($E97&lt;=210,$F97&gt;=181),1,0)</x:f>
        <x:v>0</x:v>
      </x:c>
      <x:c r="N97" t="n">
        <x:f>IF(AND($E97&lt;=240,$F97&gt;=211),1,0)</x:f>
        <x:v>0</x:v>
      </x:c>
      <x:c r="O97" t="n">
        <x:f>IF(AND($E97&lt;=270,$F97&gt;=241),1,0)</x:f>
        <x:v>0</x:v>
      </x:c>
      <x:c r="P97" t="n">
        <x:f>IF(AND($E97&lt;=300,$F97&gt;=271),1,0)</x:f>
        <x:v>0</x:v>
      </x:c>
      <x:c r="Q97" t="n">
        <x:f>IF(AND($E97&lt;=330,$F97&gt;=301),1,0)</x:f>
        <x:v>0</x:v>
      </x:c>
      <x:c r="R97" t="n">
        <x:f>IF(AND($E97&lt;=360,$F97&gt;=331),1,0)</x:f>
        <x:v>0</x:v>
      </x:c>
    </x:row>
    <x:row r="98">
      <x:c r="A98" t="str">
        <x:v>ICG-ICP-UD-10</x:v>
      </x:c>
      <x:c r="B98" t="str">
        <x:v>ICG-ICP-UD</x:v>
      </x:c>
      <x:c r="C98" t="str">
        <x:v>Quality</x:v>
      </x:c>
      <x:c r="D98" t="str">
        <x:v>NDT and dimensional acceptance</x:v>
      </x:c>
      <x:c r="E98" t="n">
        <x:v>132</x:v>
      </x:c>
      <x:c r="F98" t="n">
        <x:v>169</x:v>
      </x:c>
      <x:c r="G98" t="n">
        <x:f>IF(AND($E98&lt;=30,$F98&gt;=1),1,0)</x:f>
        <x:v>0</x:v>
      </x:c>
      <x:c r="H98" t="n">
        <x:f>IF(AND($E98&lt;=60,$F98&gt;=31),1,0)</x:f>
        <x:v>0</x:v>
      </x:c>
      <x:c r="I98" t="n">
        <x:f>IF(AND($E98&lt;=90,$F98&gt;=61),1,0)</x:f>
        <x:v>0</x:v>
      </x:c>
      <x:c r="J98" t="n">
        <x:f>IF(AND($E98&lt;=120,$F98&gt;=91),1,0)</x:f>
        <x:v>0</x:v>
      </x:c>
      <x:c r="K98" t="n">
        <x:f>IF(AND($E98&lt;=150,$F98&gt;=121),1,0)</x:f>
        <x:v>1</x:v>
      </x:c>
      <x:c r="L98" t="n">
        <x:f>IF(AND($E98&lt;=180,$F98&gt;=151),1,0)</x:f>
        <x:v>1</x:v>
      </x:c>
      <x:c r="M98" t="n">
        <x:f>IF(AND($E98&lt;=210,$F98&gt;=181),1,0)</x:f>
        <x:v>0</x:v>
      </x:c>
      <x:c r="N98" t="n">
        <x:f>IF(AND($E98&lt;=240,$F98&gt;=211),1,0)</x:f>
        <x:v>0</x:v>
      </x:c>
      <x:c r="O98" t="n">
        <x:f>IF(AND($E98&lt;=270,$F98&gt;=241),1,0)</x:f>
        <x:v>0</x:v>
      </x:c>
      <x:c r="P98" t="n">
        <x:f>IF(AND($E98&lt;=300,$F98&gt;=271),1,0)</x:f>
        <x:v>0</x:v>
      </x:c>
      <x:c r="Q98" t="n">
        <x:f>IF(AND($E98&lt;=330,$F98&gt;=301),1,0)</x:f>
        <x:v>0</x:v>
      </x:c>
      <x:c r="R98" t="n">
        <x:f>IF(AND($E98&lt;=360,$F98&gt;=331),1,0)</x:f>
        <x:v>0</x:v>
      </x:c>
    </x:row>
    <x:row r="99">
      <x:c r="A99" t="str">
        <x:v>ICG-ICP-UD-11</x:v>
      </x:c>
      <x:c r="B99" t="str">
        <x:v>ICG-ICP-UD</x:v>
      </x:c>
      <x:c r="C99" t="str">
        <x:v>Quality</x:v>
      </x:c>
      <x:c r="D99" t="str">
        <x:v>Blast, coat and preserve</x:v>
      </x:c>
      <x:c r="E99" t="n">
        <x:v>147</x:v>
      </x:c>
      <x:c r="F99" t="n">
        <x:v>177</x:v>
      </x:c>
      <x:c r="G99" t="n">
        <x:f>IF(AND($E99&lt;=30,$F99&gt;=1),1,0)</x:f>
        <x:v>0</x:v>
      </x:c>
      <x:c r="H99" t="n">
        <x:f>IF(AND($E99&lt;=60,$F99&gt;=31),1,0)</x:f>
        <x:v>0</x:v>
      </x:c>
      <x:c r="I99" t="n">
        <x:f>IF(AND($E99&lt;=90,$F99&gt;=61),1,0)</x:f>
        <x:v>0</x:v>
      </x:c>
      <x:c r="J99" t="n">
        <x:f>IF(AND($E99&lt;=120,$F99&gt;=91),1,0)</x:f>
        <x:v>0</x:v>
      </x:c>
      <x:c r="K99" t="n">
        <x:f>IF(AND($E99&lt;=150,$F99&gt;=121),1,0)</x:f>
        <x:v>1</x:v>
      </x:c>
      <x:c r="L99" t="n">
        <x:f>IF(AND($E99&lt;=180,$F99&gt;=151),1,0)</x:f>
        <x:v>1</x:v>
      </x:c>
      <x:c r="M99" t="n">
        <x:f>IF(AND($E99&lt;=210,$F99&gt;=181),1,0)</x:f>
        <x:v>0</x:v>
      </x:c>
      <x:c r="N99" t="n">
        <x:f>IF(AND($E99&lt;=240,$F99&gt;=211),1,0)</x:f>
        <x:v>0</x:v>
      </x:c>
      <x:c r="O99" t="n">
        <x:f>IF(AND($E99&lt;=270,$F99&gt;=241),1,0)</x:f>
        <x:v>0</x:v>
      </x:c>
      <x:c r="P99" t="n">
        <x:f>IF(AND($E99&lt;=300,$F99&gt;=271),1,0)</x:f>
        <x:v>0</x:v>
      </x:c>
      <x:c r="Q99" t="n">
        <x:f>IF(AND($E99&lt;=330,$F99&gt;=301),1,0)</x:f>
        <x:v>0</x:v>
      </x:c>
      <x:c r="R99" t="n">
        <x:f>IF(AND($E99&lt;=360,$F99&gt;=331),1,0)</x:f>
        <x:v>0</x:v>
      </x:c>
    </x:row>
    <x:row r="100">
      <x:c r="A100" t="str">
        <x:v>ICG-ICP-UD-13</x:v>
      </x:c>
      <x:c r="B100" t="str">
        <x:v>ICG-ICP-UD</x:v>
      </x:c>
      <x:c r="C100" t="str">
        <x:v>Logistics</x:v>
      </x:c>
      <x:c r="D100" t="str">
        <x:v>Cargo manifest and shore base transfer</x:v>
      </x:c>
      <x:c r="E100" t="n">
        <x:v>147</x:v>
      </x:c>
      <x:c r="F100" t="n">
        <x:v>187</x:v>
      </x:c>
      <x:c r="G100" t="n">
        <x:f>IF(AND($E100&lt;=30,$F100&gt;=1),1,0)</x:f>
        <x:v>0</x:v>
      </x:c>
      <x:c r="H100" t="n">
        <x:f>IF(AND($E100&lt;=60,$F100&gt;=31),1,0)</x:f>
        <x:v>0</x:v>
      </x:c>
      <x:c r="I100" t="n">
        <x:f>IF(AND($E100&lt;=90,$F100&gt;=61),1,0)</x:f>
        <x:v>0</x:v>
      </x:c>
      <x:c r="J100" t="n">
        <x:f>IF(AND($E100&lt;=120,$F100&gt;=91),1,0)</x:f>
        <x:v>0</x:v>
      </x:c>
      <x:c r="K100" t="n">
        <x:f>IF(AND($E100&lt;=150,$F100&gt;=121),1,0)</x:f>
        <x:v>1</x:v>
      </x:c>
      <x:c r="L100" t="n">
        <x:f>IF(AND($E100&lt;=180,$F100&gt;=151),1,0)</x:f>
        <x:v>1</x:v>
      </x:c>
      <x:c r="M100" t="n">
        <x:f>IF(AND($E100&lt;=210,$F100&gt;=181),1,0)</x:f>
        <x:v>1</x:v>
      </x:c>
      <x:c r="N100" t="n">
        <x:f>IF(AND($E100&lt;=240,$F100&gt;=211),1,0)</x:f>
        <x:v>0</x:v>
      </x:c>
      <x:c r="O100" t="n">
        <x:f>IF(AND($E100&lt;=270,$F100&gt;=241),1,0)</x:f>
        <x:v>0</x:v>
      </x:c>
      <x:c r="P100" t="n">
        <x:f>IF(AND($E100&lt;=300,$F100&gt;=271),1,0)</x:f>
        <x:v>0</x:v>
      </x:c>
      <x:c r="Q100" t="n">
        <x:f>IF(AND($E100&lt;=330,$F100&gt;=301),1,0)</x:f>
        <x:v>0</x:v>
      </x:c>
      <x:c r="R100" t="n">
        <x:f>IF(AND($E100&lt;=360,$F100&gt;=331),1,0)</x:f>
        <x:v>0</x:v>
      </x:c>
    </x:row>
    <x:row r="101">
      <x:c r="A101" t="str">
        <x:v>ICG-ICP-UD-14</x:v>
      </x:c>
      <x:c r="B101" t="str">
        <x:v>ICG-ICP-UD</x:v>
      </x:c>
      <x:c r="C101" t="str">
        <x:v>Marine</x:v>
      </x:c>
      <x:c r="D101" t="str">
        <x:v>Vessel technical selection and assurance</x:v>
      </x:c>
      <x:c r="E101" t="n">
        <x:v>57</x:v>
      </x:c>
      <x:c r="F101" t="n">
        <x:v>147</x:v>
      </x:c>
      <x:c r="G101" t="n">
        <x:f>IF(AND($E101&lt;=30,$F101&gt;=1),1,0)</x:f>
        <x:v>0</x:v>
      </x:c>
      <x:c r="H101" t="n">
        <x:f>IF(AND($E101&lt;=60,$F101&gt;=31),1,0)</x:f>
        <x:v>1</x:v>
      </x:c>
      <x:c r="I101" t="n">
        <x:f>IF(AND($E101&lt;=90,$F101&gt;=61),1,0)</x:f>
        <x:v>1</x:v>
      </x:c>
      <x:c r="J101" t="n">
        <x:f>IF(AND($E101&lt;=120,$F101&gt;=91),1,0)</x:f>
        <x:v>1</x:v>
      </x:c>
      <x:c r="K101" t="n">
        <x:f>IF(AND($E101&lt;=150,$F101&gt;=121),1,0)</x:f>
        <x:v>1</x:v>
      </x:c>
      <x:c r="L101" t="n">
        <x:f>IF(AND($E101&lt;=180,$F101&gt;=151),1,0)</x:f>
        <x:v>0</x:v>
      </x:c>
      <x:c r="M101" t="n">
        <x:f>IF(AND($E101&lt;=210,$F101&gt;=181),1,0)</x:f>
        <x:v>0</x:v>
      </x:c>
      <x:c r="N101" t="n">
        <x:f>IF(AND($E101&lt;=240,$F101&gt;=211),1,0)</x:f>
        <x:v>0</x:v>
      </x:c>
      <x:c r="O101" t="n">
        <x:f>IF(AND($E101&lt;=270,$F101&gt;=241),1,0)</x:f>
        <x:v>0</x:v>
      </x:c>
      <x:c r="P101" t="n">
        <x:f>IF(AND($E101&lt;=300,$F101&gt;=271),1,0)</x:f>
        <x:v>0</x:v>
      </x:c>
      <x:c r="Q101" t="n">
        <x:f>IF(AND($E101&lt;=330,$F101&gt;=301),1,0)</x:f>
        <x:v>0</x:v>
      </x:c>
      <x:c r="R101" t="n">
        <x:f>IF(AND($E101&lt;=360,$F101&gt;=331),1,0)</x:f>
        <x:v>0</x:v>
      </x:c>
    </x:row>
  </x:sheetData>
  <x:conditionalFormatting sqref="G2:R101">
    <x:cfRule type="cellIs" dxfId="0" priority="1" operator="equal">
      <x:formula>1</x:formula>
    </x:cfRule>
  </x:conditionalFormatting>
  <x:pageMargins left="0.7" right="0.7" top="0.75" bottom="0.75" header="0.3" footer="0.3"/>
</x:worksheet>
</file>