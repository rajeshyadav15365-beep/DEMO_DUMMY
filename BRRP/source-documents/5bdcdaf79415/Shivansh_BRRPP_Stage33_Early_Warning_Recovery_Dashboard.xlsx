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dbd4a8516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dge Forecast" sheetId="1" r:id="R889fa8a86dbc4dbb"/>
    <x:sheet xmlns:r="http://schemas.openxmlformats.org/officeDocument/2006/relationships" name="Control Inputs" sheetId="2" r:id="R5dd6331d8fb2448a"/>
    <x:sheet xmlns:r="http://schemas.openxmlformats.org/officeDocument/2006/relationships" name="Early Warning" sheetId="3" r:id="Rfe253bf848c048dc"/>
    <x:sheet xmlns:r="http://schemas.openxmlformats.org/officeDocument/2006/relationships" name="Release Gate" sheetId="4" r:id="Rda4100dd8b0d42d9"/>
    <x:sheet xmlns:r="http://schemas.openxmlformats.org/officeDocument/2006/relationships" name="Weekly Control" sheetId="5" r:id="R86a0f73ca62f4f67"/>
    <x:sheet xmlns:r="http://schemas.openxmlformats.org/officeDocument/2006/relationships" name="CEO Dashboard" sheetId="6" r:id="R6d2c5f39d19d4d3a"/>
    <x:sheet xmlns:r="http://schemas.openxmlformats.org/officeDocument/2006/relationships" name="Read Me" sheetId="7" r:id="R899a22ba2b04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5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cecbd020a482f" /><Relationship Type="http://schemas.openxmlformats.org/officeDocument/2006/relationships/theme" Target="/xl/theme/theme1.xml" Id="R082ea4e3d9044b45" /><Relationship Type="http://schemas.openxmlformats.org/officeDocument/2006/relationships/sharedStrings" Target="/xl/sharedStrings.xml" Id="R26f839d7678244b9" /><Relationship Type="http://schemas.openxmlformats.org/officeDocument/2006/relationships/worksheet" Target="/xl/worksheets/sheet1.xml" Id="R889fa8a86dbc4dbb" /><Relationship Type="http://schemas.openxmlformats.org/officeDocument/2006/relationships/worksheet" Target="/xl/worksheets/sheet2.xml" Id="R5dd6331d8fb2448a" /><Relationship Type="http://schemas.openxmlformats.org/officeDocument/2006/relationships/worksheet" Target="/xl/worksheets/sheet3.xml" Id="Rfe253bf848c048dc" /><Relationship Type="http://schemas.openxmlformats.org/officeDocument/2006/relationships/worksheet" Target="/xl/worksheets/sheet4.xml" Id="Rda4100dd8b0d42d9" /><Relationship Type="http://schemas.openxmlformats.org/officeDocument/2006/relationships/worksheet" Target="/xl/worksheets/sheet5.xml" Id="R86a0f73ca62f4f67" /><Relationship Type="http://schemas.openxmlformats.org/officeDocument/2006/relationships/worksheet" Target="/xl/worksheets/sheet6.xml" Id="R6d2c5f39d19d4d3a" /><Relationship Type="http://schemas.openxmlformats.org/officeDocument/2006/relationships/worksheet" Target="/xl/worksheets/sheet7.xml" Id="R899a22ba2b044f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>
      <x:c r="A1" s="6" t="str">
        <x:v>Bridge</x:v>
      </x:c>
      <x:c r="B1" s="6" t="str">
        <x:v>Steel MT</x:v>
      </x:c>
      <x:c r="C1" s="6" t="str">
        <x:v>Demolition MT</x:v>
      </x:c>
      <x:c r="D1" s="6" t="str">
        <x:v>Crew</x:v>
      </x:c>
      <x:c r="E1" s="6" t="str">
        <x:v>Approved qty</x:v>
      </x:c>
      <x:c r="F1" s="6" t="str">
        <x:v>Accepted qty</x:v>
      </x:c>
      <x:c r="G1" s="6" t="str">
        <x:v>Plan to date</x:v>
      </x:c>
      <x:c r="H1" s="6" t="str">
        <x:v>Physical %</x:v>
      </x:c>
      <x:c r="I1" s="6" t="str">
        <x:v>SPI quantity</x:v>
      </x:c>
      <x:c r="J1" s="6" t="str">
        <x:v>Actual productive crew-days</x:v>
      </x:c>
      <x:c r="K1" s="6" t="str">
        <x:v>Productivity MT/crew-day</x:v>
      </x:c>
      <x:c r="L1" s="6" t="str">
        <x:v>Remaining MT</x:v>
      </x:c>
      <x:c r="M1" s="6" t="str">
        <x:v>Remaining crew-days</x:v>
      </x:c>
      <x:c r="N1" s="6" t="str">
        <x:v>Assigned crews</x:v>
      </x:c>
      <x:c r="O1" s="6" t="str">
        <x:v>Workability</x:v>
      </x:c>
      <x:c r="P1" s="6" t="str">
        <x:v>Forecast calendar days</x:v>
      </x:c>
      <x:c r="Q1" s="6" t="str">
        <x:v>Forecast finish day</x:v>
      </x:c>
      <x:c r="R1" s="6" t="str">
        <x:v>Seasonal float days</x:v>
      </x:c>
      <x:c r="S1" s="6" t="str">
        <x:v>Warning</x:v>
      </x:c>
    </x:row>
    <x:row r="2">
      <x:c r="A2" t="str">
        <x:v>ICW–ICG UD</x:v>
      </x:c>
      <x:c r="B2" t="n">
        <x:v>49</x:v>
      </x:c>
      <x:c r="C2" t="n">
        <x:v>25</x:v>
      </x:c>
      <x:c r="D2" t="str">
        <x:v>A</x:v>
      </x:c>
      <x:c r="E2" t="n">
        <x:v>49</x:v>
      </x:c>
      <x:c r="F2" t="n">
        <x:v>0</x:v>
      </x:c>
      <x:c r="G2" t="n">
        <x:v>0</x:v>
      </x:c>
      <x:c r="H2" s="8" t="n">
        <x:f>IFERROR(F2/E2,0)</x:f>
        <x:v>0</x:v>
      </x:c>
      <x:c r="I2" s="8" t="n">
        <x:f>IFERROR(F2/G2,0)</x:f>
        <x:v>0</x:v>
      </x:c>
      <x:c r="J2" t="n">
        <x:v>0</x:v>
      </x:c>
      <x:c r="K2" t="n">
        <x:f>IFERROR(F2/J2,0)</x:f>
        <x:v>0</x:v>
      </x:c>
      <x:c r="L2" t="n">
        <x:f>MAX(0,E2-F2)</x:f>
        <x:v>49</x:v>
      </x:c>
      <x:c r="M2" t="str">
        <x:f>IF(K2&gt;0,L2/K2,"")</x:f>
      </x:c>
      <x:c r="N2" t="n">
        <x:v>1</x:v>
      </x:c>
      <x:c r="O2" s="10" t="n">
        <x:v>0.7</x:v>
      </x:c>
      <x:c r="P2" t="str">
        <x:f>IF(AND(ISNUMBER(M2),N2&gt;0,O2&gt;0),ROUNDUP(M2/N2/O2,0),"")</x:f>
      </x:c>
      <x:c r="Q2" t="str">
        <x:f>IF(AND(ISNUMBER(P2),ISNUMBER('Control Inputs'!B3)),'Control Inputs'!B3+P2,"")</x:f>
      </x:c>
      <x:c r="R2" t="str">
        <x:f>IF(ISNUMBER(Q2),'Control Inputs'!B4-Q2,"")</x:f>
      </x:c>
      <x:c r="S2" t="str">
        <x:f>IF(F2&gt;E2,"CHECK QUANTITY",IF(NOT(ISNUMBER(Q2)),"NO PRODUCTIVITY DATA",IF(R2&lt;0,"RECOVERY REQUIRED",IF(R2&lt;14,"LOW FLOAT","ON TARGET"))))</x:f>
        <x:v>NO PRODUCTIVITY DATA</x:v>
      </x:c>
    </x:row>
    <x:row r="3">
      <x:c r="A3" t="str">
        <x:v>ICW–ICG LD</x:v>
      </x:c>
      <x:c r="B3" t="n">
        <x:v>122</x:v>
      </x:c>
      <x:c r="C3" t="n">
        <x:v>1</x:v>
      </x:c>
      <x:c r="D3" t="str">
        <x:v>INSTALL</x:v>
      </x:c>
      <x:c r="E3" t="n">
        <x:v>122</x:v>
      </x:c>
      <x:c r="F3" t="n">
        <x:v>0</x:v>
      </x:c>
      <x:c r="G3" t="n">
        <x:v>0</x:v>
      </x:c>
      <x:c r="H3" s="8" t="n">
        <x:f>IFERROR(F3/E3,0)</x:f>
        <x:v>0</x:v>
      </x:c>
      <x:c r="I3" s="8" t="n">
        <x:f>IFERROR(F3/G3,0)</x:f>
        <x:v>0</x:v>
      </x:c>
      <x:c r="J3" t="n">
        <x:v>0</x:v>
      </x:c>
      <x:c r="K3" t="n">
        <x:f>IFERROR(F3/J3,0)</x:f>
        <x:v>0</x:v>
      </x:c>
      <x:c r="L3" t="n">
        <x:f>MAX(0,E3-F3)</x:f>
        <x:v>122</x:v>
      </x:c>
      <x:c r="M3" t="str">
        <x:f>IF(K3&gt;0,L3/K3,"")</x:f>
      </x:c>
      <x:c r="N3" t="n">
        <x:v>1</x:v>
      </x:c>
      <x:c r="O3" s="10" t="n">
        <x:v>0.7</x:v>
      </x:c>
      <x:c r="P3" t="str">
        <x:f>IF(AND(ISNUMBER(M3),N3&gt;0,O3&gt;0),ROUNDUP(M3/N3/O3,0),"")</x:f>
      </x:c>
      <x:c r="Q3" t="str">
        <x:f>IF(AND(ISNUMBER(P3),ISNUMBER('Control Inputs'!B3)),'Control Inputs'!B3+P3,"")</x:f>
      </x:c>
      <x:c r="R3" t="str">
        <x:f>IF(ISNUMBER(Q3),'Control Inputs'!B4-Q3,"")</x:f>
      </x:c>
      <x:c r="S3" t="str">
        <x:f>IF(F3&gt;E3,"CHECK QUANTITY",IF(NOT(ISNUMBER(Q3)),"NO PRODUCTIVITY DATA",IF(R3&lt;0,"RECOVERY REQUIRED",IF(R3&lt;14,"LOW FLOAT","ON TARGET"))))</x:f>
        <x:v>NO PRODUCTIVITY DATA</x:v>
      </x:c>
    </x:row>
    <x:row r="4">
      <x:c r="A4" t="str">
        <x:v>ICG–ICP UD</x:v>
      </x:c>
      <x:c r="B4" t="n">
        <x:v>116</x:v>
      </x:c>
      <x:c r="C4" t="n">
        <x:v>25</x:v>
      </x:c>
      <x:c r="D4" t="str">
        <x:v>A</x:v>
      </x:c>
      <x:c r="E4" t="n">
        <x:v>116</x:v>
      </x:c>
      <x:c r="F4" t="n">
        <x:v>0</x:v>
      </x:c>
      <x:c r="G4" t="n">
        <x:v>0</x:v>
      </x:c>
      <x:c r="H4" s="8" t="n">
        <x:f>IFERROR(F4/E4,0)</x:f>
        <x:v>0</x:v>
      </x:c>
      <x:c r="I4" s="8" t="n">
        <x:f>IFERROR(F4/G4,0)</x:f>
        <x:v>0</x:v>
      </x:c>
      <x:c r="J4" t="n">
        <x:v>0</x:v>
      </x:c>
      <x:c r="K4" t="n">
        <x:f>IFERROR(F4/J4,0)</x:f>
        <x:v>0</x:v>
      </x:c>
      <x:c r="L4" t="n">
        <x:f>MAX(0,E4-F4)</x:f>
        <x:v>116</x:v>
      </x:c>
      <x:c r="M4" t="str">
        <x:f>IF(K4&gt;0,L4/K4,"")</x:f>
      </x:c>
      <x:c r="N4" t="n">
        <x:v>1</x:v>
      </x:c>
      <x:c r="O4" s="10" t="n">
        <x:v>0.7</x:v>
      </x:c>
      <x:c r="P4" t="str">
        <x:f>IF(AND(ISNUMBER(M4),N4&gt;0,O4&gt;0),ROUNDUP(M4/N4/O4,0),"")</x:f>
      </x:c>
      <x:c r="Q4" t="str">
        <x:f>IF(AND(ISNUMBER(P4),ISNUMBER('Control Inputs'!B3)),'Control Inputs'!B3+P4,"")</x:f>
      </x:c>
      <x:c r="R4" t="str">
        <x:f>IF(ISNUMBER(Q4),'Control Inputs'!B4-Q4,"")</x:f>
      </x:c>
      <x:c r="S4" t="str">
        <x:f>IF(F4&gt;E4,"CHECK QUANTITY",IF(NOT(ISNUMBER(Q4)),"NO PRODUCTIVITY DATA",IF(R4&lt;0,"RECOVERY REQUIRED",IF(R4&lt;14,"LOW FLOAT","ON TARGET"))))</x:f>
        <x:v>NO PRODUCTIVITY DATA</x:v>
      </x:c>
    </x:row>
    <x:row r="5">
      <x:c r="A5" t="str">
        <x:v>ICG–ICP LD</x:v>
      </x:c>
      <x:c r="B5" t="n">
        <x:v>160</x:v>
      </x:c>
      <x:c r="C5" t="n">
        <x:v>1</x:v>
      </x:c>
      <x:c r="D5" t="str">
        <x:v>INSTALL</x:v>
      </x:c>
      <x:c r="E5" t="n">
        <x:v>160</x:v>
      </x:c>
      <x:c r="F5" t="n">
        <x:v>0</x:v>
      </x:c>
      <x:c r="G5" t="n">
        <x:v>0</x:v>
      </x:c>
      <x:c r="H5" s="8" t="n">
        <x:f>IFERROR(F5/E5,0)</x:f>
        <x:v>0</x:v>
      </x:c>
      <x:c r="I5" s="8" t="n">
        <x:f>IFERROR(F5/G5,0)</x:f>
        <x:v>0</x:v>
      </x:c>
      <x:c r="J5" t="n">
        <x:v>0</x:v>
      </x:c>
      <x:c r="K5" t="n">
        <x:f>IFERROR(F5/J5,0)</x:f>
        <x:v>0</x:v>
      </x:c>
      <x:c r="L5" t="n">
        <x:f>MAX(0,E5-F5)</x:f>
        <x:v>160</x:v>
      </x:c>
      <x:c r="M5" t="str">
        <x:f>IF(K5&gt;0,L5/K5,"")</x:f>
      </x:c>
      <x:c r="N5" t="n">
        <x:v>1</x:v>
      </x:c>
      <x:c r="O5" s="10" t="n">
        <x:v>0.7</x:v>
      </x:c>
      <x:c r="P5" t="str">
        <x:f>IF(AND(ISNUMBER(M5),N5&gt;0,O5&gt;0),ROUNDUP(M5/N5/O5,0),"")</x:f>
      </x:c>
      <x:c r="Q5" t="str">
        <x:f>IF(AND(ISNUMBER(P5),ISNUMBER('Control Inputs'!B3)),'Control Inputs'!B3+P5,"")</x:f>
      </x:c>
      <x:c r="R5" t="str">
        <x:f>IF(ISNUMBER(Q5),'Control Inputs'!B4-Q5,"")</x:f>
      </x:c>
      <x:c r="S5" t="str">
        <x:f>IF(F5&gt;E5,"CHECK QUANTITY",IF(NOT(ISNUMBER(Q5)),"NO PRODUCTIVITY DATA",IF(R5&lt;0,"RECOVERY REQUIRED",IF(R5&lt;14,"LOW FLOAT","ON TARGET"))))</x:f>
        <x:v>NO PRODUCTIVITY DATA</x:v>
      </x:c>
    </x:row>
    <x:row r="6">
      <x:c r="A6" t="str">
        <x:v>BHS–SLQ</x:v>
      </x:c>
      <x:c r="B6" t="n">
        <x:v>282</x:v>
      </x:c>
      <x:c r="C6" t="n">
        <x:v>210</x:v>
      </x:c>
      <x:c r="D6" t="str">
        <x:v>INSTALL</x:v>
      </x:c>
      <x:c r="E6" t="n">
        <x:v>282</x:v>
      </x:c>
      <x:c r="F6" t="n">
        <x:v>0</x:v>
      </x:c>
      <x:c r="G6" t="n">
        <x:v>0</x:v>
      </x:c>
      <x:c r="H6" s="8" t="n">
        <x:f>IFERROR(F6/E6,0)</x:f>
        <x:v>0</x:v>
      </x:c>
      <x:c r="I6" s="8" t="n">
        <x:f>IFERROR(F6/G6,0)</x:f>
        <x:v>0</x:v>
      </x:c>
      <x:c r="J6" t="n">
        <x:v>0</x:v>
      </x:c>
      <x:c r="K6" t="n">
        <x:f>IFERROR(F6/J6,0)</x:f>
        <x:v>0</x:v>
      </x:c>
      <x:c r="L6" t="n">
        <x:f>MAX(0,E6-F6)</x:f>
        <x:v>282</x:v>
      </x:c>
      <x:c r="M6" t="str">
        <x:f>IF(K6&gt;0,L6/K6,"")</x:f>
      </x:c>
      <x:c r="N6" t="n">
        <x:v>1</x:v>
      </x:c>
      <x:c r="O6" s="10" t="n">
        <x:v>0.7</x:v>
      </x:c>
      <x:c r="P6" t="str">
        <x:f>IF(AND(ISNUMBER(M6),N6&gt;0,O6&gt;0),ROUNDUP(M6/N6/O6,0),"")</x:f>
      </x:c>
      <x:c r="Q6" t="str">
        <x:f>IF(AND(ISNUMBER(P6),ISNUMBER('Control Inputs'!B3)),'Control Inputs'!B3+P6,"")</x:f>
      </x:c>
      <x:c r="R6" t="str">
        <x:f>IF(ISNUMBER(Q6),'Control Inputs'!B4-Q6,"")</x:f>
      </x:c>
      <x:c r="S6" t="str">
        <x:f>IF(F6&gt;E6,"CHECK QUANTITY",IF(NOT(ISNUMBER(Q6)),"NO PRODUCTIVITY DATA",IF(R6&lt;0,"RECOVERY REQUIRED",IF(R6&lt;14,"LOW FLOAT","ON TARGET"))))</x:f>
        <x:v>NO PRODUCTIVITY DATA</x:v>
      </x:c>
    </x:row>
    <x:row r="7">
      <x:c r="A7" t="str">
        <x:v>SLQ–WIS</x:v>
      </x:c>
      <x:c r="B7" t="n">
        <x:v>91</x:v>
      </x:c>
      <x:c r="C7" t="n">
        <x:v>15</x:v>
      </x:c>
      <x:c r="D7" t="str">
        <x:v>A</x:v>
      </x:c>
      <x:c r="E7" t="n">
        <x:v>91</x:v>
      </x:c>
      <x:c r="F7" t="n">
        <x:v>0</x:v>
      </x:c>
      <x:c r="G7" t="n">
        <x:v>0</x:v>
      </x:c>
      <x:c r="H7" s="8" t="n">
        <x:f>IFERROR(F7/E7,0)</x:f>
        <x:v>0</x:v>
      </x:c>
      <x:c r="I7" s="8" t="n">
        <x:f>IFERROR(F7/G7,0)</x:f>
        <x:v>0</x:v>
      </x:c>
      <x:c r="J7" t="n">
        <x:v>0</x:v>
      </x:c>
      <x:c r="K7" t="n">
        <x:f>IFERROR(F7/J7,0)</x:f>
        <x:v>0</x:v>
      </x:c>
      <x:c r="L7" t="n">
        <x:f>MAX(0,E7-F7)</x:f>
        <x:v>91</x:v>
      </x:c>
      <x:c r="M7" t="str">
        <x:f>IF(K7&gt;0,L7/K7,"")</x:f>
      </x:c>
      <x:c r="N7" t="n">
        <x:v>1</x:v>
      </x:c>
      <x:c r="O7" s="10" t="n">
        <x:v>0.7</x:v>
      </x:c>
      <x:c r="P7" t="str">
        <x:f>IF(AND(ISNUMBER(M7),N7&gt;0,O7&gt;0),ROUNDUP(M7/N7/O7,0),"")</x:f>
      </x:c>
      <x:c r="Q7" t="str">
        <x:f>IF(AND(ISNUMBER(P7),ISNUMBER('Control Inputs'!B3)),'Control Inputs'!B3+P7,"")</x:f>
      </x:c>
      <x:c r="R7" t="str">
        <x:f>IF(ISNUMBER(Q7),'Control Inputs'!B4-Q7,"")</x:f>
      </x:c>
      <x:c r="S7" t="str">
        <x:f>IF(F7&gt;E7,"CHECK QUANTITY",IF(NOT(ISNUMBER(Q7)),"NO PRODUCTIVITY DATA",IF(R7&lt;0,"RECOVERY REQUIRED",IF(R7&lt;14,"LOW FLOAT","ON TARGET"))))</x:f>
        <x:v>NO PRODUCTIVITY DATA</x:v>
      </x:c>
    </x:row>
    <x:row r="8">
      <x:c r="A8" t="str">
        <x:v>NQO–NQD</x:v>
      </x:c>
      <x:c r="B8" t="n">
        <x:v>93</x:v>
      </x:c>
      <x:c r="C8" t="n">
        <x:v>25</x:v>
      </x:c>
      <x:c r="D8" t="str">
        <x:v>B</x:v>
      </x:c>
      <x:c r="E8" t="n">
        <x:v>93</x:v>
      </x:c>
      <x:c r="F8" t="n">
        <x:v>0</x:v>
      </x:c>
      <x:c r="G8" t="n">
        <x:v>0</x:v>
      </x:c>
      <x:c r="H8" s="8" t="n">
        <x:f>IFERROR(F8/E8,0)</x:f>
        <x:v>0</x:v>
      </x:c>
      <x:c r="I8" s="8" t="n">
        <x:f>IFERROR(F8/G8,0)</x:f>
        <x:v>0</x:v>
      </x:c>
      <x:c r="J8" t="n">
        <x:v>0</x:v>
      </x:c>
      <x:c r="K8" t="n">
        <x:f>IFERROR(F8/J8,0)</x:f>
        <x:v>0</x:v>
      </x:c>
      <x:c r="L8" t="n">
        <x:f>MAX(0,E8-F8)</x:f>
        <x:v>93</x:v>
      </x:c>
      <x:c r="M8" t="str">
        <x:f>IF(K8&gt;0,L8/K8,"")</x:f>
      </x:c>
      <x:c r="N8" t="n">
        <x:v>1</x:v>
      </x:c>
      <x:c r="O8" s="10" t="n">
        <x:v>0.7</x:v>
      </x:c>
      <x:c r="P8" t="str">
        <x:f>IF(AND(ISNUMBER(M8),N8&gt;0,O8&gt;0),ROUNDUP(M8/N8/O8,0),"")</x:f>
      </x:c>
      <x:c r="Q8" t="str">
        <x:f>IF(AND(ISNUMBER(P8),ISNUMBER('Control Inputs'!B3)),'Control Inputs'!B3+P8,"")</x:f>
      </x:c>
      <x:c r="R8" t="str">
        <x:f>IF(ISNUMBER(Q8),'Control Inputs'!B4-Q8,"")</x:f>
      </x:c>
      <x:c r="S8" t="str">
        <x:f>IF(F8&gt;E8,"CHECK QUANTITY",IF(NOT(ISNUMBER(Q8)),"NO PRODUCTIVITY DATA",IF(R8&lt;0,"RECOVERY REQUIRED",IF(R8&lt;14,"LOW FLOAT","ON TARGET"))))</x:f>
        <x:v>NO PRODUCTIVITY DATA</x:v>
      </x:c>
    </x:row>
    <x:row r="9">
      <x:c r="A9" t="str">
        <x:v>WIN–NC</x:v>
      </x:c>
      <x:c r="B9" t="n">
        <x:v>46</x:v>
      </x:c>
      <x:c r="C9" t="n">
        <x:v>10</x:v>
      </x:c>
      <x:c r="D9" t="str">
        <x:v>B</x:v>
      </x:c>
      <x:c r="E9" t="n">
        <x:v>46</x:v>
      </x:c>
      <x:c r="F9" t="n">
        <x:v>0</x:v>
      </x:c>
      <x:c r="G9" t="n">
        <x:v>0</x:v>
      </x:c>
      <x:c r="H9" s="8" t="n">
        <x:f>IFERROR(F9/E9,0)</x:f>
        <x:v>0</x:v>
      </x:c>
      <x:c r="I9" s="8" t="n">
        <x:f>IFERROR(F9/G9,0)</x:f>
        <x:v>0</x:v>
      </x:c>
      <x:c r="J9" t="n">
        <x:v>0</x:v>
      </x:c>
      <x:c r="K9" t="n">
        <x:f>IFERROR(F9/J9,0)</x:f>
        <x:v>0</x:v>
      </x:c>
      <x:c r="L9" t="n">
        <x:f>MAX(0,E9-F9)</x:f>
        <x:v>46</x:v>
      </x:c>
      <x:c r="M9" t="str">
        <x:f>IF(K9&gt;0,L9/K9,"")</x:f>
      </x:c>
      <x:c r="N9" t="n">
        <x:v>1</x:v>
      </x:c>
      <x:c r="O9" s="10" t="n">
        <x:v>0.7</x:v>
      </x:c>
      <x:c r="P9" t="str">
        <x:f>IF(AND(ISNUMBER(M9),N9&gt;0,O9&gt;0),ROUNDUP(M9/N9/O9,0),"")</x:f>
      </x:c>
      <x:c r="Q9" t="str">
        <x:f>IF(AND(ISNUMBER(P9),ISNUMBER('Control Inputs'!B3)),'Control Inputs'!B3+P9,"")</x:f>
      </x:c>
      <x:c r="R9" t="str">
        <x:f>IF(ISNUMBER(Q9),'Control Inputs'!B4-Q9,"")</x:f>
      </x:c>
      <x:c r="S9" t="str">
        <x:f>IF(F9&gt;E9,"CHECK QUANTITY",IF(NOT(ISNUMBER(Q9)),"NO PRODUCTIVITY DATA",IF(R9&lt;0,"RECOVERY REQUIRED",IF(R9&lt;14,"LOW FLOAT","ON TARGET"))))</x:f>
        <x:v>NO PRODUCTIVITY DATA</x:v>
      </x:c>
    </x:row>
    <x:row r="10">
      <x:c r="A10" t="str">
        <x:v>SCA–SC1</x:v>
      </x:c>
      <x:c r="B10" t="n">
        <x:v>63</x:v>
      </x:c>
      <x:c r="C10" t="n">
        <x:v>15</x:v>
      </x:c>
      <x:c r="D10" t="str">
        <x:v>B</x:v>
      </x:c>
      <x:c r="E10" t="n">
        <x:v>63</x:v>
      </x:c>
      <x:c r="F10" t="n">
        <x:v>0</x:v>
      </x:c>
      <x:c r="G10" t="n">
        <x:v>0</x:v>
      </x:c>
      <x:c r="H10" s="8" t="n">
        <x:f>IFERROR(F10/E10,0)</x:f>
        <x:v>0</x:v>
      </x:c>
      <x:c r="I10" s="8" t="n">
        <x:f>IFERROR(F10/G10,0)</x:f>
        <x:v>0</x:v>
      </x:c>
      <x:c r="J10" t="n">
        <x:v>0</x:v>
      </x:c>
      <x:c r="K10" t="n">
        <x:f>IFERROR(F10/J10,0)</x:f>
        <x:v>0</x:v>
      </x:c>
      <x:c r="L10" t="n">
        <x:f>MAX(0,E10-F10)</x:f>
        <x:v>63</x:v>
      </x:c>
      <x:c r="M10" t="str">
        <x:f>IF(K10&gt;0,L10/K10,"")</x:f>
      </x:c>
      <x:c r="N10" t="n">
        <x:v>1</x:v>
      </x:c>
      <x:c r="O10" s="10" t="n">
        <x:v>0.7</x:v>
      </x:c>
      <x:c r="P10" t="str">
        <x:f>IF(AND(ISNUMBER(M10),N10&gt;0,O10&gt;0),ROUNDUP(M10/N10/O10,0),"")</x:f>
      </x:c>
      <x:c r="Q10" t="str">
        <x:f>IF(AND(ISNUMBER(P10),ISNUMBER('Control Inputs'!B3)),'Control Inputs'!B3+P10,"")</x:f>
      </x:c>
      <x:c r="R10" t="str">
        <x:f>IF(ISNUMBER(Q10),'Control Inputs'!B4-Q10,"")</x:f>
      </x:c>
      <x:c r="S10" t="str">
        <x:f>IF(F10&gt;E10,"CHECK QUANTITY",IF(NOT(ISNUMBER(Q10)),"NO PRODUCTIVITY DATA",IF(R10&lt;0,"RECOVERY REQUIRED",IF(R10&lt;14,"LOW FLOAT","ON TARGET"))))</x:f>
        <x:v>NO PRODUCTIVITY DATA</x:v>
      </x:c>
    </x:row>
    <x:row r="11">
      <x:c r="A11" t="str">
        <x:v>SCA–SCF</x:v>
      </x:c>
      <x:c r="B11" t="n">
        <x:v>119</x:v>
      </x:c>
      <x:c r="C11" t="n">
        <x:v>30</x:v>
      </x:c>
      <x:c r="D11" t="str">
        <x:v>B</x:v>
      </x:c>
      <x:c r="E11" t="n">
        <x:v>119</x:v>
      </x:c>
      <x:c r="F11" t="n">
        <x:v>0</x:v>
      </x:c>
      <x:c r="G11" t="n">
        <x:v>0</x:v>
      </x:c>
      <x:c r="H11" s="8" t="n">
        <x:f>IFERROR(F11/E11,0)</x:f>
        <x:v>0</x:v>
      </x:c>
      <x:c r="I11" s="8" t="n">
        <x:f>IFERROR(F11/G11,0)</x:f>
        <x:v>0</x:v>
      </x:c>
      <x:c r="J11" t="n">
        <x:v>0</x:v>
      </x:c>
      <x:c r="K11" t="n">
        <x:f>IFERROR(F11/J11,0)</x:f>
        <x:v>0</x:v>
      </x:c>
      <x:c r="L11" t="n">
        <x:f>MAX(0,E11-F11)</x:f>
        <x:v>119</x:v>
      </x:c>
      <x:c r="M11" t="str">
        <x:f>IF(K11&gt;0,L11/K11,"")</x:f>
      </x:c>
      <x:c r="N11" t="n">
        <x:v>1</x:v>
      </x:c>
      <x:c r="O11" s="10" t="n">
        <x:v>0.7</x:v>
      </x:c>
      <x:c r="P11" t="str">
        <x:f>IF(AND(ISNUMBER(M11),N11&gt;0,O11&gt;0),ROUNDUP(M11/N11/O11,0),"")</x:f>
      </x:c>
      <x:c r="Q11" t="str">
        <x:f>IF(AND(ISNUMBER(P11),ISNUMBER('Control Inputs'!B3)),'Control Inputs'!B3+P11,"")</x:f>
      </x:c>
      <x:c r="R11" t="str">
        <x:f>IF(ISNUMBER(Q11),'Control Inputs'!B4-Q11,"")</x:f>
      </x:c>
      <x:c r="S11" t="str">
        <x:f>IF(F11&gt;E11,"CHECK QUANTITY",IF(NOT(ISNUMBER(Q11)),"NO PRODUCTIVITY DATA",IF(R11&lt;0,"RECOVERY REQUIRED",IF(R11&lt;14,"LOW FLOAT","ON TARGET"))))</x:f>
        <x:v>NO PRODUCTIVITY DATA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s="6" t="str">
        <x:v>Parameter</x:v>
      </x:c>
      <x:c r="B1" s="6" t="str">
        <x:v>Value</x:v>
      </x:c>
      <x:c r="C1" s="6" t="str">
        <x:v>Status / instruction</x:v>
      </x:c>
    </x:row>
    <x:row r="2">
      <x:c r="A2" t="str">
        <x:v>Provisional start</x:v>
      </x:c>
      <x:c r="B2" t="str">
        <x:v>2026-11-01</x:v>
      </x:c>
      <x:c r="C2" t="str">
        <x:v>Assumption only</x:v>
      </x:c>
    </x:row>
    <x:row r="3">
      <x:c r="A3" t="str">
        <x:v>Current schedule day</x:v>
      </x:c>
      <x:c r="B3" t="n">
        <x:v>1</x:v>
      </x:c>
      <x:c r="C3" t="str">
        <x:v>Set day number from actual commencement; pre-award use 1</x:v>
      </x:c>
    </x:row>
    <x:row r="4">
      <x:c r="A4" t="str">
        <x:v>Pre-monsoon cutoff day</x:v>
      </x:c>
      <x:c r="B4" t="n">
        <x:v>196</x:v>
      </x:c>
      <x:c r="C4" t="str">
        <x:v>15 May 2027 assuming 1 Nov start</x:v>
      </x:c>
    </x:row>
    <x:row r="5">
      <x:c r="A5" t="str">
        <x:v>Contractual completion day</x:v>
      </x:c>
      <x:c r="B5" t="n">
        <x:v>360</x:v>
      </x:c>
      <x:c r="C5" t="str">
        <x:v>Verify SCC commencement and monsoon treatment</x:v>
      </x:c>
    </x:row>
    <x:row r="6">
      <x:c r="A6" t="str">
        <x:v>Printed structural MTO MT</x:v>
      </x:c>
      <x:c r="B6" t="n">
        <x:v>1142</x:v>
      </x:c>
      <x:c r="C6" t="str">
        <x:v>Bridge rows sum to 1141 MT</x:v>
      </x:c>
    </x:row>
    <x:row r="7">
      <x:c r="A7" t="str">
        <x:v>Printed strengthening discrepancy MT</x:v>
      </x:c>
      <x:c r="B7" t="n">
        <x:v>1</x:v>
      </x:c>
      <x:c r="C7" t="str">
        <x:v>Reconcile before final procurement</x:v>
      </x:c>
    </x:row>
    <x:row r="8">
      <x:c r="A8" t="str">
        <x:v>Demolition MT</x:v>
      </x:c>
      <x:c r="B8" t="n">
        <x:v>357</x:v>
      </x:c>
      <x:c r="C8" t="str">
        <x:v>From prior tender transcription</x:v>
      </x:c>
    </x:row>
    <x:row r="9">
      <x:c r="A9" t="str">
        <x:v>Resource and rates</x:v>
      </x:c>
      <x:c r="B9" t="str">
        <x:v>UNVERIFIED</x:v>
      </x:c>
      <x:c r="C9" t="str">
        <x:v>Do not charter or release work from these inputs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6" t="str">
        <x:v>ID</x:v>
      </x:c>
      <x:c r="B1" s="6" t="str">
        <x:v>Constraint / trigger</x:v>
      </x:c>
      <x:c r="C1" s="6" t="str">
        <x:v>Bridge / scope</x:v>
      </x:c>
      <x:c r="D1" s="6" t="str">
        <x:v>Owner</x:v>
      </x:c>
      <x:c r="E1" s="6" t="str">
        <x:v>Due date</x:v>
      </x:c>
      <x:c r="F1" s="6" t="str">
        <x:v>Severity</x:v>
      </x:c>
      <x:c r="G1" s="6" t="str">
        <x:v>Action / mitigation</x:v>
      </x:c>
      <x:c r="H1" s="6" t="str">
        <x:v>Status</x:v>
      </x:c>
      <x:c r="I1" s="6" t="str">
        <x:v>Evidence / reference</x:v>
      </x:c>
    </x:row>
    <x:row r="2">
      <x:c r="A2" t="str">
        <x:v>R01</x:v>
      </x:c>
      <x:c r="B2" t="str">
        <x:v>BHS–SLQ service transfer and demolition sequence</x:v>
      </x:c>
      <x:c r="C2" t="str">
        <x:v>BHS–SLQ</x:v>
      </x:c>
      <x:c r="D2" t="str">
        <x:v>Engineering/ONGC</x:v>
      </x:c>
      <x:c r="E2" t="str"/>
      <x:c r="F2" t="str">
        <x:v>Critical</x:v>
      </x:c>
      <x:c r="G2" t="str">
        <x:v>Approve operations interfaces, transfer and independent removal engineering</x:v>
      </x:c>
      <x:c r="H2" t="str">
        <x:v>Open</x:v>
      </x:c>
      <x:c r="I2" t="str"/>
    </x:row>
    <x:row r="3">
      <x:c r="A3" t="str">
        <x:v>R02</x:v>
      </x:c>
      <x:c r="B3" t="str">
        <x:v>Heavy lift weight, COG and crane capacity</x:v>
      </x:c>
      <x:c r="C3" t="str">
        <x:v>3 major bridges</x:v>
      </x:c>
      <x:c r="D3" t="str">
        <x:v>Marine engineering</x:v>
      </x:c>
      <x:c r="E3" t="str"/>
      <x:c r="F3" t="str">
        <x:v>Critical</x:v>
      </x:c>
      <x:c r="G3" t="str">
        <x:v>Lift list, COG, rigging and marine assurance</x:v>
      </x:c>
      <x:c r="H3" t="str">
        <x:v>Open</x:v>
      </x:c>
      <x:c r="I3" t="str"/>
    </x:row>
    <x:row r="4">
      <x:c r="A4" t="str">
        <x:v>R03</x:v>
      </x:c>
      <x:c r="B4" t="str">
        <x:v>Fabrication yard committed slots</x:v>
      </x:c>
      <x:c r="C4" t="str">
        <x:v>All</x:v>
      </x:c>
      <x:c r="D4" t="str">
        <x:v>Fabrication manager</x:v>
      </x:c>
      <x:c r="E4" t="str"/>
      <x:c r="F4" t="str">
        <x:v>High</x:v>
      </x:c>
      <x:c r="G4" t="str">
        <x:v>Audit capacity and competing project loads</x:v>
      </x:c>
      <x:c r="H4" t="str">
        <x:v>Open</x:v>
      </x:c>
      <x:c r="I4" t="str"/>
    </x:row>
    <x:row r="5">
      <x:c r="A5" t="str">
        <x:v>R04</x:v>
      </x:c>
      <x:c r="B5" t="str">
        <x:v>Monsoon/SCC entitlement and operating windows</x:v>
      </x:c>
      <x:c r="C5" t="str">
        <x:v>All</x:v>
      </x:c>
      <x:c r="D5" t="str">
        <x:v>Contracts/Marine</x:v>
      </x:c>
      <x:c r="E5" t="str"/>
      <x:c r="F5" t="str">
        <x:v>Critical</x:v>
      </x:c>
      <x:c r="G5" t="str">
        <x:v>Verify SCC and site-specific metocean restrictions</x:v>
      </x:c>
      <x:c r="H5" t="str">
        <x:v>Open</x:v>
      </x:c>
      <x:c r="I5" t="str"/>
    </x:row>
    <x:row r="6">
      <x:c r="A6" t="str">
        <x:v>R05</x:v>
      </x:c>
      <x:c r="B6" t="str">
        <x:v>1 MT discrepancy in structural MTO</x:v>
      </x:c>
      <x:c r="C6" t="str">
        <x:v>All</x:v>
      </x:c>
      <x:c r="D6" t="str">
        <x:v>Engineering/QS</x:v>
      </x:c>
      <x:c r="E6" t="str"/>
      <x:c r="F6" t="str">
        <x:v>Medium</x:v>
      </x:c>
      <x:c r="G6" t="str">
        <x:v>Reconcile original detailed MTO</x:v>
      </x:c>
      <x:c r="H6" t="str">
        <x:v>Open</x:v>
      </x:c>
      <x:c r="I6" t="str"/>
    </x:row>
    <x:row r="7">
      <x:c r="A7" t="str">
        <x:v>R06</x:v>
      </x:c>
      <x:c r="B7" t="str">
        <x:v>Permits, access, SIMOPS and temporary works</x:v>
      </x:c>
      <x:c r="C7" t="str">
        <x:v>All</x:v>
      </x:c>
      <x:c r="D7" t="str">
        <x:v>Offshore manager</x:v>
      </x:c>
      <x:c r="E7" t="str"/>
      <x:c r="F7" t="str">
        <x:v>Critical</x:v>
      </x:c>
      <x:c r="G7" t="str">
        <x:v>ONGC-approved readiness before release</x:v>
      </x:c>
      <x:c r="H7" t="str">
        <x:v>Open</x:v>
      </x:c>
      <x:c r="I7" t="str"/>
    </x:row>
    <x:row r="8">
      <x:c r="A8" t="str">
        <x:v>R07</x:v>
      </x:c>
      <x:c r="B8" t="str">
        <x:v>NDT / inspection release bottleneck</x:v>
      </x:c>
      <x:c r="C8" t="str">
        <x:v>All</x:v>
      </x:c>
      <x:c r="D8" t="str">
        <x:v>QA/QC</x:v>
      </x:c>
      <x:c r="E8" t="str"/>
      <x:c r="F8" t="str">
        <x:v>High</x:v>
      </x:c>
      <x:c r="G8" t="str">
        <x:v>Plan independent shop/offshore coverage</x:v>
      </x:c>
      <x:c r="H8" t="str">
        <x:v>Open</x:v>
      </x:c>
      <x:c r="I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6" t="str">
        <x:v>Bridge</x:v>
      </x:c>
      <x:c r="B1" s="6" t="str">
        <x:v>AFC</x:v>
      </x:c>
      <x:c r="C1" s="6" t="str">
        <x:v>Material</x:v>
      </x:c>
      <x:c r="D1" s="6" t="str">
        <x:v>Crew</x:v>
      </x:c>
      <x:c r="E1" s="6" t="str">
        <x:v>Tools</x:v>
      </x:c>
      <x:c r="F1" s="6" t="str">
        <x:v>Access/Permit</x:v>
      </x:c>
      <x:c r="G1" s="6" t="str">
        <x:v>Method</x:v>
      </x:c>
      <x:c r="H1" s="6" t="str">
        <x:v>QA/ITP</x:v>
      </x:c>
      <x:c r="I1" s="6" t="str">
        <x:v>Marine</x:v>
      </x:c>
      <x:c r="J1" s="6" t="str">
        <x:v>ONGC</x:v>
      </x:c>
      <x:c r="K1" s="6" t="str">
        <x:v>Release status</x:v>
      </x:c>
    </x:row>
    <x:row r="2">
      <x:c r="A2" t="str">
        <x:v>ICW–ICG UD</x:v>
      </x:c>
      <x:c r="B2" t="str">
        <x:v>NO</x:v>
      </x:c>
      <x:c r="C2" t="str">
        <x:v>NO</x:v>
      </x:c>
      <x:c r="D2" t="str">
        <x:v>NO</x:v>
      </x:c>
      <x:c r="E2" t="str">
        <x:v>NO</x:v>
      </x:c>
      <x:c r="F2" t="str">
        <x:v>NO</x:v>
      </x:c>
      <x:c r="G2" t="str">
        <x:v>NO</x:v>
      </x:c>
      <x:c r="H2" t="str">
        <x:v>NO</x:v>
      </x:c>
      <x:c r="I2" t="str">
        <x:v>NO</x:v>
      </x:c>
      <x:c r="J2" t="str">
        <x:v>NO</x:v>
      </x:c>
      <x:c r="K2" t="str">
        <x:f>IF(COUNTIF(B2:J2,"YES")=9,"READY","HOLD")</x:f>
        <x:v>HOLD</x:v>
      </x:c>
    </x:row>
    <x:row r="3">
      <x:c r="A3" t="str">
        <x:v>ICW–ICG LD</x:v>
      </x:c>
      <x:c r="B3" t="str">
        <x:v>NO</x:v>
      </x:c>
      <x:c r="C3" t="str">
        <x:v>NO</x:v>
      </x:c>
      <x:c r="D3" t="str">
        <x:v>NO</x:v>
      </x:c>
      <x:c r="E3" t="str">
        <x:v>NO</x:v>
      </x:c>
      <x:c r="F3" t="str">
        <x:v>NO</x:v>
      </x:c>
      <x:c r="G3" t="str">
        <x:v>NO</x:v>
      </x:c>
      <x:c r="H3" t="str">
        <x:v>NO</x:v>
      </x:c>
      <x:c r="I3" t="str">
        <x:v>NO</x:v>
      </x:c>
      <x:c r="J3" t="str">
        <x:v>NO</x:v>
      </x:c>
      <x:c r="K3" t="str">
        <x:f>IF(COUNTIF(B3:J3,"YES")=9,"READY","HOLD")</x:f>
        <x:v>HOLD</x:v>
      </x:c>
    </x:row>
    <x:row r="4">
      <x:c r="A4" t="str">
        <x:v>ICG–ICP UD</x:v>
      </x:c>
      <x:c r="B4" t="str">
        <x:v>NO</x:v>
      </x:c>
      <x:c r="C4" t="str">
        <x:v>NO</x:v>
      </x:c>
      <x:c r="D4" t="str">
        <x:v>NO</x:v>
      </x:c>
      <x:c r="E4" t="str">
        <x:v>NO</x:v>
      </x:c>
      <x:c r="F4" t="str">
        <x:v>NO</x:v>
      </x:c>
      <x:c r="G4" t="str">
        <x:v>NO</x:v>
      </x:c>
      <x:c r="H4" t="str">
        <x:v>NO</x:v>
      </x:c>
      <x:c r="I4" t="str">
        <x:v>NO</x:v>
      </x:c>
      <x:c r="J4" t="str">
        <x:v>NO</x:v>
      </x:c>
      <x:c r="K4" t="str">
        <x:f>IF(COUNTIF(B4:J4,"YES")=9,"READY","HOLD")</x:f>
        <x:v>HOLD</x:v>
      </x:c>
    </x:row>
    <x:row r="5">
      <x:c r="A5" t="str">
        <x:v>ICG–ICP LD</x:v>
      </x:c>
      <x:c r="B5" t="str">
        <x:v>NO</x:v>
      </x:c>
      <x:c r="C5" t="str">
        <x:v>NO</x:v>
      </x:c>
      <x:c r="D5" t="str">
        <x:v>NO</x:v>
      </x:c>
      <x:c r="E5" t="str">
        <x:v>NO</x:v>
      </x:c>
      <x:c r="F5" t="str">
        <x:v>NO</x:v>
      </x:c>
      <x:c r="G5" t="str">
        <x:v>NO</x:v>
      </x:c>
      <x:c r="H5" t="str">
        <x:v>NO</x:v>
      </x:c>
      <x:c r="I5" t="str">
        <x:v>NO</x:v>
      </x:c>
      <x:c r="J5" t="str">
        <x:v>NO</x:v>
      </x:c>
      <x:c r="K5" t="str">
        <x:f>IF(COUNTIF(B5:J5,"YES")=9,"READY","HOLD")</x:f>
        <x:v>HOLD</x:v>
      </x:c>
    </x:row>
    <x:row r="6">
      <x:c r="A6" t="str">
        <x:v>BHS–SLQ</x:v>
      </x:c>
      <x:c r="B6" t="str">
        <x:v>NO</x:v>
      </x:c>
      <x:c r="C6" t="str">
        <x:v>NO</x:v>
      </x:c>
      <x:c r="D6" t="str">
        <x:v>NO</x:v>
      </x:c>
      <x:c r="E6" t="str">
        <x:v>NO</x:v>
      </x:c>
      <x:c r="F6" t="str">
        <x:v>NO</x:v>
      </x:c>
      <x:c r="G6" t="str">
        <x:v>NO</x:v>
      </x:c>
      <x:c r="H6" t="str">
        <x:v>NO</x:v>
      </x:c>
      <x:c r="I6" t="str">
        <x:v>NO</x:v>
      </x:c>
      <x:c r="J6" t="str">
        <x:v>NO</x:v>
      </x:c>
      <x:c r="K6" t="str">
        <x:f>IF(COUNTIF(B6:J6,"YES")=9,"READY","HOLD")</x:f>
        <x:v>HOLD</x:v>
      </x:c>
    </x:row>
    <x:row r="7">
      <x:c r="A7" t="str">
        <x:v>SLQ–WIS</x:v>
      </x:c>
      <x:c r="B7" t="str">
        <x:v>NO</x:v>
      </x:c>
      <x:c r="C7" t="str">
        <x:v>NO</x:v>
      </x:c>
      <x:c r="D7" t="str">
        <x:v>NO</x:v>
      </x:c>
      <x:c r="E7" t="str">
        <x:v>NO</x:v>
      </x:c>
      <x:c r="F7" t="str">
        <x:v>NO</x:v>
      </x:c>
      <x:c r="G7" t="str">
        <x:v>NO</x:v>
      </x:c>
      <x:c r="H7" t="str">
        <x:v>NO</x:v>
      </x:c>
      <x:c r="I7" t="str">
        <x:v>NO</x:v>
      </x:c>
      <x:c r="J7" t="str">
        <x:v>NO</x:v>
      </x:c>
      <x:c r="K7" t="str">
        <x:f>IF(COUNTIF(B7:J7,"YES")=9,"READY","HOLD")</x:f>
        <x:v>HOLD</x:v>
      </x:c>
    </x:row>
    <x:row r="8">
      <x:c r="A8" t="str">
        <x:v>NQO–NQD</x:v>
      </x:c>
      <x:c r="B8" t="str">
        <x:v>NO</x:v>
      </x:c>
      <x:c r="C8" t="str">
        <x:v>NO</x:v>
      </x:c>
      <x:c r="D8" t="str">
        <x:v>NO</x:v>
      </x:c>
      <x:c r="E8" t="str">
        <x:v>NO</x:v>
      </x:c>
      <x:c r="F8" t="str">
        <x:v>NO</x:v>
      </x:c>
      <x:c r="G8" t="str">
        <x:v>NO</x:v>
      </x:c>
      <x:c r="H8" t="str">
        <x:v>NO</x:v>
      </x:c>
      <x:c r="I8" t="str">
        <x:v>NO</x:v>
      </x:c>
      <x:c r="J8" t="str">
        <x:v>NO</x:v>
      </x:c>
      <x:c r="K8" t="str">
        <x:f>IF(COUNTIF(B8:J8,"YES")=9,"READY","HOLD")</x:f>
        <x:v>HOLD</x:v>
      </x:c>
    </x:row>
    <x:row r="9">
      <x:c r="A9" t="str">
        <x:v>WIN–NC</x:v>
      </x:c>
      <x:c r="B9" t="str">
        <x:v>NO</x:v>
      </x:c>
      <x:c r="C9" t="str">
        <x:v>NO</x:v>
      </x:c>
      <x:c r="D9" t="str">
        <x:v>NO</x:v>
      </x:c>
      <x:c r="E9" t="str">
        <x:v>NO</x:v>
      </x:c>
      <x:c r="F9" t="str">
        <x:v>NO</x:v>
      </x:c>
      <x:c r="G9" t="str">
        <x:v>NO</x:v>
      </x:c>
      <x:c r="H9" t="str">
        <x:v>NO</x:v>
      </x:c>
      <x:c r="I9" t="str">
        <x:v>NO</x:v>
      </x:c>
      <x:c r="J9" t="str">
        <x:v>NO</x:v>
      </x:c>
      <x:c r="K9" t="str">
        <x:f>IF(COUNTIF(B9:J9,"YES")=9,"READY","HOLD")</x:f>
        <x:v>HOLD</x:v>
      </x:c>
    </x:row>
    <x:row r="10">
      <x:c r="A10" t="str">
        <x:v>SCA–SC1</x:v>
      </x:c>
      <x:c r="B10" t="str">
        <x:v>NO</x:v>
      </x:c>
      <x:c r="C10" t="str">
        <x:v>NO</x:v>
      </x:c>
      <x:c r="D10" t="str">
        <x:v>NO</x:v>
      </x:c>
      <x:c r="E10" t="str">
        <x:v>NO</x:v>
      </x:c>
      <x:c r="F10" t="str">
        <x:v>NO</x:v>
      </x:c>
      <x:c r="G10" t="str">
        <x:v>NO</x:v>
      </x:c>
      <x:c r="H10" t="str">
        <x:v>NO</x:v>
      </x:c>
      <x:c r="I10" t="str">
        <x:v>NO</x:v>
      </x:c>
      <x:c r="J10" t="str">
        <x:v>NO</x:v>
      </x:c>
      <x:c r="K10" t="str">
        <x:f>IF(COUNTIF(B10:J10,"YES")=9,"READY","HOLD")</x:f>
        <x:v>HOLD</x:v>
      </x:c>
    </x:row>
    <x:row r="11">
      <x:c r="A11" t="str">
        <x:v>SCA–SCF</x:v>
      </x:c>
      <x:c r="B11" t="str">
        <x:v>NO</x:v>
      </x:c>
      <x:c r="C11" t="str">
        <x:v>NO</x:v>
      </x:c>
      <x:c r="D11" t="str">
        <x:v>NO</x:v>
      </x:c>
      <x:c r="E11" t="str">
        <x:v>NO</x:v>
      </x:c>
      <x:c r="F11" t="str">
        <x:v>NO</x:v>
      </x:c>
      <x:c r="G11" t="str">
        <x:v>NO</x:v>
      </x:c>
      <x:c r="H11" t="str">
        <x:v>NO</x:v>
      </x:c>
      <x:c r="I11" t="str">
        <x:v>NO</x:v>
      </x:c>
      <x:c r="J11" t="str">
        <x:v>NO</x:v>
      </x:c>
      <x:c r="K11" t="str">
        <x:f>IF(COUNTIF(B11:J11,"YES")=9,"READY","HOLD")</x:f>
        <x:v>HOLD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>
      <x:c r="A1" s="6" t="str">
        <x:v>Week</x:v>
      </x:c>
      <x:c r="B1" s="6" t="str">
        <x:v>Date start</x:v>
      </x:c>
      <x:c r="C1" s="6" t="str">
        <x:v>Bridge</x:v>
      </x:c>
      <x:c r="D1" s="6" t="str">
        <x:v>Planned accepted qty</x:v>
      </x:c>
      <x:c r="E1" s="6" t="str">
        <x:v>Actual accepted qty</x:v>
      </x:c>
      <x:c r="F1" s="6" t="str">
        <x:v>Productive crew-days</x:v>
      </x:c>
      <x:c r="G1" s="6" t="str">
        <x:v>Vessel productive days</x:v>
      </x:c>
      <x:c r="H1" s="6" t="str">
        <x:v>Weather standby days</x:v>
      </x:c>
      <x:c r="I1" s="6" t="str">
        <x:v>Permit standby days</x:v>
      </x:c>
      <x:c r="J1" s="6" t="str">
        <x:v>Material standby days</x:v>
      </x:c>
      <x:c r="K1" s="6" t="str">
        <x:v>Inspection hold days</x:v>
      </x:c>
      <x:c r="L1" s="6" t="str">
        <x:v>Forecast day</x:v>
      </x:c>
      <x:c r="M1" s="6" t="str">
        <x:v>Recovery owner</x:v>
      </x:c>
    </x:row>
    <x:row r="2">
      <x:c r="A2" t="n">
        <x:v>1</x:v>
      </x:c>
      <x:c r="B2" t="str"/>
      <x:c r="C2" t="str">
        <x:v>ICW–ICG UD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/>
      <x:c r="M2" t="str"/>
    </x:row>
    <x:row r="3">
      <x:c r="A3" t="n">
        <x:v>1</x:v>
      </x:c>
      <x:c r="B3" t="str"/>
      <x:c r="C3" t="str">
        <x:v>ICW–ICG LD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/>
      <x:c r="M3" t="str"/>
    </x:row>
    <x:row r="4">
      <x:c r="A4" t="n">
        <x:v>1</x:v>
      </x:c>
      <x:c r="B4" t="str"/>
      <x:c r="C4" t="str">
        <x:v>ICG–ICP UD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/>
      <x:c r="M4" t="str"/>
    </x:row>
    <x:row r="5">
      <x:c r="A5" t="n">
        <x:v>1</x:v>
      </x:c>
      <x:c r="B5" t="str"/>
      <x:c r="C5" t="str">
        <x:v>ICG–ICP LD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/>
      <x:c r="M5" t="str"/>
    </x:row>
    <x:row r="6">
      <x:c r="A6" t="n">
        <x:v>1</x:v>
      </x:c>
      <x:c r="B6" t="str"/>
      <x:c r="C6" t="str">
        <x:v>BHS–SLQ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/>
      <x:c r="M6" t="str"/>
    </x:row>
    <x:row r="7">
      <x:c r="A7" t="n">
        <x:v>1</x:v>
      </x:c>
      <x:c r="B7" t="str"/>
      <x:c r="C7" t="str">
        <x:v>SLQ–WIS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/>
      <x:c r="M7" t="str"/>
    </x:row>
    <x:row r="8">
      <x:c r="A8" t="n">
        <x:v>1</x:v>
      </x:c>
      <x:c r="B8" t="str"/>
      <x:c r="C8" t="str">
        <x:v>NQO–NQD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/>
      <x:c r="M8" t="str"/>
    </x:row>
    <x:row r="9">
      <x:c r="A9" t="n">
        <x:v>1</x:v>
      </x:c>
      <x:c r="B9" t="str"/>
      <x:c r="C9" t="str">
        <x:v>WIN–NC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/>
      <x:c r="M9" t="str"/>
    </x:row>
    <x:row r="10">
      <x:c r="A10" t="n">
        <x:v>1</x:v>
      </x:c>
      <x:c r="B10" t="str"/>
      <x:c r="C10" t="str">
        <x:v>SCA–SC1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/>
      <x:c r="M10" t="str"/>
    </x:row>
    <x:row r="11">
      <x:c r="A11" t="n">
        <x:v>1</x:v>
      </x:c>
      <x:c r="B11" t="str"/>
      <x:c r="C11" t="str">
        <x:v>SCA–SCF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/>
      <x:c r="M11" t="str"/>
    </x:row>
    <x:row r="12">
      <x:c r="A12" t="n">
        <x:v>2</x:v>
      </x:c>
      <x:c r="B12" t="str"/>
      <x:c r="C12" t="str">
        <x:v>ICW–ICG UD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/>
      <x:c r="M12" t="str"/>
    </x:row>
    <x:row r="13">
      <x:c r="A13" t="n">
        <x:v>2</x:v>
      </x:c>
      <x:c r="B13" t="str"/>
      <x:c r="C13" t="str">
        <x:v>ICW–ICG LD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/>
      <x:c r="M13" t="str"/>
    </x:row>
    <x:row r="14">
      <x:c r="A14" t="n">
        <x:v>2</x:v>
      </x:c>
      <x:c r="B14" t="str"/>
      <x:c r="C14" t="str">
        <x:v>ICG–ICP UD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/>
      <x:c r="M14" t="str"/>
    </x:row>
    <x:row r="15">
      <x:c r="A15" t="n">
        <x:v>2</x:v>
      </x:c>
      <x:c r="B15" t="str"/>
      <x:c r="C15" t="str">
        <x:v>ICG–ICP LD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/>
      <x:c r="M15" t="str"/>
    </x:row>
    <x:row r="16">
      <x:c r="A16" t="n">
        <x:v>2</x:v>
      </x:c>
      <x:c r="B16" t="str"/>
      <x:c r="C16" t="str">
        <x:v>BHS–SLQ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/>
      <x:c r="M16" t="str"/>
    </x:row>
    <x:row r="17">
      <x:c r="A17" t="n">
        <x:v>2</x:v>
      </x:c>
      <x:c r="B17" t="str"/>
      <x:c r="C17" t="str">
        <x:v>SLQ–WIS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/>
      <x:c r="M17" t="str"/>
    </x:row>
    <x:row r="18">
      <x:c r="A18" t="n">
        <x:v>2</x:v>
      </x:c>
      <x:c r="B18" t="str"/>
      <x:c r="C18" t="str">
        <x:v>NQO–NQD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/>
      <x:c r="M18" t="str"/>
    </x:row>
    <x:row r="19">
      <x:c r="A19" t="n">
        <x:v>2</x:v>
      </x:c>
      <x:c r="B19" t="str"/>
      <x:c r="C19" t="str">
        <x:v>WIN–NC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/>
      <x:c r="M19" t="str"/>
    </x:row>
    <x:row r="20">
      <x:c r="A20" t="n">
        <x:v>2</x:v>
      </x:c>
      <x:c r="B20" t="str"/>
      <x:c r="C20" t="str">
        <x:v>SCA–SC1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/>
      <x:c r="M20" t="str"/>
    </x:row>
    <x:row r="21">
      <x:c r="A21" t="n">
        <x:v>2</x:v>
      </x:c>
      <x:c r="B21" t="str"/>
      <x:c r="C21" t="str">
        <x:v>SCA–SCF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/>
      <x:c r="M21" t="str"/>
    </x:row>
    <x:row r="22">
      <x:c r="A22" t="n">
        <x:v>3</x:v>
      </x:c>
      <x:c r="B22" t="str"/>
      <x:c r="C22" t="str">
        <x:v>ICW–ICG UD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/>
      <x:c r="M22" t="str"/>
    </x:row>
    <x:row r="23">
      <x:c r="A23" t="n">
        <x:v>3</x:v>
      </x:c>
      <x:c r="B23" t="str"/>
      <x:c r="C23" t="str">
        <x:v>ICW–ICG LD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/>
      <x:c r="M23" t="str"/>
    </x:row>
    <x:row r="24">
      <x:c r="A24" t="n">
        <x:v>3</x:v>
      </x:c>
      <x:c r="B24" t="str"/>
      <x:c r="C24" t="str">
        <x:v>ICG–ICP UD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/>
      <x:c r="M24" t="str"/>
    </x:row>
    <x:row r="25">
      <x:c r="A25" t="n">
        <x:v>3</x:v>
      </x:c>
      <x:c r="B25" t="str"/>
      <x:c r="C25" t="str">
        <x:v>ICG–ICP LD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/>
      <x:c r="M25" t="str"/>
    </x:row>
    <x:row r="26">
      <x:c r="A26" t="n">
        <x:v>3</x:v>
      </x:c>
      <x:c r="B26" t="str"/>
      <x:c r="C26" t="str">
        <x:v>BHS–SLQ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/>
      <x:c r="M26" t="str"/>
    </x:row>
    <x:row r="27">
      <x:c r="A27" t="n">
        <x:v>3</x:v>
      </x:c>
      <x:c r="B27" t="str"/>
      <x:c r="C27" t="str">
        <x:v>SLQ–WIS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/>
      <x:c r="M27" t="str"/>
    </x:row>
    <x:row r="28">
      <x:c r="A28" t="n">
        <x:v>3</x:v>
      </x:c>
      <x:c r="B28" t="str"/>
      <x:c r="C28" t="str">
        <x:v>NQO–NQD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/>
      <x:c r="M28" t="str"/>
    </x:row>
    <x:row r="29">
      <x:c r="A29" t="n">
        <x:v>3</x:v>
      </x:c>
      <x:c r="B29" t="str"/>
      <x:c r="C29" t="str">
        <x:v>WIN–NC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/>
      <x:c r="M29" t="str"/>
    </x:row>
    <x:row r="30">
      <x:c r="A30" t="n">
        <x:v>3</x:v>
      </x:c>
      <x:c r="B30" t="str"/>
      <x:c r="C30" t="str">
        <x:v>SCA–SC1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/>
      <x:c r="M30" t="str"/>
    </x:row>
    <x:row r="31">
      <x:c r="A31" t="n">
        <x:v>3</x:v>
      </x:c>
      <x:c r="B31" t="str"/>
      <x:c r="C31" t="str">
        <x:v>SCA–SCF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/>
      <x:c r="M31" t="str"/>
    </x:row>
    <x:row r="32">
      <x:c r="A32" t="n">
        <x:v>4</x:v>
      </x:c>
      <x:c r="B32" t="str"/>
      <x:c r="C32" t="str">
        <x:v>ICW–ICG UD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/>
      <x:c r="M32" t="str"/>
    </x:row>
    <x:row r="33">
      <x:c r="A33" t="n">
        <x:v>4</x:v>
      </x:c>
      <x:c r="B33" t="str"/>
      <x:c r="C33" t="str">
        <x:v>ICW–ICG LD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/>
      <x:c r="M33" t="str"/>
    </x:row>
    <x:row r="34">
      <x:c r="A34" t="n">
        <x:v>4</x:v>
      </x:c>
      <x:c r="B34" t="str"/>
      <x:c r="C34" t="str">
        <x:v>ICG–ICP UD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/>
      <x:c r="M34" t="str"/>
    </x:row>
    <x:row r="35">
      <x:c r="A35" t="n">
        <x:v>4</x:v>
      </x:c>
      <x:c r="B35" t="str"/>
      <x:c r="C35" t="str">
        <x:v>ICG–ICP LD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/>
      <x:c r="M35" t="str"/>
    </x:row>
    <x:row r="36">
      <x:c r="A36" t="n">
        <x:v>4</x:v>
      </x:c>
      <x:c r="B36" t="str"/>
      <x:c r="C36" t="str">
        <x:v>BHS–SLQ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/>
      <x:c r="M36" t="str"/>
    </x:row>
    <x:row r="37">
      <x:c r="A37" t="n">
        <x:v>4</x:v>
      </x:c>
      <x:c r="B37" t="str"/>
      <x:c r="C37" t="str">
        <x:v>SLQ–WIS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/>
      <x:c r="M37" t="str"/>
    </x:row>
    <x:row r="38">
      <x:c r="A38" t="n">
        <x:v>4</x:v>
      </x:c>
      <x:c r="B38" t="str"/>
      <x:c r="C38" t="str">
        <x:v>NQO–NQD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/>
      <x:c r="M38" t="str"/>
    </x:row>
    <x:row r="39">
      <x:c r="A39" t="n">
        <x:v>4</x:v>
      </x:c>
      <x:c r="B39" t="str"/>
      <x:c r="C39" t="str">
        <x:v>WIN–NC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/>
      <x:c r="M39" t="str"/>
    </x:row>
    <x:row r="40">
      <x:c r="A40" t="n">
        <x:v>4</x:v>
      </x:c>
      <x:c r="B40" t="str"/>
      <x:c r="C40" t="str">
        <x:v>SCA–SC1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/>
      <x:c r="M40" t="str"/>
    </x:row>
    <x:row r="41">
      <x:c r="A41" t="n">
        <x:v>4</x:v>
      </x:c>
      <x:c r="B41" t="str"/>
      <x:c r="C41" t="str">
        <x:v>SCA–SCF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/>
      <x:c r="M41" t="str"/>
    </x:row>
    <x:row r="42">
      <x:c r="A42" t="n">
        <x:v>5</x:v>
      </x:c>
      <x:c r="B42" t="str"/>
      <x:c r="C42" t="str">
        <x:v>ICW–ICG UD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/>
      <x:c r="M42" t="str"/>
    </x:row>
    <x:row r="43">
      <x:c r="A43" t="n">
        <x:v>5</x:v>
      </x:c>
      <x:c r="B43" t="str"/>
      <x:c r="C43" t="str">
        <x:v>ICW–ICG LD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/>
      <x:c r="M43" t="str"/>
    </x:row>
    <x:row r="44">
      <x:c r="A44" t="n">
        <x:v>5</x:v>
      </x:c>
      <x:c r="B44" t="str"/>
      <x:c r="C44" t="str">
        <x:v>ICG–ICP UD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/>
      <x:c r="M44" t="str"/>
    </x:row>
    <x:row r="45">
      <x:c r="A45" t="n">
        <x:v>5</x:v>
      </x:c>
      <x:c r="B45" t="str"/>
      <x:c r="C45" t="str">
        <x:v>ICG–ICP LD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/>
      <x:c r="M45" t="str"/>
    </x:row>
    <x:row r="46">
      <x:c r="A46" t="n">
        <x:v>5</x:v>
      </x:c>
      <x:c r="B46" t="str"/>
      <x:c r="C46" t="str">
        <x:v>BHS–SLQ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/>
      <x:c r="M46" t="str"/>
    </x:row>
    <x:row r="47">
      <x:c r="A47" t="n">
        <x:v>5</x:v>
      </x:c>
      <x:c r="B47" t="str"/>
      <x:c r="C47" t="str">
        <x:v>SLQ–WIS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/>
      <x:c r="M47" t="str"/>
    </x:row>
    <x:row r="48">
      <x:c r="A48" t="n">
        <x:v>5</x:v>
      </x:c>
      <x:c r="B48" t="str"/>
      <x:c r="C48" t="str">
        <x:v>NQO–NQD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/>
      <x:c r="M48" t="str"/>
    </x:row>
    <x:row r="49">
      <x:c r="A49" t="n">
        <x:v>5</x:v>
      </x:c>
      <x:c r="B49" t="str"/>
      <x:c r="C49" t="str">
        <x:v>WIN–NC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/>
      <x:c r="M49" t="str"/>
    </x:row>
    <x:row r="50">
      <x:c r="A50" t="n">
        <x:v>5</x:v>
      </x:c>
      <x:c r="B50" t="str"/>
      <x:c r="C50" t="str">
        <x:v>SCA–SC1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/>
      <x:c r="M50" t="str"/>
    </x:row>
    <x:row r="51">
      <x:c r="A51" t="n">
        <x:v>5</x:v>
      </x:c>
      <x:c r="B51" t="str"/>
      <x:c r="C51" t="str">
        <x:v>SCA–SCF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/>
      <x:c r="M51" t="str"/>
    </x:row>
    <x:row r="52">
      <x:c r="A52" t="n">
        <x:v>6</x:v>
      </x:c>
      <x:c r="B52" t="str"/>
      <x:c r="C52" t="str">
        <x:v>ICW–ICG UD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/>
      <x:c r="M52" t="str"/>
    </x:row>
    <x:row r="53">
      <x:c r="A53" t="n">
        <x:v>6</x:v>
      </x:c>
      <x:c r="B53" t="str"/>
      <x:c r="C53" t="str">
        <x:v>ICW–ICG LD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/>
      <x:c r="M53" t="str"/>
    </x:row>
    <x:row r="54">
      <x:c r="A54" t="n">
        <x:v>6</x:v>
      </x:c>
      <x:c r="B54" t="str"/>
      <x:c r="C54" t="str">
        <x:v>ICG–ICP UD</x:v>
      </x:c>
      <x:c r="D54" t="n">
        <x:v>0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/>
      <x:c r="M54" t="str"/>
    </x:row>
    <x:row r="55">
      <x:c r="A55" t="n">
        <x:v>6</x:v>
      </x:c>
      <x:c r="B55" t="str"/>
      <x:c r="C55" t="str">
        <x:v>ICG–ICP LD</x:v>
      </x:c>
      <x:c r="D55" t="n">
        <x:v>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/>
      <x:c r="M55" t="str"/>
    </x:row>
    <x:row r="56">
      <x:c r="A56" t="n">
        <x:v>6</x:v>
      </x:c>
      <x:c r="B56" t="str"/>
      <x:c r="C56" t="str">
        <x:v>BHS–SLQ</x:v>
      </x:c>
      <x:c r="D56" t="n">
        <x:v>0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/>
      <x:c r="M56" t="str"/>
    </x:row>
    <x:row r="57">
      <x:c r="A57" t="n">
        <x:v>6</x:v>
      </x:c>
      <x:c r="B57" t="str"/>
      <x:c r="C57" t="str">
        <x:v>SLQ–WIS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/>
      <x:c r="M57" t="str"/>
    </x:row>
    <x:row r="58">
      <x:c r="A58" t="n">
        <x:v>6</x:v>
      </x:c>
      <x:c r="B58" t="str"/>
      <x:c r="C58" t="str">
        <x:v>NQO–NQD</x:v>
      </x:c>
      <x:c r="D58" t="n">
        <x:v>0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/>
      <x:c r="M58" t="str"/>
    </x:row>
    <x:row r="59">
      <x:c r="A59" t="n">
        <x:v>6</x:v>
      </x:c>
      <x:c r="B59" t="str"/>
      <x:c r="C59" t="str">
        <x:v>WIN–NC</x:v>
      </x:c>
      <x:c r="D59" t="n">
        <x:v>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/>
      <x:c r="M59" t="str"/>
    </x:row>
    <x:row r="60">
      <x:c r="A60" t="n">
        <x:v>6</x:v>
      </x:c>
      <x:c r="B60" t="str"/>
      <x:c r="C60" t="str">
        <x:v>SCA–SC1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/>
      <x:c r="M60" t="str"/>
    </x:row>
    <x:row r="61">
      <x:c r="A61" t="n">
        <x:v>6</x:v>
      </x:c>
      <x:c r="B61" t="str"/>
      <x:c r="C61" t="str">
        <x:v>SCA–SCF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/>
      <x:c r="M61" t="str"/>
    </x:row>
    <x:row r="62">
      <x:c r="A62" t="n">
        <x:v>7</x:v>
      </x:c>
      <x:c r="B62" t="str"/>
      <x:c r="C62" t="str">
        <x:v>ICW–ICG UD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/>
      <x:c r="M62" t="str"/>
    </x:row>
    <x:row r="63">
      <x:c r="A63" t="n">
        <x:v>7</x:v>
      </x:c>
      <x:c r="B63" t="str"/>
      <x:c r="C63" t="str">
        <x:v>ICW–ICG LD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/>
      <x:c r="M63" t="str"/>
    </x:row>
    <x:row r="64">
      <x:c r="A64" t="n">
        <x:v>7</x:v>
      </x:c>
      <x:c r="B64" t="str"/>
      <x:c r="C64" t="str">
        <x:v>ICG–ICP UD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/>
      <x:c r="M64" t="str"/>
    </x:row>
    <x:row r="65">
      <x:c r="A65" t="n">
        <x:v>7</x:v>
      </x:c>
      <x:c r="B65" t="str"/>
      <x:c r="C65" t="str">
        <x:v>ICG–ICP LD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/>
      <x:c r="M65" t="str"/>
    </x:row>
    <x:row r="66">
      <x:c r="A66" t="n">
        <x:v>7</x:v>
      </x:c>
      <x:c r="B66" t="str"/>
      <x:c r="C66" t="str">
        <x:v>BHS–SLQ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/>
      <x:c r="M66" t="str"/>
    </x:row>
    <x:row r="67">
      <x:c r="A67" t="n">
        <x:v>7</x:v>
      </x:c>
      <x:c r="B67" t="str"/>
      <x:c r="C67" t="str">
        <x:v>SLQ–WIS</x:v>
      </x:c>
      <x:c r="D67" t="n">
        <x:v>0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/>
      <x:c r="M67" t="str"/>
    </x:row>
    <x:row r="68">
      <x:c r="A68" t="n">
        <x:v>7</x:v>
      </x:c>
      <x:c r="B68" t="str"/>
      <x:c r="C68" t="str">
        <x:v>NQO–NQD</x:v>
      </x:c>
      <x:c r="D68" t="n">
        <x:v>0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/>
      <x:c r="M68" t="str"/>
    </x:row>
    <x:row r="69">
      <x:c r="A69" t="n">
        <x:v>7</x:v>
      </x:c>
      <x:c r="B69" t="str"/>
      <x:c r="C69" t="str">
        <x:v>WIN–NC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/>
      <x:c r="M69" t="str"/>
    </x:row>
    <x:row r="70">
      <x:c r="A70" t="n">
        <x:v>7</x:v>
      </x:c>
      <x:c r="B70" t="str"/>
      <x:c r="C70" t="str">
        <x:v>SCA–SC1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/>
      <x:c r="M70" t="str"/>
    </x:row>
    <x:row r="71">
      <x:c r="A71" t="n">
        <x:v>7</x:v>
      </x:c>
      <x:c r="B71" t="str"/>
      <x:c r="C71" t="str">
        <x:v>SCA–SCF</x:v>
      </x:c>
      <x:c r="D71" t="n">
        <x:v>0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/>
      <x:c r="M71" t="str"/>
    </x:row>
    <x:row r="72">
      <x:c r="A72" t="n">
        <x:v>8</x:v>
      </x:c>
      <x:c r="B72" t="str"/>
      <x:c r="C72" t="str">
        <x:v>ICW–ICG UD</x:v>
      </x:c>
      <x:c r="D72" t="n">
        <x:v>0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/>
      <x:c r="M72" t="str"/>
    </x:row>
    <x:row r="73">
      <x:c r="A73" t="n">
        <x:v>8</x:v>
      </x:c>
      <x:c r="B73" t="str"/>
      <x:c r="C73" t="str">
        <x:v>ICW–ICG LD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/>
      <x:c r="M73" t="str"/>
    </x:row>
    <x:row r="74">
      <x:c r="A74" t="n">
        <x:v>8</x:v>
      </x:c>
      <x:c r="B74" t="str"/>
      <x:c r="C74" t="str">
        <x:v>ICG–ICP UD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/>
      <x:c r="M74" t="str"/>
    </x:row>
    <x:row r="75">
      <x:c r="A75" t="n">
        <x:v>8</x:v>
      </x:c>
      <x:c r="B75" t="str"/>
      <x:c r="C75" t="str">
        <x:v>ICG–ICP LD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/>
      <x:c r="M75" t="str"/>
    </x:row>
    <x:row r="76">
      <x:c r="A76" t="n">
        <x:v>8</x:v>
      </x:c>
      <x:c r="B76" t="str"/>
      <x:c r="C76" t="str">
        <x:v>BHS–SLQ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/>
      <x:c r="M76" t="str"/>
    </x:row>
    <x:row r="77">
      <x:c r="A77" t="n">
        <x:v>8</x:v>
      </x:c>
      <x:c r="B77" t="str"/>
      <x:c r="C77" t="str">
        <x:v>SLQ–WIS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/>
      <x:c r="M77" t="str"/>
    </x:row>
    <x:row r="78">
      <x:c r="A78" t="n">
        <x:v>8</x:v>
      </x:c>
      <x:c r="B78" t="str"/>
      <x:c r="C78" t="str">
        <x:v>NQO–NQD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/>
      <x:c r="M78" t="str"/>
    </x:row>
    <x:row r="79">
      <x:c r="A79" t="n">
        <x:v>8</x:v>
      </x:c>
      <x:c r="B79" t="str"/>
      <x:c r="C79" t="str">
        <x:v>WIN–NC</x:v>
      </x:c>
      <x:c r="D79" t="n">
        <x:v>0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/>
      <x:c r="M79" t="str"/>
    </x:row>
    <x:row r="80">
      <x:c r="A80" t="n">
        <x:v>8</x:v>
      </x:c>
      <x:c r="B80" t="str"/>
      <x:c r="C80" t="str">
        <x:v>SCA–SC1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/>
      <x:c r="M80" t="str"/>
    </x:row>
    <x:row r="81">
      <x:c r="A81" t="n">
        <x:v>8</x:v>
      </x:c>
      <x:c r="B81" t="str"/>
      <x:c r="C81" t="str">
        <x:v>SCA–SCF</x:v>
      </x:c>
      <x:c r="D81" t="n">
        <x:v>0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/>
      <x:c r="M81" t="str"/>
    </x:row>
    <x:row r="82">
      <x:c r="A82" t="n">
        <x:v>9</x:v>
      </x:c>
      <x:c r="B82" t="str"/>
      <x:c r="C82" t="str">
        <x:v>ICW–ICG UD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/>
      <x:c r="M82" t="str"/>
    </x:row>
    <x:row r="83">
      <x:c r="A83" t="n">
        <x:v>9</x:v>
      </x:c>
      <x:c r="B83" t="str"/>
      <x:c r="C83" t="str">
        <x:v>ICW–ICG LD</x:v>
      </x:c>
      <x:c r="D83" t="n">
        <x:v>0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/>
      <x:c r="M83" t="str"/>
    </x:row>
    <x:row r="84">
      <x:c r="A84" t="n">
        <x:v>9</x:v>
      </x:c>
      <x:c r="B84" t="str"/>
      <x:c r="C84" t="str">
        <x:v>ICG–ICP UD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/>
      <x:c r="M84" t="str"/>
    </x:row>
    <x:row r="85">
      <x:c r="A85" t="n">
        <x:v>9</x:v>
      </x:c>
      <x:c r="B85" t="str"/>
      <x:c r="C85" t="str">
        <x:v>ICG–ICP LD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/>
      <x:c r="M85" t="str"/>
    </x:row>
    <x:row r="86">
      <x:c r="A86" t="n">
        <x:v>9</x:v>
      </x:c>
      <x:c r="B86" t="str"/>
      <x:c r="C86" t="str">
        <x:v>BHS–SLQ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/>
      <x:c r="M86" t="str"/>
    </x:row>
    <x:row r="87">
      <x:c r="A87" t="n">
        <x:v>9</x:v>
      </x:c>
      <x:c r="B87" t="str"/>
      <x:c r="C87" t="str">
        <x:v>SLQ–WIS</x:v>
      </x:c>
      <x:c r="D87" t="n">
        <x:v>0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/>
      <x:c r="M87" t="str"/>
    </x:row>
    <x:row r="88">
      <x:c r="A88" t="n">
        <x:v>9</x:v>
      </x:c>
      <x:c r="B88" t="str"/>
      <x:c r="C88" t="str">
        <x:v>NQO–NQD</x:v>
      </x:c>
      <x:c r="D88" t="n">
        <x:v>0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/>
      <x:c r="M88" t="str"/>
    </x:row>
    <x:row r="89">
      <x:c r="A89" t="n">
        <x:v>9</x:v>
      </x:c>
      <x:c r="B89" t="str"/>
      <x:c r="C89" t="str">
        <x:v>WIN–NC</x:v>
      </x:c>
      <x:c r="D89" t="n">
        <x:v>0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/>
      <x:c r="M89" t="str"/>
    </x:row>
    <x:row r="90">
      <x:c r="A90" t="n">
        <x:v>9</x:v>
      </x:c>
      <x:c r="B90" t="str"/>
      <x:c r="C90" t="str">
        <x:v>SCA–SC1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/>
      <x:c r="M90" t="str"/>
    </x:row>
    <x:row r="91">
      <x:c r="A91" t="n">
        <x:v>9</x:v>
      </x:c>
      <x:c r="B91" t="str"/>
      <x:c r="C91" t="str">
        <x:v>SCA–SCF</x:v>
      </x:c>
      <x:c r="D91" t="n">
        <x:v>0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/>
      <x:c r="M91" t="str"/>
    </x:row>
    <x:row r="92">
      <x:c r="A92" t="n">
        <x:v>10</x:v>
      </x:c>
      <x:c r="B92" t="str"/>
      <x:c r="C92" t="str">
        <x:v>ICW–ICG UD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/>
      <x:c r="M92" t="str"/>
    </x:row>
    <x:row r="93">
      <x:c r="A93" t="n">
        <x:v>10</x:v>
      </x:c>
      <x:c r="B93" t="str"/>
      <x:c r="C93" t="str">
        <x:v>ICW–ICG LD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/>
      <x:c r="M93" t="str"/>
    </x:row>
    <x:row r="94">
      <x:c r="A94" t="n">
        <x:v>10</x:v>
      </x:c>
      <x:c r="B94" t="str"/>
      <x:c r="C94" t="str">
        <x:v>ICG–ICP UD</x:v>
      </x:c>
      <x:c r="D94" t="n">
        <x:v>0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/>
      <x:c r="M94" t="str"/>
    </x:row>
    <x:row r="95">
      <x:c r="A95" t="n">
        <x:v>10</x:v>
      </x:c>
      <x:c r="B95" t="str"/>
      <x:c r="C95" t="str">
        <x:v>ICG–ICP LD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/>
      <x:c r="M95" t="str"/>
    </x:row>
    <x:row r="96">
      <x:c r="A96" t="n">
        <x:v>10</x:v>
      </x:c>
      <x:c r="B96" t="str"/>
      <x:c r="C96" t="str">
        <x:v>BHS–SLQ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/>
      <x:c r="M96" t="str"/>
    </x:row>
    <x:row r="97">
      <x:c r="A97" t="n">
        <x:v>10</x:v>
      </x:c>
      <x:c r="B97" t="str"/>
      <x:c r="C97" t="str">
        <x:v>SLQ–WIS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/>
      <x:c r="M97" t="str"/>
    </x:row>
    <x:row r="98">
      <x:c r="A98" t="n">
        <x:v>10</x:v>
      </x:c>
      <x:c r="B98" t="str"/>
      <x:c r="C98" t="str">
        <x:v>NQO–NQD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/>
      <x:c r="M98" t="str"/>
    </x:row>
    <x:row r="99">
      <x:c r="A99" t="n">
        <x:v>10</x:v>
      </x:c>
      <x:c r="B99" t="str"/>
      <x:c r="C99" t="str">
        <x:v>WIN–NC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/>
      <x:c r="M99" t="str"/>
    </x:row>
    <x:row r="100">
      <x:c r="A100" t="n">
        <x:v>10</x:v>
      </x:c>
      <x:c r="B100" t="str"/>
      <x:c r="C100" t="str">
        <x:v>SCA–SC1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/>
      <x:c r="M100" t="str"/>
    </x:row>
    <x:row r="101">
      <x:c r="A101" t="n">
        <x:v>10</x:v>
      </x:c>
      <x:c r="B101" t="str"/>
      <x:c r="C101" t="str">
        <x:v>SCA–SCF</x:v>
      </x:c>
      <x:c r="D101" t="n">
        <x:v>0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/>
      <x:c r="M101" t="str"/>
    </x:row>
    <x:row r="102">
      <x:c r="A102" t="n">
        <x:v>11</x:v>
      </x:c>
      <x:c r="B102" t="str"/>
      <x:c r="C102" t="str">
        <x:v>ICW–ICG UD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/>
      <x:c r="M102" t="str"/>
    </x:row>
    <x:row r="103">
      <x:c r="A103" t="n">
        <x:v>11</x:v>
      </x:c>
      <x:c r="B103" t="str"/>
      <x:c r="C103" t="str">
        <x:v>ICW–ICG LD</x:v>
      </x:c>
      <x:c r="D103" t="n">
        <x:v>0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/>
      <x:c r="M103" t="str"/>
    </x:row>
    <x:row r="104">
      <x:c r="A104" t="n">
        <x:v>11</x:v>
      </x:c>
      <x:c r="B104" t="str"/>
      <x:c r="C104" t="str">
        <x:v>ICG–ICP UD</x:v>
      </x:c>
      <x:c r="D104" t="n">
        <x:v>0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/>
      <x:c r="M104" t="str"/>
    </x:row>
    <x:row r="105">
      <x:c r="A105" t="n">
        <x:v>11</x:v>
      </x:c>
      <x:c r="B105" t="str"/>
      <x:c r="C105" t="str">
        <x:v>ICG–ICP LD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/>
      <x:c r="M105" t="str"/>
    </x:row>
    <x:row r="106">
      <x:c r="A106" t="n">
        <x:v>11</x:v>
      </x:c>
      <x:c r="B106" t="str"/>
      <x:c r="C106" t="str">
        <x:v>BHS–SLQ</x:v>
      </x:c>
      <x:c r="D106" t="n">
        <x:v>0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/>
      <x:c r="M106" t="str"/>
    </x:row>
    <x:row r="107">
      <x:c r="A107" t="n">
        <x:v>11</x:v>
      </x:c>
      <x:c r="B107" t="str"/>
      <x:c r="C107" t="str">
        <x:v>SLQ–WIS</x:v>
      </x:c>
      <x:c r="D107" t="n">
        <x:v>0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/>
      <x:c r="M107" t="str"/>
    </x:row>
    <x:row r="108">
      <x:c r="A108" t="n">
        <x:v>11</x:v>
      </x:c>
      <x:c r="B108" t="str"/>
      <x:c r="C108" t="str">
        <x:v>NQO–NQD</x:v>
      </x:c>
      <x:c r="D108" t="n">
        <x:v>0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/>
      <x:c r="M108" t="str"/>
    </x:row>
    <x:row r="109">
      <x:c r="A109" t="n">
        <x:v>11</x:v>
      </x:c>
      <x:c r="B109" t="str"/>
      <x:c r="C109" t="str">
        <x:v>WIN–NC</x:v>
      </x:c>
      <x:c r="D109" t="n">
        <x:v>0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/>
      <x:c r="M109" t="str"/>
    </x:row>
    <x:row r="110">
      <x:c r="A110" t="n">
        <x:v>11</x:v>
      </x:c>
      <x:c r="B110" t="str"/>
      <x:c r="C110" t="str">
        <x:v>SCA–SC1</x:v>
      </x:c>
      <x:c r="D110" t="n">
        <x:v>0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/>
      <x:c r="M110" t="str"/>
    </x:row>
    <x:row r="111">
      <x:c r="A111" t="n">
        <x:v>11</x:v>
      </x:c>
      <x:c r="B111" t="str"/>
      <x:c r="C111" t="str">
        <x:v>SCA–SCF</x:v>
      </x:c>
      <x:c r="D111" t="n">
        <x:v>0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/>
      <x:c r="M111" t="str"/>
    </x:row>
    <x:row r="112">
      <x:c r="A112" t="n">
        <x:v>12</x:v>
      </x:c>
      <x:c r="B112" t="str"/>
      <x:c r="C112" t="str">
        <x:v>ICW–ICG UD</x:v>
      </x:c>
      <x:c r="D112" t="n">
        <x:v>0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/>
      <x:c r="M112" t="str"/>
    </x:row>
    <x:row r="113">
      <x:c r="A113" t="n">
        <x:v>12</x:v>
      </x:c>
      <x:c r="B113" t="str"/>
      <x:c r="C113" t="str">
        <x:v>ICW–ICG LD</x:v>
      </x:c>
      <x:c r="D113" t="n">
        <x:v>0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/>
      <x:c r="M113" t="str"/>
    </x:row>
    <x:row r="114">
      <x:c r="A114" t="n">
        <x:v>12</x:v>
      </x:c>
      <x:c r="B114" t="str"/>
      <x:c r="C114" t="str">
        <x:v>ICG–ICP UD</x:v>
      </x:c>
      <x:c r="D114" t="n">
        <x:v>0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/>
      <x:c r="M114" t="str"/>
    </x:row>
    <x:row r="115">
      <x:c r="A115" t="n">
        <x:v>12</x:v>
      </x:c>
      <x:c r="B115" t="str"/>
      <x:c r="C115" t="str">
        <x:v>ICG–ICP LD</x:v>
      </x:c>
      <x:c r="D115" t="n">
        <x:v>0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/>
      <x:c r="M115" t="str"/>
    </x:row>
    <x:row r="116">
      <x:c r="A116" t="n">
        <x:v>12</x:v>
      </x:c>
      <x:c r="B116" t="str"/>
      <x:c r="C116" t="str">
        <x:v>BHS–SLQ</x:v>
      </x:c>
      <x:c r="D116" t="n">
        <x:v>0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/>
      <x:c r="M116" t="str"/>
    </x:row>
    <x:row r="117">
      <x:c r="A117" t="n">
        <x:v>12</x:v>
      </x:c>
      <x:c r="B117" t="str"/>
      <x:c r="C117" t="str">
        <x:v>SLQ–WIS</x:v>
      </x:c>
      <x:c r="D117" t="n">
        <x:v>0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/>
      <x:c r="M117" t="str"/>
    </x:row>
    <x:row r="118">
      <x:c r="A118" t="n">
        <x:v>12</x:v>
      </x:c>
      <x:c r="B118" t="str"/>
      <x:c r="C118" t="str">
        <x:v>NQO–NQD</x:v>
      </x:c>
      <x:c r="D118" t="n">
        <x:v>0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/>
      <x:c r="M118" t="str"/>
    </x:row>
    <x:row r="119">
      <x:c r="A119" t="n">
        <x:v>12</x:v>
      </x:c>
      <x:c r="B119" t="str"/>
      <x:c r="C119" t="str">
        <x:v>WIN–NC</x:v>
      </x:c>
      <x:c r="D119" t="n">
        <x:v>0</x:v>
      </x:c>
      <x:c r="E119" t="n">
        <x:v>0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/>
      <x:c r="M119" t="str"/>
    </x:row>
    <x:row r="120">
      <x:c r="A120" t="n">
        <x:v>12</x:v>
      </x:c>
      <x:c r="B120" t="str"/>
      <x:c r="C120" t="str">
        <x:v>SCA–SC1</x:v>
      </x:c>
      <x:c r="D120" t="n">
        <x:v>0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/>
      <x:c r="M120" t="str"/>
    </x:row>
    <x:row r="121">
      <x:c r="A121" t="n">
        <x:v>12</x:v>
      </x:c>
      <x:c r="B121" t="str"/>
      <x:c r="C121" t="str">
        <x:v>SCA–SCF</x:v>
      </x:c>
      <x:c r="D121" t="n">
        <x:v>0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/>
      <x:c r="M121" t="str"/>
    </x:row>
    <x:row r="122">
      <x:c r="A122" t="n">
        <x:v>13</x:v>
      </x:c>
      <x:c r="B122" t="str"/>
      <x:c r="C122" t="str">
        <x:v>ICW–ICG UD</x:v>
      </x:c>
      <x:c r="D122" t="n">
        <x:v>0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/>
      <x:c r="M122" t="str"/>
    </x:row>
    <x:row r="123">
      <x:c r="A123" t="n">
        <x:v>13</x:v>
      </x:c>
      <x:c r="B123" t="str"/>
      <x:c r="C123" t="str">
        <x:v>ICW–ICG LD</x:v>
      </x:c>
      <x:c r="D123" t="n">
        <x:v>0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/>
      <x:c r="M123" t="str"/>
    </x:row>
    <x:row r="124">
      <x:c r="A124" t="n">
        <x:v>13</x:v>
      </x:c>
      <x:c r="B124" t="str"/>
      <x:c r="C124" t="str">
        <x:v>ICG–ICP UD</x:v>
      </x:c>
      <x:c r="D124" t="n">
        <x:v>0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/>
      <x:c r="M124" t="str"/>
    </x:row>
    <x:row r="125">
      <x:c r="A125" t="n">
        <x:v>13</x:v>
      </x:c>
      <x:c r="B125" t="str"/>
      <x:c r="C125" t="str">
        <x:v>ICG–ICP LD</x:v>
      </x:c>
      <x:c r="D125" t="n">
        <x:v>0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/>
      <x:c r="M125" t="str"/>
    </x:row>
    <x:row r="126">
      <x:c r="A126" t="n">
        <x:v>13</x:v>
      </x:c>
      <x:c r="B126" t="str"/>
      <x:c r="C126" t="str">
        <x:v>BHS–SLQ</x:v>
      </x:c>
      <x:c r="D126" t="n">
        <x:v>0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/>
      <x:c r="M126" t="str"/>
    </x:row>
    <x:row r="127">
      <x:c r="A127" t="n">
        <x:v>13</x:v>
      </x:c>
      <x:c r="B127" t="str"/>
      <x:c r="C127" t="str">
        <x:v>SLQ–WIS</x:v>
      </x:c>
      <x:c r="D127" t="n">
        <x:v>0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/>
      <x:c r="M127" t="str"/>
    </x:row>
    <x:row r="128">
      <x:c r="A128" t="n">
        <x:v>13</x:v>
      </x:c>
      <x:c r="B128" t="str"/>
      <x:c r="C128" t="str">
        <x:v>NQO–NQD</x:v>
      </x:c>
      <x:c r="D128" t="n">
        <x:v>0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/>
      <x:c r="M128" t="str"/>
    </x:row>
    <x:row r="129">
      <x:c r="A129" t="n">
        <x:v>13</x:v>
      </x:c>
      <x:c r="B129" t="str"/>
      <x:c r="C129" t="str">
        <x:v>WIN–NC</x:v>
      </x:c>
      <x:c r="D129" t="n">
        <x:v>0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/>
      <x:c r="M129" t="str"/>
    </x:row>
    <x:row r="130">
      <x:c r="A130" t="n">
        <x:v>13</x:v>
      </x:c>
      <x:c r="B130" t="str"/>
      <x:c r="C130" t="str">
        <x:v>SCA–SC1</x:v>
      </x:c>
      <x:c r="D130" t="n">
        <x:v>0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/>
      <x:c r="M130" t="str"/>
    </x:row>
    <x:row r="131">
      <x:c r="A131" t="n">
        <x:v>13</x:v>
      </x:c>
      <x:c r="B131" t="str"/>
      <x:c r="C131" t="str">
        <x:v>SCA–SCF</x:v>
      </x:c>
      <x:c r="D131" t="n">
        <x:v>0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/>
      <x:c r="M131" t="str"/>
    </x:row>
    <x:row r="132">
      <x:c r="A132" t="n">
        <x:v>14</x:v>
      </x:c>
      <x:c r="B132" t="str"/>
      <x:c r="C132" t="str">
        <x:v>ICW–ICG UD</x:v>
      </x:c>
      <x:c r="D132" t="n">
        <x:v>0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/>
      <x:c r="M132" t="str"/>
    </x:row>
    <x:row r="133">
      <x:c r="A133" t="n">
        <x:v>14</x:v>
      </x:c>
      <x:c r="B133" t="str"/>
      <x:c r="C133" t="str">
        <x:v>ICW–ICG LD</x:v>
      </x:c>
      <x:c r="D133" t="n">
        <x:v>0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/>
      <x:c r="M133" t="str"/>
    </x:row>
    <x:row r="134">
      <x:c r="A134" t="n">
        <x:v>14</x:v>
      </x:c>
      <x:c r="B134" t="str"/>
      <x:c r="C134" t="str">
        <x:v>ICG–ICP UD</x:v>
      </x:c>
      <x:c r="D134" t="n">
        <x:v>0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/>
      <x:c r="M134" t="str"/>
    </x:row>
    <x:row r="135">
      <x:c r="A135" t="n">
        <x:v>14</x:v>
      </x:c>
      <x:c r="B135" t="str"/>
      <x:c r="C135" t="str">
        <x:v>ICG–ICP LD</x:v>
      </x:c>
      <x:c r="D135" t="n">
        <x:v>0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/>
      <x:c r="M135" t="str"/>
    </x:row>
    <x:row r="136">
      <x:c r="A136" t="n">
        <x:v>14</x:v>
      </x:c>
      <x:c r="B136" t="str"/>
      <x:c r="C136" t="str">
        <x:v>BHS–SLQ</x:v>
      </x:c>
      <x:c r="D136" t="n">
        <x:v>0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/>
      <x:c r="M136" t="str"/>
    </x:row>
    <x:row r="137">
      <x:c r="A137" t="n">
        <x:v>14</x:v>
      </x:c>
      <x:c r="B137" t="str"/>
      <x:c r="C137" t="str">
        <x:v>SLQ–WIS</x:v>
      </x:c>
      <x:c r="D137" t="n">
        <x:v>0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/>
      <x:c r="M137" t="str"/>
    </x:row>
    <x:row r="138">
      <x:c r="A138" t="n">
        <x:v>14</x:v>
      </x:c>
      <x:c r="B138" t="str"/>
      <x:c r="C138" t="str">
        <x:v>NQO–NQD</x:v>
      </x:c>
      <x:c r="D138" t="n">
        <x:v>0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/>
      <x:c r="M138" t="str"/>
    </x:row>
    <x:row r="139">
      <x:c r="A139" t="n">
        <x:v>14</x:v>
      </x:c>
      <x:c r="B139" t="str"/>
      <x:c r="C139" t="str">
        <x:v>WIN–NC</x:v>
      </x:c>
      <x:c r="D139" t="n">
        <x:v>0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/>
      <x:c r="M139" t="str"/>
    </x:row>
    <x:row r="140">
      <x:c r="A140" t="n">
        <x:v>14</x:v>
      </x:c>
      <x:c r="B140" t="str"/>
      <x:c r="C140" t="str">
        <x:v>SCA–SC1</x:v>
      </x:c>
      <x:c r="D140" t="n">
        <x:v>0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/>
      <x:c r="M140" t="str"/>
    </x:row>
    <x:row r="141">
      <x:c r="A141" t="n">
        <x:v>14</x:v>
      </x:c>
      <x:c r="B141" t="str"/>
      <x:c r="C141" t="str">
        <x:v>SCA–SCF</x:v>
      </x:c>
      <x:c r="D141" t="n">
        <x:v>0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/>
      <x:c r="M141" t="str"/>
    </x:row>
    <x:row r="142">
      <x:c r="A142" t="n">
        <x:v>15</x:v>
      </x:c>
      <x:c r="B142" t="str"/>
      <x:c r="C142" t="str">
        <x:v>ICW–ICG UD</x:v>
      </x:c>
      <x:c r="D142" t="n">
        <x:v>0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/>
      <x:c r="M142" t="str"/>
    </x:row>
    <x:row r="143">
      <x:c r="A143" t="n">
        <x:v>15</x:v>
      </x:c>
      <x:c r="B143" t="str"/>
      <x:c r="C143" t="str">
        <x:v>ICW–ICG LD</x:v>
      </x:c>
      <x:c r="D143" t="n">
        <x:v>0</x:v>
      </x:c>
      <x:c r="E143" t="n">
        <x:v>0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/>
      <x:c r="M143" t="str"/>
    </x:row>
    <x:row r="144">
      <x:c r="A144" t="n">
        <x:v>15</x:v>
      </x:c>
      <x:c r="B144" t="str"/>
      <x:c r="C144" t="str">
        <x:v>ICG–ICP UD</x:v>
      </x:c>
      <x:c r="D144" t="n">
        <x:v>0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/>
      <x:c r="M144" t="str"/>
    </x:row>
    <x:row r="145">
      <x:c r="A145" t="n">
        <x:v>15</x:v>
      </x:c>
      <x:c r="B145" t="str"/>
      <x:c r="C145" t="str">
        <x:v>ICG–ICP LD</x:v>
      </x:c>
      <x:c r="D145" t="n">
        <x:v>0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/>
      <x:c r="M145" t="str"/>
    </x:row>
    <x:row r="146">
      <x:c r="A146" t="n">
        <x:v>15</x:v>
      </x:c>
      <x:c r="B146" t="str"/>
      <x:c r="C146" t="str">
        <x:v>BHS–SLQ</x:v>
      </x:c>
      <x:c r="D146" t="n">
        <x:v>0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/>
      <x:c r="M146" t="str"/>
    </x:row>
    <x:row r="147">
      <x:c r="A147" t="n">
        <x:v>15</x:v>
      </x:c>
      <x:c r="B147" t="str"/>
      <x:c r="C147" t="str">
        <x:v>SLQ–WIS</x:v>
      </x:c>
      <x:c r="D147" t="n">
        <x:v>0</x:v>
      </x:c>
      <x:c r="E147" t="n">
        <x:v>0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/>
      <x:c r="M147" t="str"/>
    </x:row>
    <x:row r="148">
      <x:c r="A148" t="n">
        <x:v>15</x:v>
      </x:c>
      <x:c r="B148" t="str"/>
      <x:c r="C148" t="str">
        <x:v>NQO–NQD</x:v>
      </x:c>
      <x:c r="D148" t="n">
        <x:v>0</x:v>
      </x:c>
      <x:c r="E148" t="n">
        <x:v>0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/>
      <x:c r="M148" t="str"/>
    </x:row>
    <x:row r="149">
      <x:c r="A149" t="n">
        <x:v>15</x:v>
      </x:c>
      <x:c r="B149" t="str"/>
      <x:c r="C149" t="str">
        <x:v>WIN–NC</x:v>
      </x:c>
      <x:c r="D149" t="n">
        <x:v>0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/>
      <x:c r="M149" t="str"/>
    </x:row>
    <x:row r="150">
      <x:c r="A150" t="n">
        <x:v>15</x:v>
      </x:c>
      <x:c r="B150" t="str"/>
      <x:c r="C150" t="str">
        <x:v>SCA–SC1</x:v>
      </x:c>
      <x:c r="D150" t="n">
        <x:v>0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/>
      <x:c r="M150" t="str"/>
    </x:row>
    <x:row r="151">
      <x:c r="A151" t="n">
        <x:v>15</x:v>
      </x:c>
      <x:c r="B151" t="str"/>
      <x:c r="C151" t="str">
        <x:v>SCA–SCF</x:v>
      </x:c>
      <x:c r="D151" t="n">
        <x:v>0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/>
      <x:c r="M151" t="str"/>
    </x:row>
    <x:row r="152">
      <x:c r="A152" t="n">
        <x:v>16</x:v>
      </x:c>
      <x:c r="B152" t="str"/>
      <x:c r="C152" t="str">
        <x:v>ICW–ICG UD</x:v>
      </x:c>
      <x:c r="D152" t="n">
        <x:v>0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/>
      <x:c r="M152" t="str"/>
    </x:row>
    <x:row r="153">
      <x:c r="A153" t="n">
        <x:v>16</x:v>
      </x:c>
      <x:c r="B153" t="str"/>
      <x:c r="C153" t="str">
        <x:v>ICW–ICG LD</x:v>
      </x:c>
      <x:c r="D153" t="n">
        <x:v>0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/>
      <x:c r="M153" t="str"/>
    </x:row>
    <x:row r="154">
      <x:c r="A154" t="n">
        <x:v>16</x:v>
      </x:c>
      <x:c r="B154" t="str"/>
      <x:c r="C154" t="str">
        <x:v>ICG–ICP UD</x:v>
      </x:c>
      <x:c r="D154" t="n">
        <x:v>0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/>
      <x:c r="M154" t="str"/>
    </x:row>
    <x:row r="155">
      <x:c r="A155" t="n">
        <x:v>16</x:v>
      </x:c>
      <x:c r="B155" t="str"/>
      <x:c r="C155" t="str">
        <x:v>ICG–ICP LD</x:v>
      </x:c>
      <x:c r="D155" t="n">
        <x:v>0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/>
      <x:c r="M155" t="str"/>
    </x:row>
    <x:row r="156">
      <x:c r="A156" t="n">
        <x:v>16</x:v>
      </x:c>
      <x:c r="B156" t="str"/>
      <x:c r="C156" t="str">
        <x:v>BHS–SLQ</x:v>
      </x:c>
      <x:c r="D156" t="n">
        <x:v>0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/>
      <x:c r="M156" t="str"/>
    </x:row>
    <x:row r="157">
      <x:c r="A157" t="n">
        <x:v>16</x:v>
      </x:c>
      <x:c r="B157" t="str"/>
      <x:c r="C157" t="str">
        <x:v>SLQ–WIS</x:v>
      </x:c>
      <x:c r="D157" t="n">
        <x:v>0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/>
      <x:c r="M157" t="str"/>
    </x:row>
    <x:row r="158">
      <x:c r="A158" t="n">
        <x:v>16</x:v>
      </x:c>
      <x:c r="B158" t="str"/>
      <x:c r="C158" t="str">
        <x:v>NQO–NQD</x:v>
      </x:c>
      <x:c r="D158" t="n">
        <x:v>0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/>
      <x:c r="M158" t="str"/>
    </x:row>
    <x:row r="159">
      <x:c r="A159" t="n">
        <x:v>16</x:v>
      </x:c>
      <x:c r="B159" t="str"/>
      <x:c r="C159" t="str">
        <x:v>WIN–NC</x:v>
      </x:c>
      <x:c r="D159" t="n">
        <x:v>0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/>
      <x:c r="M159" t="str"/>
    </x:row>
    <x:row r="160">
      <x:c r="A160" t="n">
        <x:v>16</x:v>
      </x:c>
      <x:c r="B160" t="str"/>
      <x:c r="C160" t="str">
        <x:v>SCA–SC1</x:v>
      </x:c>
      <x:c r="D160" t="n">
        <x:v>0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/>
      <x:c r="M160" t="str"/>
    </x:row>
    <x:row r="161">
      <x:c r="A161" t="n">
        <x:v>16</x:v>
      </x:c>
      <x:c r="B161" t="str"/>
      <x:c r="C161" t="str">
        <x:v>SCA–SCF</x:v>
      </x:c>
      <x:c r="D161" t="n">
        <x:v>0</x:v>
      </x:c>
      <x:c r="E161" t="n">
        <x:v>0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/>
      <x:c r="M161" t="str"/>
    </x:row>
    <x:row r="162">
      <x:c r="A162" t="n">
        <x:v>17</x:v>
      </x:c>
      <x:c r="B162" t="str"/>
      <x:c r="C162" t="str">
        <x:v>ICW–ICG UD</x:v>
      </x:c>
      <x:c r="D162" t="n">
        <x:v>0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/>
      <x:c r="M162" t="str"/>
    </x:row>
    <x:row r="163">
      <x:c r="A163" t="n">
        <x:v>17</x:v>
      </x:c>
      <x:c r="B163" t="str"/>
      <x:c r="C163" t="str">
        <x:v>ICW–ICG LD</x:v>
      </x:c>
      <x:c r="D163" t="n">
        <x:v>0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/>
      <x:c r="M163" t="str"/>
    </x:row>
    <x:row r="164">
      <x:c r="A164" t="n">
        <x:v>17</x:v>
      </x:c>
      <x:c r="B164" t="str"/>
      <x:c r="C164" t="str">
        <x:v>ICG–ICP UD</x:v>
      </x:c>
      <x:c r="D164" t="n">
        <x:v>0</x:v>
      </x:c>
      <x:c r="E164" t="n">
        <x:v>0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/>
      <x:c r="M164" t="str"/>
    </x:row>
    <x:row r="165">
      <x:c r="A165" t="n">
        <x:v>17</x:v>
      </x:c>
      <x:c r="B165" t="str"/>
      <x:c r="C165" t="str">
        <x:v>ICG–ICP LD</x:v>
      </x:c>
      <x:c r="D165" t="n">
        <x:v>0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/>
      <x:c r="M165" t="str"/>
    </x:row>
    <x:row r="166">
      <x:c r="A166" t="n">
        <x:v>17</x:v>
      </x:c>
      <x:c r="B166" t="str"/>
      <x:c r="C166" t="str">
        <x:v>BHS–SLQ</x:v>
      </x:c>
      <x:c r="D166" t="n">
        <x:v>0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/>
      <x:c r="M166" t="str"/>
    </x:row>
    <x:row r="167">
      <x:c r="A167" t="n">
        <x:v>17</x:v>
      </x:c>
      <x:c r="B167" t="str"/>
      <x:c r="C167" t="str">
        <x:v>SLQ–WIS</x:v>
      </x:c>
      <x:c r="D167" t="n">
        <x:v>0</x:v>
      </x:c>
      <x:c r="E167" t="n">
        <x:v>0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/>
      <x:c r="M167" t="str"/>
    </x:row>
    <x:row r="168">
      <x:c r="A168" t="n">
        <x:v>17</x:v>
      </x:c>
      <x:c r="B168" t="str"/>
      <x:c r="C168" t="str">
        <x:v>NQO–NQD</x:v>
      </x:c>
      <x:c r="D168" t="n">
        <x:v>0</x:v>
      </x:c>
      <x:c r="E168" t="n">
        <x:v>0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/>
      <x:c r="M168" t="str"/>
    </x:row>
    <x:row r="169">
      <x:c r="A169" t="n">
        <x:v>17</x:v>
      </x:c>
      <x:c r="B169" t="str"/>
      <x:c r="C169" t="str">
        <x:v>WIN–NC</x:v>
      </x:c>
      <x:c r="D169" t="n">
        <x:v>0</x:v>
      </x:c>
      <x:c r="E169" t="n">
        <x:v>0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/>
      <x:c r="M169" t="str"/>
    </x:row>
    <x:row r="170">
      <x:c r="A170" t="n">
        <x:v>17</x:v>
      </x:c>
      <x:c r="B170" t="str"/>
      <x:c r="C170" t="str">
        <x:v>SCA–SC1</x:v>
      </x:c>
      <x:c r="D170" t="n">
        <x:v>0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/>
      <x:c r="M170" t="str"/>
    </x:row>
    <x:row r="171">
      <x:c r="A171" t="n">
        <x:v>17</x:v>
      </x:c>
      <x:c r="B171" t="str"/>
      <x:c r="C171" t="str">
        <x:v>SCA–SCF</x:v>
      </x:c>
      <x:c r="D171" t="n">
        <x:v>0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/>
      <x:c r="M171" t="str"/>
    </x:row>
    <x:row r="172">
      <x:c r="A172" t="n">
        <x:v>18</x:v>
      </x:c>
      <x:c r="B172" t="str"/>
      <x:c r="C172" t="str">
        <x:v>ICW–ICG UD</x:v>
      </x:c>
      <x:c r="D172" t="n">
        <x:v>0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/>
      <x:c r="M172" t="str"/>
    </x:row>
    <x:row r="173">
      <x:c r="A173" t="n">
        <x:v>18</x:v>
      </x:c>
      <x:c r="B173" t="str"/>
      <x:c r="C173" t="str">
        <x:v>ICW–ICG LD</x:v>
      </x:c>
      <x:c r="D173" t="n">
        <x:v>0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/>
      <x:c r="M173" t="str"/>
    </x:row>
    <x:row r="174">
      <x:c r="A174" t="n">
        <x:v>18</x:v>
      </x:c>
      <x:c r="B174" t="str"/>
      <x:c r="C174" t="str">
        <x:v>ICG–ICP UD</x:v>
      </x:c>
      <x:c r="D174" t="n">
        <x:v>0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/>
      <x:c r="M174" t="str"/>
    </x:row>
    <x:row r="175">
      <x:c r="A175" t="n">
        <x:v>18</x:v>
      </x:c>
      <x:c r="B175" t="str"/>
      <x:c r="C175" t="str">
        <x:v>ICG–ICP LD</x:v>
      </x:c>
      <x:c r="D175" t="n">
        <x:v>0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/>
      <x:c r="M175" t="str"/>
    </x:row>
    <x:row r="176">
      <x:c r="A176" t="n">
        <x:v>18</x:v>
      </x:c>
      <x:c r="B176" t="str"/>
      <x:c r="C176" t="str">
        <x:v>BHS–SLQ</x:v>
      </x:c>
      <x:c r="D176" t="n">
        <x:v>0</x:v>
      </x:c>
      <x:c r="E176" t="n">
        <x:v>0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/>
      <x:c r="M176" t="str"/>
    </x:row>
    <x:row r="177">
      <x:c r="A177" t="n">
        <x:v>18</x:v>
      </x:c>
      <x:c r="B177" t="str"/>
      <x:c r="C177" t="str">
        <x:v>SLQ–WIS</x:v>
      </x:c>
      <x:c r="D177" t="n">
        <x:v>0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/>
      <x:c r="M177" t="str"/>
    </x:row>
    <x:row r="178">
      <x:c r="A178" t="n">
        <x:v>18</x:v>
      </x:c>
      <x:c r="B178" t="str"/>
      <x:c r="C178" t="str">
        <x:v>NQO–NQD</x:v>
      </x:c>
      <x:c r="D178" t="n">
        <x:v>0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/>
      <x:c r="M178" t="str"/>
    </x:row>
    <x:row r="179">
      <x:c r="A179" t="n">
        <x:v>18</x:v>
      </x:c>
      <x:c r="B179" t="str"/>
      <x:c r="C179" t="str">
        <x:v>WIN–NC</x:v>
      </x:c>
      <x:c r="D179" t="n">
        <x:v>0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/>
      <x:c r="M179" t="str"/>
    </x:row>
    <x:row r="180">
      <x:c r="A180" t="n">
        <x:v>18</x:v>
      </x:c>
      <x:c r="B180" t="str"/>
      <x:c r="C180" t="str">
        <x:v>SCA–SC1</x:v>
      </x:c>
      <x:c r="D180" t="n">
        <x:v>0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/>
      <x:c r="M180" t="str"/>
    </x:row>
    <x:row r="181">
      <x:c r="A181" t="n">
        <x:v>18</x:v>
      </x:c>
      <x:c r="B181" t="str"/>
      <x:c r="C181" t="str">
        <x:v>SCA–SCF</x:v>
      </x:c>
      <x:c r="D181" t="n">
        <x:v>0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/>
      <x:c r="M181" t="str"/>
    </x:row>
    <x:row r="182">
      <x:c r="A182" t="n">
        <x:v>19</x:v>
      </x:c>
      <x:c r="B182" t="str"/>
      <x:c r="C182" t="str">
        <x:v>ICW–ICG UD</x:v>
      </x:c>
      <x:c r="D182" t="n">
        <x:v>0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/>
      <x:c r="M182" t="str"/>
    </x:row>
    <x:row r="183">
      <x:c r="A183" t="n">
        <x:v>19</x:v>
      </x:c>
      <x:c r="B183" t="str"/>
      <x:c r="C183" t="str">
        <x:v>ICW–ICG LD</x:v>
      </x:c>
      <x:c r="D183" t="n">
        <x:v>0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/>
      <x:c r="M183" t="str"/>
    </x:row>
    <x:row r="184">
      <x:c r="A184" t="n">
        <x:v>19</x:v>
      </x:c>
      <x:c r="B184" t="str"/>
      <x:c r="C184" t="str">
        <x:v>ICG–ICP UD</x:v>
      </x:c>
      <x:c r="D184" t="n">
        <x:v>0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/>
      <x:c r="M184" t="str"/>
    </x:row>
    <x:row r="185">
      <x:c r="A185" t="n">
        <x:v>19</x:v>
      </x:c>
      <x:c r="B185" t="str"/>
      <x:c r="C185" t="str">
        <x:v>ICG–ICP LD</x:v>
      </x:c>
      <x:c r="D185" t="n">
        <x:v>0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/>
      <x:c r="M185" t="str"/>
    </x:row>
    <x:row r="186">
      <x:c r="A186" t="n">
        <x:v>19</x:v>
      </x:c>
      <x:c r="B186" t="str"/>
      <x:c r="C186" t="str">
        <x:v>BHS–SLQ</x:v>
      </x:c>
      <x:c r="D186" t="n">
        <x:v>0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/>
      <x:c r="M186" t="str"/>
    </x:row>
    <x:row r="187">
      <x:c r="A187" t="n">
        <x:v>19</x:v>
      </x:c>
      <x:c r="B187" t="str"/>
      <x:c r="C187" t="str">
        <x:v>SLQ–WIS</x:v>
      </x:c>
      <x:c r="D187" t="n">
        <x:v>0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/>
      <x:c r="M187" t="str"/>
    </x:row>
    <x:row r="188">
      <x:c r="A188" t="n">
        <x:v>19</x:v>
      </x:c>
      <x:c r="B188" t="str"/>
      <x:c r="C188" t="str">
        <x:v>NQO–NQD</x:v>
      </x:c>
      <x:c r="D188" t="n">
        <x:v>0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/>
      <x:c r="M188" t="str"/>
    </x:row>
    <x:row r="189">
      <x:c r="A189" t="n">
        <x:v>19</x:v>
      </x:c>
      <x:c r="B189" t="str"/>
      <x:c r="C189" t="str">
        <x:v>WIN–NC</x:v>
      </x:c>
      <x:c r="D189" t="n">
        <x:v>0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/>
      <x:c r="M189" t="str"/>
    </x:row>
    <x:row r="190">
      <x:c r="A190" t="n">
        <x:v>19</x:v>
      </x:c>
      <x:c r="B190" t="str"/>
      <x:c r="C190" t="str">
        <x:v>SCA–SC1</x:v>
      </x:c>
      <x:c r="D190" t="n">
        <x:v>0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/>
      <x:c r="M190" t="str"/>
    </x:row>
    <x:row r="191">
      <x:c r="A191" t="n">
        <x:v>19</x:v>
      </x:c>
      <x:c r="B191" t="str"/>
      <x:c r="C191" t="str">
        <x:v>SCA–SCF</x:v>
      </x:c>
      <x:c r="D191" t="n">
        <x:v>0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/>
      <x:c r="M191" t="str"/>
    </x:row>
    <x:row r="192">
      <x:c r="A192" t="n">
        <x:v>20</x:v>
      </x:c>
      <x:c r="B192" t="str"/>
      <x:c r="C192" t="str">
        <x:v>ICW–ICG UD</x:v>
      </x:c>
      <x:c r="D192" t="n">
        <x:v>0</x:v>
      </x:c>
      <x:c r="E192" t="n">
        <x:v>0</x:v>
      </x:c>
      <x:c r="F192" t="n">
        <x:v>0</x:v>
      </x:c>
      <x:c r="G192" t="n">
        <x:v>0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/>
      <x:c r="M192" t="str"/>
    </x:row>
    <x:row r="193">
      <x:c r="A193" t="n">
        <x:v>20</x:v>
      </x:c>
      <x:c r="B193" t="str"/>
      <x:c r="C193" t="str">
        <x:v>ICW–ICG LD</x:v>
      </x:c>
      <x:c r="D193" t="n">
        <x:v>0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/>
      <x:c r="M193" t="str"/>
    </x:row>
    <x:row r="194">
      <x:c r="A194" t="n">
        <x:v>20</x:v>
      </x:c>
      <x:c r="B194" t="str"/>
      <x:c r="C194" t="str">
        <x:v>ICG–ICP UD</x:v>
      </x:c>
      <x:c r="D194" t="n">
        <x:v>0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/>
      <x:c r="M194" t="str"/>
    </x:row>
    <x:row r="195">
      <x:c r="A195" t="n">
        <x:v>20</x:v>
      </x:c>
      <x:c r="B195" t="str"/>
      <x:c r="C195" t="str">
        <x:v>ICG–ICP LD</x:v>
      </x:c>
      <x:c r="D195" t="n">
        <x:v>0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/>
      <x:c r="M195" t="str"/>
    </x:row>
    <x:row r="196">
      <x:c r="A196" t="n">
        <x:v>20</x:v>
      </x:c>
      <x:c r="B196" t="str"/>
      <x:c r="C196" t="str">
        <x:v>BHS–SLQ</x:v>
      </x:c>
      <x:c r="D196" t="n">
        <x:v>0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/>
      <x:c r="M196" t="str"/>
    </x:row>
    <x:row r="197">
      <x:c r="A197" t="n">
        <x:v>20</x:v>
      </x:c>
      <x:c r="B197" t="str"/>
      <x:c r="C197" t="str">
        <x:v>SLQ–WIS</x:v>
      </x:c>
      <x:c r="D197" t="n">
        <x:v>0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/>
      <x:c r="M197" t="str"/>
    </x:row>
    <x:row r="198">
      <x:c r="A198" t="n">
        <x:v>20</x:v>
      </x:c>
      <x:c r="B198" t="str"/>
      <x:c r="C198" t="str">
        <x:v>NQO–NQD</x:v>
      </x:c>
      <x:c r="D198" t="n">
        <x:v>0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/>
      <x:c r="M198" t="str"/>
    </x:row>
    <x:row r="199">
      <x:c r="A199" t="n">
        <x:v>20</x:v>
      </x:c>
      <x:c r="B199" t="str"/>
      <x:c r="C199" t="str">
        <x:v>WIN–NC</x:v>
      </x:c>
      <x:c r="D199" t="n">
        <x:v>0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/>
      <x:c r="M199" t="str"/>
    </x:row>
    <x:row r="200">
      <x:c r="A200" t="n">
        <x:v>20</x:v>
      </x:c>
      <x:c r="B200" t="str"/>
      <x:c r="C200" t="str">
        <x:v>SCA–SC1</x:v>
      </x:c>
      <x:c r="D200" t="n">
        <x:v>0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/>
      <x:c r="M200" t="str"/>
    </x:row>
    <x:row r="201">
      <x:c r="A201" t="n">
        <x:v>20</x:v>
      </x:c>
      <x:c r="B201" t="str"/>
      <x:c r="C201" t="str">
        <x:v>SCA–SCF</x:v>
      </x:c>
      <x:c r="D201" t="n">
        <x:v>0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/>
      <x:c r="M201" t="str"/>
    </x:row>
    <x:row r="202">
      <x:c r="A202" t="n">
        <x:v>21</x:v>
      </x:c>
      <x:c r="B202" t="str"/>
      <x:c r="C202" t="str">
        <x:v>ICW–ICG UD</x:v>
      </x:c>
      <x:c r="D202" t="n">
        <x:v>0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/>
      <x:c r="M202" t="str"/>
    </x:row>
    <x:row r="203">
      <x:c r="A203" t="n">
        <x:v>21</x:v>
      </x:c>
      <x:c r="B203" t="str"/>
      <x:c r="C203" t="str">
        <x:v>ICW–ICG LD</x:v>
      </x:c>
      <x:c r="D203" t="n">
        <x:v>0</x:v>
      </x:c>
      <x:c r="E203" t="n">
        <x:v>0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/>
      <x:c r="M203" t="str"/>
    </x:row>
    <x:row r="204">
      <x:c r="A204" t="n">
        <x:v>21</x:v>
      </x:c>
      <x:c r="B204" t="str"/>
      <x:c r="C204" t="str">
        <x:v>ICG–ICP UD</x:v>
      </x:c>
      <x:c r="D204" t="n">
        <x:v>0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/>
      <x:c r="M204" t="str"/>
    </x:row>
    <x:row r="205">
      <x:c r="A205" t="n">
        <x:v>21</x:v>
      </x:c>
      <x:c r="B205" t="str"/>
      <x:c r="C205" t="str">
        <x:v>ICG–ICP LD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/>
      <x:c r="M205" t="str"/>
    </x:row>
    <x:row r="206">
      <x:c r="A206" t="n">
        <x:v>21</x:v>
      </x:c>
      <x:c r="B206" t="str"/>
      <x:c r="C206" t="str">
        <x:v>BHS–SLQ</x:v>
      </x:c>
      <x:c r="D206" t="n">
        <x:v>0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/>
      <x:c r="M206" t="str"/>
    </x:row>
    <x:row r="207">
      <x:c r="A207" t="n">
        <x:v>21</x:v>
      </x:c>
      <x:c r="B207" t="str"/>
      <x:c r="C207" t="str">
        <x:v>SLQ–WIS</x:v>
      </x:c>
      <x:c r="D207" t="n">
        <x:v>0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/>
      <x:c r="M207" t="str"/>
    </x:row>
    <x:row r="208">
      <x:c r="A208" t="n">
        <x:v>21</x:v>
      </x:c>
      <x:c r="B208" t="str"/>
      <x:c r="C208" t="str">
        <x:v>NQO–NQD</x:v>
      </x:c>
      <x:c r="D208" t="n">
        <x:v>0</x:v>
      </x:c>
      <x:c r="E208" t="n">
        <x:v>0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/>
      <x:c r="M208" t="str"/>
    </x:row>
    <x:row r="209">
      <x:c r="A209" t="n">
        <x:v>21</x:v>
      </x:c>
      <x:c r="B209" t="str"/>
      <x:c r="C209" t="str">
        <x:v>WIN–NC</x:v>
      </x:c>
      <x:c r="D209" t="n">
        <x:v>0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/>
      <x:c r="M209" t="str"/>
    </x:row>
    <x:row r="210">
      <x:c r="A210" t="n">
        <x:v>21</x:v>
      </x:c>
      <x:c r="B210" t="str"/>
      <x:c r="C210" t="str">
        <x:v>SCA–SC1</x:v>
      </x:c>
      <x:c r="D210" t="n">
        <x:v>0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/>
      <x:c r="M210" t="str"/>
    </x:row>
    <x:row r="211">
      <x:c r="A211" t="n">
        <x:v>21</x:v>
      </x:c>
      <x:c r="B211" t="str"/>
      <x:c r="C211" t="str">
        <x:v>SCA–SCF</x:v>
      </x:c>
      <x:c r="D211" t="n">
        <x:v>0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/>
      <x:c r="M211" t="str"/>
    </x:row>
    <x:row r="212">
      <x:c r="A212" t="n">
        <x:v>22</x:v>
      </x:c>
      <x:c r="B212" t="str"/>
      <x:c r="C212" t="str">
        <x:v>ICW–ICG UD</x:v>
      </x:c>
      <x:c r="D212" t="n">
        <x:v>0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/>
      <x:c r="M212" t="str"/>
    </x:row>
    <x:row r="213">
      <x:c r="A213" t="n">
        <x:v>22</x:v>
      </x:c>
      <x:c r="B213" t="str"/>
      <x:c r="C213" t="str">
        <x:v>ICW–ICG LD</x:v>
      </x:c>
      <x:c r="D213" t="n">
        <x:v>0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/>
      <x:c r="M213" t="str"/>
    </x:row>
    <x:row r="214">
      <x:c r="A214" t="n">
        <x:v>22</x:v>
      </x:c>
      <x:c r="B214" t="str"/>
      <x:c r="C214" t="str">
        <x:v>ICG–ICP UD</x:v>
      </x:c>
      <x:c r="D214" t="n">
        <x:v>0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/>
      <x:c r="M214" t="str"/>
    </x:row>
    <x:row r="215">
      <x:c r="A215" t="n">
        <x:v>22</x:v>
      </x:c>
      <x:c r="B215" t="str"/>
      <x:c r="C215" t="str">
        <x:v>ICG–ICP LD</x:v>
      </x:c>
      <x:c r="D215" t="n">
        <x:v>0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/>
      <x:c r="M215" t="str"/>
    </x:row>
    <x:row r="216">
      <x:c r="A216" t="n">
        <x:v>22</x:v>
      </x:c>
      <x:c r="B216" t="str"/>
      <x:c r="C216" t="str">
        <x:v>BHS–SLQ</x:v>
      </x:c>
      <x:c r="D216" t="n">
        <x:v>0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/>
      <x:c r="M216" t="str"/>
    </x:row>
    <x:row r="217">
      <x:c r="A217" t="n">
        <x:v>22</x:v>
      </x:c>
      <x:c r="B217" t="str"/>
      <x:c r="C217" t="str">
        <x:v>SLQ–WIS</x:v>
      </x:c>
      <x:c r="D217" t="n">
        <x:v>0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/>
      <x:c r="M217" t="str"/>
    </x:row>
    <x:row r="218">
      <x:c r="A218" t="n">
        <x:v>22</x:v>
      </x:c>
      <x:c r="B218" t="str"/>
      <x:c r="C218" t="str">
        <x:v>NQO–NQD</x:v>
      </x:c>
      <x:c r="D218" t="n">
        <x:v>0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/>
      <x:c r="M218" t="str"/>
    </x:row>
    <x:row r="219">
      <x:c r="A219" t="n">
        <x:v>22</x:v>
      </x:c>
      <x:c r="B219" t="str"/>
      <x:c r="C219" t="str">
        <x:v>WIN–NC</x:v>
      </x:c>
      <x:c r="D219" t="n">
        <x:v>0</x:v>
      </x:c>
      <x:c r="E219" t="n">
        <x:v>0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/>
      <x:c r="M219" t="str"/>
    </x:row>
    <x:row r="220">
      <x:c r="A220" t="n">
        <x:v>22</x:v>
      </x:c>
      <x:c r="B220" t="str"/>
      <x:c r="C220" t="str">
        <x:v>SCA–SC1</x:v>
      </x:c>
      <x:c r="D220" t="n">
        <x:v>0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/>
      <x:c r="M220" t="str"/>
    </x:row>
    <x:row r="221">
      <x:c r="A221" t="n">
        <x:v>22</x:v>
      </x:c>
      <x:c r="B221" t="str"/>
      <x:c r="C221" t="str">
        <x:v>SCA–SCF</x:v>
      </x:c>
      <x:c r="D221" t="n">
        <x:v>0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/>
      <x:c r="M221" t="str"/>
    </x:row>
    <x:row r="222">
      <x:c r="A222" t="n">
        <x:v>23</x:v>
      </x:c>
      <x:c r="B222" t="str"/>
      <x:c r="C222" t="str">
        <x:v>ICW–ICG UD</x:v>
      </x:c>
      <x:c r="D222" t="n">
        <x:v>0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/>
      <x:c r="M222" t="str"/>
    </x:row>
    <x:row r="223">
      <x:c r="A223" t="n">
        <x:v>23</x:v>
      </x:c>
      <x:c r="B223" t="str"/>
      <x:c r="C223" t="str">
        <x:v>ICW–ICG LD</x:v>
      </x:c>
      <x:c r="D223" t="n">
        <x:v>0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/>
      <x:c r="M223" t="str"/>
    </x:row>
    <x:row r="224">
      <x:c r="A224" t="n">
        <x:v>23</x:v>
      </x:c>
      <x:c r="B224" t="str"/>
      <x:c r="C224" t="str">
        <x:v>ICG–ICP UD</x:v>
      </x:c>
      <x:c r="D224" t="n">
        <x:v>0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/>
      <x:c r="M224" t="str"/>
    </x:row>
    <x:row r="225">
      <x:c r="A225" t="n">
        <x:v>23</x:v>
      </x:c>
      <x:c r="B225" t="str"/>
      <x:c r="C225" t="str">
        <x:v>ICG–ICP LD</x:v>
      </x:c>
      <x:c r="D225" t="n">
        <x:v>0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/>
      <x:c r="M225" t="str"/>
    </x:row>
    <x:row r="226">
      <x:c r="A226" t="n">
        <x:v>23</x:v>
      </x:c>
      <x:c r="B226" t="str"/>
      <x:c r="C226" t="str">
        <x:v>BHS–SLQ</x:v>
      </x:c>
      <x:c r="D226" t="n">
        <x:v>0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/>
      <x:c r="M226" t="str"/>
    </x:row>
    <x:row r="227">
      <x:c r="A227" t="n">
        <x:v>23</x:v>
      </x:c>
      <x:c r="B227" t="str"/>
      <x:c r="C227" t="str">
        <x:v>SLQ–WIS</x:v>
      </x:c>
      <x:c r="D227" t="n">
        <x:v>0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/>
      <x:c r="M227" t="str"/>
    </x:row>
    <x:row r="228">
      <x:c r="A228" t="n">
        <x:v>23</x:v>
      </x:c>
      <x:c r="B228" t="str"/>
      <x:c r="C228" t="str">
        <x:v>NQO–NQD</x:v>
      </x:c>
      <x:c r="D228" t="n">
        <x:v>0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/>
      <x:c r="M228" t="str"/>
    </x:row>
    <x:row r="229">
      <x:c r="A229" t="n">
        <x:v>23</x:v>
      </x:c>
      <x:c r="B229" t="str"/>
      <x:c r="C229" t="str">
        <x:v>WIN–NC</x:v>
      </x:c>
      <x:c r="D229" t="n">
        <x:v>0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/>
      <x:c r="M229" t="str"/>
    </x:row>
    <x:row r="230">
      <x:c r="A230" t="n">
        <x:v>23</x:v>
      </x:c>
      <x:c r="B230" t="str"/>
      <x:c r="C230" t="str">
        <x:v>SCA–SC1</x:v>
      </x:c>
      <x:c r="D230" t="n">
        <x:v>0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/>
      <x:c r="M230" t="str"/>
    </x:row>
    <x:row r="231">
      <x:c r="A231" t="n">
        <x:v>23</x:v>
      </x:c>
      <x:c r="B231" t="str"/>
      <x:c r="C231" t="str">
        <x:v>SCA–SCF</x:v>
      </x:c>
      <x:c r="D231" t="n">
        <x:v>0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/>
      <x:c r="M231" t="str"/>
    </x:row>
    <x:row r="232">
      <x:c r="A232" t="n">
        <x:v>24</x:v>
      </x:c>
      <x:c r="B232" t="str"/>
      <x:c r="C232" t="str">
        <x:v>ICW–ICG UD</x:v>
      </x:c>
      <x:c r="D232" t="n">
        <x:v>0</x:v>
      </x:c>
      <x:c r="E232" t="n">
        <x:v>0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/>
      <x:c r="M232" t="str"/>
    </x:row>
    <x:row r="233">
      <x:c r="A233" t="n">
        <x:v>24</x:v>
      </x:c>
      <x:c r="B233" t="str"/>
      <x:c r="C233" t="str">
        <x:v>ICW–ICG LD</x:v>
      </x:c>
      <x:c r="D233" t="n">
        <x:v>0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/>
      <x:c r="M233" t="str"/>
    </x:row>
    <x:row r="234">
      <x:c r="A234" t="n">
        <x:v>24</x:v>
      </x:c>
      <x:c r="B234" t="str"/>
      <x:c r="C234" t="str">
        <x:v>ICG–ICP UD</x:v>
      </x:c>
      <x:c r="D234" t="n">
        <x:v>0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/>
      <x:c r="M234" t="str"/>
    </x:row>
    <x:row r="235">
      <x:c r="A235" t="n">
        <x:v>24</x:v>
      </x:c>
      <x:c r="B235" t="str"/>
      <x:c r="C235" t="str">
        <x:v>ICG–ICP LD</x:v>
      </x:c>
      <x:c r="D235" t="n">
        <x:v>0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/>
      <x:c r="M235" t="str"/>
    </x:row>
    <x:row r="236">
      <x:c r="A236" t="n">
        <x:v>24</x:v>
      </x:c>
      <x:c r="B236" t="str"/>
      <x:c r="C236" t="str">
        <x:v>BHS–SLQ</x:v>
      </x:c>
      <x:c r="D236" t="n">
        <x:v>0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/>
      <x:c r="M236" t="str"/>
    </x:row>
    <x:row r="237">
      <x:c r="A237" t="n">
        <x:v>24</x:v>
      </x:c>
      <x:c r="B237" t="str"/>
      <x:c r="C237" t="str">
        <x:v>SLQ–WIS</x:v>
      </x:c>
      <x:c r="D237" t="n">
        <x:v>0</x:v>
      </x:c>
      <x:c r="E237" t="n">
        <x:v>0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/>
      <x:c r="M237" t="str"/>
    </x:row>
    <x:row r="238">
      <x:c r="A238" t="n">
        <x:v>24</x:v>
      </x:c>
      <x:c r="B238" t="str"/>
      <x:c r="C238" t="str">
        <x:v>NQO–NQD</x:v>
      </x:c>
      <x:c r="D238" t="n">
        <x:v>0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/>
      <x:c r="M238" t="str"/>
    </x:row>
    <x:row r="239">
      <x:c r="A239" t="n">
        <x:v>24</x:v>
      </x:c>
      <x:c r="B239" t="str"/>
      <x:c r="C239" t="str">
        <x:v>WIN–NC</x:v>
      </x:c>
      <x:c r="D239" t="n">
        <x:v>0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/>
      <x:c r="M239" t="str"/>
    </x:row>
    <x:row r="240">
      <x:c r="A240" t="n">
        <x:v>24</x:v>
      </x:c>
      <x:c r="B240" t="str"/>
      <x:c r="C240" t="str">
        <x:v>SCA–SC1</x:v>
      </x:c>
      <x:c r="D240" t="n">
        <x:v>0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/>
      <x:c r="M240" t="str"/>
    </x:row>
    <x:row r="241">
      <x:c r="A241" t="n">
        <x:v>24</x:v>
      </x:c>
      <x:c r="B241" t="str"/>
      <x:c r="C241" t="str">
        <x:v>SCA–SCF</x:v>
      </x:c>
      <x:c r="D241" t="n">
        <x:v>0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/>
      <x:c r="M241" t="str"/>
    </x:row>
    <x:row r="242">
      <x:c r="A242" t="n">
        <x:v>25</x:v>
      </x:c>
      <x:c r="B242" t="str"/>
      <x:c r="C242" t="str">
        <x:v>ICW–ICG UD</x:v>
      </x:c>
      <x:c r="D242" t="n">
        <x:v>0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/>
      <x:c r="M242" t="str"/>
    </x:row>
    <x:row r="243">
      <x:c r="A243" t="n">
        <x:v>25</x:v>
      </x:c>
      <x:c r="B243" t="str"/>
      <x:c r="C243" t="str">
        <x:v>ICW–ICG LD</x:v>
      </x:c>
      <x:c r="D243" t="n">
        <x:v>0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/>
      <x:c r="M243" t="str"/>
    </x:row>
    <x:row r="244">
      <x:c r="A244" t="n">
        <x:v>25</x:v>
      </x:c>
      <x:c r="B244" t="str"/>
      <x:c r="C244" t="str">
        <x:v>ICG–ICP UD</x:v>
      </x:c>
      <x:c r="D244" t="n">
        <x:v>0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/>
      <x:c r="M244" t="str"/>
    </x:row>
    <x:row r="245">
      <x:c r="A245" t="n">
        <x:v>25</x:v>
      </x:c>
      <x:c r="B245" t="str"/>
      <x:c r="C245" t="str">
        <x:v>ICG–ICP LD</x:v>
      </x:c>
      <x:c r="D245" t="n">
        <x:v>0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/>
      <x:c r="M245" t="str"/>
    </x:row>
    <x:row r="246">
      <x:c r="A246" t="n">
        <x:v>25</x:v>
      </x:c>
      <x:c r="B246" t="str"/>
      <x:c r="C246" t="str">
        <x:v>BHS–SLQ</x:v>
      </x:c>
      <x:c r="D246" t="n">
        <x:v>0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/>
      <x:c r="M246" t="str"/>
    </x:row>
    <x:row r="247">
      <x:c r="A247" t="n">
        <x:v>25</x:v>
      </x:c>
      <x:c r="B247" t="str"/>
      <x:c r="C247" t="str">
        <x:v>SLQ–WIS</x:v>
      </x:c>
      <x:c r="D247" t="n">
        <x:v>0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/>
      <x:c r="M247" t="str"/>
    </x:row>
    <x:row r="248">
      <x:c r="A248" t="n">
        <x:v>25</x:v>
      </x:c>
      <x:c r="B248" t="str"/>
      <x:c r="C248" t="str">
        <x:v>NQO–NQD</x:v>
      </x:c>
      <x:c r="D248" t="n">
        <x:v>0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/>
      <x:c r="M248" t="str"/>
    </x:row>
    <x:row r="249">
      <x:c r="A249" t="n">
        <x:v>25</x:v>
      </x:c>
      <x:c r="B249" t="str"/>
      <x:c r="C249" t="str">
        <x:v>WIN–NC</x:v>
      </x:c>
      <x:c r="D249" t="n">
        <x:v>0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/>
      <x:c r="M249" t="str"/>
    </x:row>
    <x:row r="250">
      <x:c r="A250" t="n">
        <x:v>25</x:v>
      </x:c>
      <x:c r="B250" t="str"/>
      <x:c r="C250" t="str">
        <x:v>SCA–SC1</x:v>
      </x:c>
      <x:c r="D250" t="n">
        <x:v>0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/>
      <x:c r="M250" t="str"/>
    </x:row>
    <x:row r="251">
      <x:c r="A251" t="n">
        <x:v>25</x:v>
      </x:c>
      <x:c r="B251" t="str"/>
      <x:c r="C251" t="str">
        <x:v>SCA–SCF</x:v>
      </x:c>
      <x:c r="D251" t="n">
        <x:v>0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/>
      <x:c r="M251" t="str"/>
    </x:row>
    <x:row r="252">
      <x:c r="A252" t="n">
        <x:v>26</x:v>
      </x:c>
      <x:c r="B252" t="str"/>
      <x:c r="C252" t="str">
        <x:v>ICW–ICG UD</x:v>
      </x:c>
      <x:c r="D252" t="n">
        <x:v>0</x:v>
      </x:c>
      <x:c r="E252" t="n">
        <x:v>0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/>
      <x:c r="M252" t="str"/>
    </x:row>
    <x:row r="253">
      <x:c r="A253" t="n">
        <x:v>26</x:v>
      </x:c>
      <x:c r="B253" t="str"/>
      <x:c r="C253" t="str">
        <x:v>ICW–ICG LD</x:v>
      </x:c>
      <x:c r="D253" t="n">
        <x:v>0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/>
      <x:c r="M253" t="str"/>
    </x:row>
    <x:row r="254">
      <x:c r="A254" t="n">
        <x:v>26</x:v>
      </x:c>
      <x:c r="B254" t="str"/>
      <x:c r="C254" t="str">
        <x:v>ICG–ICP UD</x:v>
      </x:c>
      <x:c r="D254" t="n">
        <x:v>0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/>
      <x:c r="M254" t="str"/>
    </x:row>
    <x:row r="255">
      <x:c r="A255" t="n">
        <x:v>26</x:v>
      </x:c>
      <x:c r="B255" t="str"/>
      <x:c r="C255" t="str">
        <x:v>ICG–ICP LD</x:v>
      </x:c>
      <x:c r="D255" t="n">
        <x:v>0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/>
      <x:c r="M255" t="str"/>
    </x:row>
    <x:row r="256">
      <x:c r="A256" t="n">
        <x:v>26</x:v>
      </x:c>
      <x:c r="B256" t="str"/>
      <x:c r="C256" t="str">
        <x:v>BHS–SLQ</x:v>
      </x:c>
      <x:c r="D256" t="n">
        <x:v>0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/>
      <x:c r="M256" t="str"/>
    </x:row>
    <x:row r="257">
      <x:c r="A257" t="n">
        <x:v>26</x:v>
      </x:c>
      <x:c r="B257" t="str"/>
      <x:c r="C257" t="str">
        <x:v>SLQ–WIS</x:v>
      </x:c>
      <x:c r="D257" t="n">
        <x:v>0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/>
      <x:c r="M257" t="str"/>
    </x:row>
    <x:row r="258">
      <x:c r="A258" t="n">
        <x:v>26</x:v>
      </x:c>
      <x:c r="B258" t="str"/>
      <x:c r="C258" t="str">
        <x:v>NQO–NQD</x:v>
      </x:c>
      <x:c r="D258" t="n">
        <x:v>0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/>
      <x:c r="M258" t="str"/>
    </x:row>
    <x:row r="259">
      <x:c r="A259" t="n">
        <x:v>26</x:v>
      </x:c>
      <x:c r="B259" t="str"/>
      <x:c r="C259" t="str">
        <x:v>WIN–NC</x:v>
      </x:c>
      <x:c r="D259" t="n">
        <x:v>0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/>
      <x:c r="M259" t="str"/>
    </x:row>
    <x:row r="260">
      <x:c r="A260" t="n">
        <x:v>26</x:v>
      </x:c>
      <x:c r="B260" t="str"/>
      <x:c r="C260" t="str">
        <x:v>SCA–SC1</x:v>
      </x:c>
      <x:c r="D260" t="n">
        <x:v>0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/>
      <x:c r="M260" t="str"/>
    </x:row>
    <x:row r="261">
      <x:c r="A261" t="n">
        <x:v>26</x:v>
      </x:c>
      <x:c r="B261" t="str"/>
      <x:c r="C261" t="str">
        <x:v>SCA–SCF</x:v>
      </x:c>
      <x:c r="D261" t="n">
        <x:v>0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/>
      <x:c r="M261" t="str"/>
    </x:row>
    <x:row r="262">
      <x:c r="A262" t="n">
        <x:v>27</x:v>
      </x:c>
      <x:c r="B262" t="str"/>
      <x:c r="C262" t="str">
        <x:v>ICW–ICG UD</x:v>
      </x:c>
      <x:c r="D262" t="n">
        <x:v>0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/>
      <x:c r="M262" t="str"/>
    </x:row>
    <x:row r="263">
      <x:c r="A263" t="n">
        <x:v>27</x:v>
      </x:c>
      <x:c r="B263" t="str"/>
      <x:c r="C263" t="str">
        <x:v>ICW–ICG LD</x:v>
      </x:c>
      <x:c r="D263" t="n">
        <x:v>0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/>
      <x:c r="M263" t="str"/>
    </x:row>
    <x:row r="264">
      <x:c r="A264" t="n">
        <x:v>27</x:v>
      </x:c>
      <x:c r="B264" t="str"/>
      <x:c r="C264" t="str">
        <x:v>ICG–ICP UD</x:v>
      </x:c>
      <x:c r="D264" t="n">
        <x:v>0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/>
      <x:c r="M264" t="str"/>
    </x:row>
    <x:row r="265">
      <x:c r="A265" t="n">
        <x:v>27</x:v>
      </x:c>
      <x:c r="B265" t="str"/>
      <x:c r="C265" t="str">
        <x:v>ICG–ICP LD</x:v>
      </x:c>
      <x:c r="D265" t="n">
        <x:v>0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/>
      <x:c r="M265" t="str"/>
    </x:row>
    <x:row r="266">
      <x:c r="A266" t="n">
        <x:v>27</x:v>
      </x:c>
      <x:c r="B266" t="str"/>
      <x:c r="C266" t="str">
        <x:v>BHS–SLQ</x:v>
      </x:c>
      <x:c r="D266" t="n">
        <x:v>0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/>
      <x:c r="M266" t="str"/>
    </x:row>
    <x:row r="267">
      <x:c r="A267" t="n">
        <x:v>27</x:v>
      </x:c>
      <x:c r="B267" t="str"/>
      <x:c r="C267" t="str">
        <x:v>SLQ–WIS</x:v>
      </x:c>
      <x:c r="D267" t="n">
        <x:v>0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/>
      <x:c r="M267" t="str"/>
    </x:row>
    <x:row r="268">
      <x:c r="A268" t="n">
        <x:v>27</x:v>
      </x:c>
      <x:c r="B268" t="str"/>
      <x:c r="C268" t="str">
        <x:v>NQO–NQD</x:v>
      </x:c>
      <x:c r="D268" t="n">
        <x:v>0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/>
      <x:c r="M268" t="str"/>
    </x:row>
    <x:row r="269">
      <x:c r="A269" t="n">
        <x:v>27</x:v>
      </x:c>
      <x:c r="B269" t="str"/>
      <x:c r="C269" t="str">
        <x:v>WIN–NC</x:v>
      </x:c>
      <x:c r="D269" t="n">
        <x:v>0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/>
      <x:c r="M269" t="str"/>
    </x:row>
    <x:row r="270">
      <x:c r="A270" t="n">
        <x:v>27</x:v>
      </x:c>
      <x:c r="B270" t="str"/>
      <x:c r="C270" t="str">
        <x:v>SCA–SC1</x:v>
      </x:c>
      <x:c r="D270" t="n">
        <x:v>0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/>
      <x:c r="M270" t="str"/>
    </x:row>
    <x:row r="271">
      <x:c r="A271" t="n">
        <x:v>27</x:v>
      </x:c>
      <x:c r="B271" t="str"/>
      <x:c r="C271" t="str">
        <x:v>SCA–SCF</x:v>
      </x:c>
      <x:c r="D271" t="n">
        <x:v>0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/>
      <x:c r="M271" t="str"/>
    </x:row>
    <x:row r="272">
      <x:c r="A272" t="n">
        <x:v>28</x:v>
      </x:c>
      <x:c r="B272" t="str"/>
      <x:c r="C272" t="str">
        <x:v>ICW–ICG UD</x:v>
      </x:c>
      <x:c r="D272" t="n">
        <x:v>0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/>
      <x:c r="M272" t="str"/>
    </x:row>
    <x:row r="273">
      <x:c r="A273" t="n">
        <x:v>28</x:v>
      </x:c>
      <x:c r="B273" t="str"/>
      <x:c r="C273" t="str">
        <x:v>ICW–ICG LD</x:v>
      </x:c>
      <x:c r="D273" t="n">
        <x:v>0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/>
      <x:c r="M273" t="str"/>
    </x:row>
    <x:row r="274">
      <x:c r="A274" t="n">
        <x:v>28</x:v>
      </x:c>
      <x:c r="B274" t="str"/>
      <x:c r="C274" t="str">
        <x:v>ICG–ICP UD</x:v>
      </x:c>
      <x:c r="D274" t="n">
        <x:v>0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/>
      <x:c r="M274" t="str"/>
    </x:row>
    <x:row r="275">
      <x:c r="A275" t="n">
        <x:v>28</x:v>
      </x:c>
      <x:c r="B275" t="str"/>
      <x:c r="C275" t="str">
        <x:v>ICG–ICP LD</x:v>
      </x:c>
      <x:c r="D275" t="n">
        <x:v>0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/>
      <x:c r="M275" t="str"/>
    </x:row>
    <x:row r="276">
      <x:c r="A276" t="n">
        <x:v>28</x:v>
      </x:c>
      <x:c r="B276" t="str"/>
      <x:c r="C276" t="str">
        <x:v>BHS–SLQ</x:v>
      </x:c>
      <x:c r="D276" t="n">
        <x:v>0</x:v>
      </x:c>
      <x:c r="E276" t="n">
        <x:v>0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/>
      <x:c r="M276" t="str"/>
    </x:row>
    <x:row r="277">
      <x:c r="A277" t="n">
        <x:v>28</x:v>
      </x:c>
      <x:c r="B277" t="str"/>
      <x:c r="C277" t="str">
        <x:v>SLQ–WIS</x:v>
      </x:c>
      <x:c r="D277" t="n">
        <x:v>0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/>
      <x:c r="M277" t="str"/>
    </x:row>
    <x:row r="278">
      <x:c r="A278" t="n">
        <x:v>28</x:v>
      </x:c>
      <x:c r="B278" t="str"/>
      <x:c r="C278" t="str">
        <x:v>NQO–NQD</x:v>
      </x:c>
      <x:c r="D278" t="n">
        <x:v>0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/>
      <x:c r="M278" t="str"/>
    </x:row>
    <x:row r="279">
      <x:c r="A279" t="n">
        <x:v>28</x:v>
      </x:c>
      <x:c r="B279" t="str"/>
      <x:c r="C279" t="str">
        <x:v>WIN–NC</x:v>
      </x:c>
      <x:c r="D279" t="n">
        <x:v>0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/>
      <x:c r="M279" t="str"/>
    </x:row>
    <x:row r="280">
      <x:c r="A280" t="n">
        <x:v>28</x:v>
      </x:c>
      <x:c r="B280" t="str"/>
      <x:c r="C280" t="str">
        <x:v>SCA–SC1</x:v>
      </x:c>
      <x:c r="D280" t="n">
        <x:v>0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/>
      <x:c r="M280" t="str"/>
    </x:row>
    <x:row r="281">
      <x:c r="A281" t="n">
        <x:v>28</x:v>
      </x:c>
      <x:c r="B281" t="str"/>
      <x:c r="C281" t="str">
        <x:v>SCA–SCF</x:v>
      </x:c>
      <x:c r="D281" t="n">
        <x:v>0</x:v>
      </x:c>
      <x:c r="E281" t="n">
        <x:v>0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/>
      <x:c r="M281" t="str"/>
    </x:row>
    <x:row r="282">
      <x:c r="A282" t="n">
        <x:v>29</x:v>
      </x:c>
      <x:c r="B282" t="str"/>
      <x:c r="C282" t="str">
        <x:v>ICW–ICG UD</x:v>
      </x:c>
      <x:c r="D282" t="n">
        <x:v>0</x:v>
      </x:c>
      <x:c r="E282" t="n">
        <x:v>0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/>
      <x:c r="M282" t="str"/>
    </x:row>
    <x:row r="283">
      <x:c r="A283" t="n">
        <x:v>29</x:v>
      </x:c>
      <x:c r="B283" t="str"/>
      <x:c r="C283" t="str">
        <x:v>ICW–ICG LD</x:v>
      </x:c>
      <x:c r="D283" t="n">
        <x:v>0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/>
      <x:c r="M283" t="str"/>
    </x:row>
    <x:row r="284">
      <x:c r="A284" t="n">
        <x:v>29</x:v>
      </x:c>
      <x:c r="B284" t="str"/>
      <x:c r="C284" t="str">
        <x:v>ICG–ICP UD</x:v>
      </x:c>
      <x:c r="D284" t="n">
        <x:v>0</x:v>
      </x:c>
      <x:c r="E284" t="n">
        <x:v>0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/>
      <x:c r="M284" t="str"/>
    </x:row>
    <x:row r="285">
      <x:c r="A285" t="n">
        <x:v>29</x:v>
      </x:c>
      <x:c r="B285" t="str"/>
      <x:c r="C285" t="str">
        <x:v>ICG–ICP LD</x:v>
      </x:c>
      <x:c r="D285" t="n">
        <x:v>0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/>
      <x:c r="M285" t="str"/>
    </x:row>
    <x:row r="286">
      <x:c r="A286" t="n">
        <x:v>29</x:v>
      </x:c>
      <x:c r="B286" t="str"/>
      <x:c r="C286" t="str">
        <x:v>BHS–SLQ</x:v>
      </x:c>
      <x:c r="D286" t="n">
        <x:v>0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/>
      <x:c r="M286" t="str"/>
    </x:row>
    <x:row r="287">
      <x:c r="A287" t="n">
        <x:v>29</x:v>
      </x:c>
      <x:c r="B287" t="str"/>
      <x:c r="C287" t="str">
        <x:v>SLQ–WIS</x:v>
      </x:c>
      <x:c r="D287" t="n">
        <x:v>0</x:v>
      </x:c>
      <x:c r="E287" t="n">
        <x:v>0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/>
      <x:c r="M287" t="str"/>
    </x:row>
    <x:row r="288">
      <x:c r="A288" t="n">
        <x:v>29</x:v>
      </x:c>
      <x:c r="B288" t="str"/>
      <x:c r="C288" t="str">
        <x:v>NQO–NQD</x:v>
      </x:c>
      <x:c r="D288" t="n">
        <x:v>0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/>
      <x:c r="M288" t="str"/>
    </x:row>
    <x:row r="289">
      <x:c r="A289" t="n">
        <x:v>29</x:v>
      </x:c>
      <x:c r="B289" t="str"/>
      <x:c r="C289" t="str">
        <x:v>WIN–NC</x:v>
      </x:c>
      <x:c r="D289" t="n">
        <x:v>0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/>
      <x:c r="M289" t="str"/>
    </x:row>
    <x:row r="290">
      <x:c r="A290" t="n">
        <x:v>29</x:v>
      </x:c>
      <x:c r="B290" t="str"/>
      <x:c r="C290" t="str">
        <x:v>SCA–SC1</x:v>
      </x:c>
      <x:c r="D290" t="n">
        <x:v>0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/>
      <x:c r="M290" t="str"/>
    </x:row>
    <x:row r="291">
      <x:c r="A291" t="n">
        <x:v>29</x:v>
      </x:c>
      <x:c r="B291" t="str"/>
      <x:c r="C291" t="str">
        <x:v>SCA–SCF</x:v>
      </x:c>
      <x:c r="D291" t="n">
        <x:v>0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/>
      <x:c r="M29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s="6" t="str">
        <x:v>KPI</x:v>
      </x:c>
      <x:c r="B1" s="6" t="str">
        <x:v>Value</x:v>
      </x:c>
      <x:c r="C1" s="6" t="str">
        <x:v>Interpretation</x:v>
      </x:c>
    </x:row>
    <x:row r="2">
      <x:c r="A2" t="str">
        <x:v>Bridge packages</x:v>
      </x:c>
      <x:c r="B2" t="n">
        <x:v>10</x:v>
      </x:c>
      <x:c r="C2" t="str">
        <x:v>Planning scope</x:v>
      </x:c>
    </x:row>
    <x:row r="3">
      <x:c r="A3" t="str">
        <x:v>Bridge steel row total</x:v>
      </x:c>
      <x:c r="B3" t="n">
        <x:f>SUM('Bridge Forecast'!B2:B11)</x:f>
        <x:v>1141</x:v>
      </x:c>
      <x:c r="C3" t="str">
        <x:v>Check 1 MT difference</x:v>
      </x:c>
    </x:row>
    <x:row r="4">
      <x:c r="A4" t="str">
        <x:v>Demolition row total</x:v>
      </x:c>
      <x:c r="B4" t="n">
        <x:f>SUM('Bridge Forecast'!C2:C11)</x:f>
        <x:v>357</x:v>
      </x:c>
      <x:c r="C4" t="str">
        <x:v>Separate removal work</x:v>
      </x:c>
    </x:row>
    <x:row r="5">
      <x:c r="A5" t="str">
        <x:v>Approved / accepted steel MT</x:v>
      </x:c>
      <x:c r="B5" t="n">
        <x:f>SUM('Bridge Forecast'!F2:F11)</x:f>
        <x:v>0</x:v>
      </x:c>
      <x:c r="C5" t="str">
        <x:v>Only verified work counts</x:v>
      </x:c>
    </x:row>
    <x:row r="6">
      <x:c r="A6" t="str">
        <x:v>Bridge readiness gates released</x:v>
      </x:c>
      <x:c r="B6" t="n">
        <x:f>COUNTIF('Release Gate'!K2:K11,"READY")</x:f>
        <x:v>0</x:v>
      </x:c>
      <x:c r="C6" t="str">
        <x:v>Nine gates must all be YES</x:v>
      </x:c>
    </x:row>
    <x:row r="7">
      <x:c r="A7" t="str">
        <x:v>Packages with recovery warning</x:v>
      </x:c>
      <x:c r="B7" t="n">
        <x:f>COUNTIF('Bridge Forecast'!S2:S11,"RECOVERY REQUIRED")</x:f>
        <x:v>0</x:v>
      </x:c>
      <x:c r="C7" t="str">
        <x:v>Requires forecast data</x:v>
      </x:c>
    </x:row>
    <x:row r="8">
      <x:c r="A8" t="str">
        <x:v>Open constraints</x:v>
      </x:c>
      <x:c r="B8" t="n">
        <x:f>COUNTIF('Early Warning'!H2:H8,"Open")</x:f>
        <x:v>7</x:v>
      </x:c>
      <x:c r="C8" t="str">
        <x:v>Track closure evidence</x:v>
      </x:c>
    </x:row>
    <x:row r="9">
      <x:c r="A9" t="str">
        <x:v>Forecast completion day</x:v>
      </x:c>
      <x:c r="B9" t="str">
        <x:v>NOT CALCULATED</x:v>
      </x:c>
      <x:c r="C9" t="str">
        <x:v>Cannot claim Day 360 feasibility without actual productivity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>
      <x:c r="A1" s="6" t="str">
        <x:v>Area</x:v>
      </x:c>
      <x:c r="B1" s="6" t="str">
        <x:v>Instruction</x:v>
      </x:c>
    </x:row>
    <x:row r="2">
      <x:c r="A2" t="str">
        <x:v>Purpose</x:v>
      </x:c>
      <x:c r="B2" t="str">
        <x:v>Pre-award early warning; not an approved resource-levelled CPM or safety method statement</x:v>
      </x:c>
    </x:row>
    <x:row r="3">
      <x:c r="A3" t="str">
        <x:v>Inputs</x:v>
      </x:c>
      <x:c r="B3" t="str">
        <x:v>Enter accepted quantities, productive crew-days, planned quantities and current day in Bridge Forecast</x:v>
      </x:c>
    </x:row>
    <x:row r="4">
      <x:c r="A4" t="str">
        <x:v>No invented productivity</x:v>
      </x:c>
      <x:c r="B4" t="str">
        <x:v>Forecast remains blank until actual productivity is supplied</x:v>
      </x:c>
    </x:row>
    <x:row r="5">
      <x:c r="A5" t="str">
        <x:v>Risk</x:v>
      </x:c>
      <x:c r="B5" t="str">
        <x:v>Crew-day forecast is simplified; CPM, shared vessel conflicts and work fronts must be checked separately</x:v>
      </x:c>
    </x:row>
    <x:row r="6">
      <x:c r="A6" t="str">
        <x:v>Financial</x:v>
      </x:c>
      <x:c r="B6" t="str">
        <x:v>Stage 26 financial data must be mapped by approved cost codes; no invented pricing</x:v>
      </x:c>
    </x:row>
    <x:row r="7">
      <x:c r="A7" t="str">
        <x:v>Contract</x:v>
      </x:c>
      <x:c r="B7" t="str">
        <x:v>Award and commencement unconfirmed; 1 Nov is a scenario only</x:v>
      </x:c>
    </x:row>
    <x:row r="8">
      <x:c r="A8" t="str">
        <x:v>Engineering</x:v>
      </x:c>
      <x:c r="B8" t="str">
        <x:v>Independent qualified offshore engineers must approve lifting, demolition, structural design and marine methods</x:v>
      </x:c>
    </x:row>
    <x:row r="9">
      <x:c r="A9" t="str">
        <x:v>Sources</x:v>
      </x:c>
      <x:c r="B9" t="str">
        <x:v>CII Advanced Work Packaging; Oracle Primavera earned value; IMCA LR006</x:v>
      </x:c>
    </x:row>
  </x:sheetData>
  <x:pageMargins left="0.7" right="0.7" top="0.75" bottom="0.75" header="0.3" footer="0.3"/>
</x:worksheet>
</file>