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df7876ecc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c31e3c2951348ee"/>
    <x:sheet xmlns:r="http://schemas.openxmlformats.org/officeDocument/2006/relationships" name="Bridge Cost Model" sheetId="2" r:id="Rd8d1789390fd449e"/>
    <x:sheet xmlns:r="http://schemas.openxmlformats.org/officeDocument/2006/relationships" name="Shared Resources" sheetId="3" r:id="R1c4ea733677e4bea"/>
    <x:sheet xmlns:r="http://schemas.openxmlformats.org/officeDocument/2006/relationships" name="29 Week Cash Flow" sheetId="4" r:id="Re6207e5987a7448b"/>
    <x:sheet xmlns:r="http://schemas.openxmlformats.org/officeDocument/2006/relationships" name="CEO Gates" sheetId="5" r:id="R51ff8fd1df52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6e3c14dfd40e4" /><Relationship Type="http://schemas.openxmlformats.org/officeDocument/2006/relationships/theme" Target="/xl/theme/theme1.xml" Id="R71930ccafc5e44dc" /><Relationship Type="http://schemas.openxmlformats.org/officeDocument/2006/relationships/sharedStrings" Target="/xl/sharedStrings.xml" Id="R01d69d23e52c403e" /><Relationship Type="http://schemas.openxmlformats.org/officeDocument/2006/relationships/worksheet" Target="/xl/worksheets/sheet1.xml" Id="R0c31e3c2951348ee" /><Relationship Type="http://schemas.openxmlformats.org/officeDocument/2006/relationships/worksheet" Target="/xl/worksheets/sheet2.xml" Id="Rd8d1789390fd449e" /><Relationship Type="http://schemas.openxmlformats.org/officeDocument/2006/relationships/worksheet" Target="/xl/worksheets/sheet3.xml" Id="R1c4ea733677e4bea" /><Relationship Type="http://schemas.openxmlformats.org/officeDocument/2006/relationships/worksheet" Target="/xl/worksheets/sheet4.xml" Id="Re6207e5987a7448b" /><Relationship Type="http://schemas.openxmlformats.org/officeDocument/2006/relationships/worksheet" Target="/xl/worksheets/sheet5.xml" Id="R51ff8fd1df52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0" hidden="0" customWidth="1"/>
  </x:cols>
  <x:sheetData>
    <x:row r="1">
      <x:c r="A1" s="6" t="str">
        <x:v>SHIVANSH BRRP — STAGE 25</x:v>
      </x:c>
      <x:c r="B1" s="6" t="str">
        <x:v>PRE-AWARD COST &amp; CASH FLOW MODEL</x:v>
      </x:c>
    </x:row>
    <x:row r="2">
      <x:c r="A2" t="str">
        <x:v>Status</x:v>
      </x:c>
      <x:c r="B2" t="str">
        <x:v>Illustrative, not bid price or verified resource estimate</x:v>
      </x:c>
    </x:row>
    <x:row r="3">
      <x:c r="A3" t="str">
        <x:v>Commencement assumption</x:v>
      </x:c>
      <x:c r="B3" t="str">
        <x:v>2026-11-01 (conditional)</x:v>
      </x:c>
    </x:row>
    <x:row r="4">
      <x:c r="A4" t="str">
        <x:v>Contract duration</x:v>
      </x:c>
      <x:c r="B4" t="str">
        <x:v>360 calendar days; SCC verification pending</x:v>
      </x:c>
    </x:row>
    <x:row r="5">
      <x:c r="A5" t="str">
        <x:v>Printed structural MTO (MT)</x:v>
      </x:c>
      <x:c r="B5" t="n">
        <x:v>1142</x:v>
      </x:c>
    </x:row>
    <x:row r="6">
      <x:c r="A6" t="str">
        <x:v>Bridge row total (MT)</x:v>
      </x:c>
      <x:c r="B6" t="n">
        <x:v>1141</x:v>
      </x:c>
    </x:row>
    <x:row r="7">
      <x:c r="A7" t="str">
        <x:v>Difference (MT)</x:v>
      </x:c>
      <x:c r="B7" t="n">
        <x:v>1</x:v>
      </x:c>
    </x:row>
    <x:row r="8">
      <x:c r="A8" t="str">
        <x:v>Demolition quantity (MT)</x:v>
      </x:c>
      <x:c r="B8" t="n">
        <x:v>357</x:v>
      </x:c>
    </x:row>
    <x:row r="9">
      <x:c r="A9" t="str">
        <x:v>Cost entries</x:v>
      </x:c>
      <x:c r="B9" t="str">
        <x:v>Input quotations/rates only; blank means not priced</x:v>
      </x:c>
    </x:row>
    <x:row r="10">
      <x:c r="A10" t="str">
        <x:v>Important</x:v>
      </x:c>
      <x:c r="B10" t="str">
        <x:v>All marine, lifting, structural and demolition methods require qualified engineering approval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2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6" t="str">
        <x:v>Bridge</x:v>
      </x:c>
      <x:c r="B1" s="6" t="str">
        <x:v>Steel MT</x:v>
      </x:c>
      <x:c r="C1" s="6" t="str">
        <x:v>Demolition MT</x:v>
      </x:c>
      <x:c r="D1" s="6" t="str">
        <x:v>Workstream</x:v>
      </x:c>
      <x:c r="E1" s="6" t="str">
        <x:v>Material ₹/MT</x:v>
      </x:c>
      <x:c r="F1" s="6" t="str">
        <x:v>Shop fabrication ₹/MT</x:v>
      </x:c>
      <x:c r="G1" s="6" t="str">
        <x:v>Offshore work ₹/MT</x:v>
      </x:c>
      <x:c r="H1" s="6" t="str">
        <x:v>Demolition ₹/MT</x:v>
      </x:c>
      <x:c r="I1" s="6" t="str">
        <x:v>Other direct ₹</x:v>
      </x:c>
      <x:c r="J1" s="6" t="str">
        <x:v>Marine allocation ₹</x:v>
      </x:c>
      <x:c r="K1" s="6" t="str">
        <x:v>Engineering QA ₹</x:v>
      </x:c>
      <x:c r="L1" s="6" t="str">
        <x:v>Contingency ₹</x:v>
      </x:c>
      <x:c r="M1" s="6" t="str">
        <x:v>Forecast cost ₹</x:v>
      </x:c>
      <x:c r="N1" s="6" t="str">
        <x:v>Quoted value ₹</x:v>
      </x:c>
      <x:c r="O1" s="6" t="str">
        <x:v>Margin ₹</x:v>
      </x:c>
      <x:c r="P1" s="6" t="str">
        <x:v>Pricing status</x:v>
      </x:c>
    </x:row>
    <x:row r="2">
      <x:c r="A2" t="str">
        <x:v>ICW–ICG UD</x:v>
      </x:c>
      <x:c r="B2" t="n">
        <x:v>49</x:v>
      </x:c>
      <x:c r="C2" t="n">
        <x:v>25</x:v>
      </x:c>
      <x:c r="D2" t="str">
        <x:v>Strengthening A</x:v>
      </x:c>
      <x:c r="M2" t="str">
        <x:f>IF(COUNT(E2:L2)=0,"",B2*SUM(E2:G2)+C2*H2+SUM(I2:L2))</x:f>
      </x:c>
      <x:c r="O2" t="str">
        <x:f>IF(OR(M2="",N2=""),"",N2-M2)</x:f>
      </x:c>
      <x:c r="P2" t="str">
        <x:f>IF(COUNT(E2:L2)=0,"UNPRICED","PARTIAL / REVIEW")</x:f>
        <x:v>UNPRICED</x:v>
      </x:c>
    </x:row>
    <x:row r="3">
      <x:c r="A3" t="str">
        <x:v>ICW–ICG LD</x:v>
      </x:c>
      <x:c r="B3" t="n">
        <x:v>122</x:v>
      </x:c>
      <x:c r="C3" t="n">
        <x:v>1</x:v>
      </x:c>
      <x:c r="D3" t="str">
        <x:v>New bridge</x:v>
      </x:c>
      <x:c r="M3" t="str">
        <x:f>IF(COUNT(E3:L3)=0,"",B3*SUM(E3:G3)+C3*H3+SUM(I3:L3))</x:f>
      </x:c>
      <x:c r="O3" t="str">
        <x:f>IF(OR(M3="",N3=""),"",N3-M3)</x:f>
      </x:c>
      <x:c r="P3" t="str">
        <x:f>IF(COUNT(E3:L3)=0,"UNPRICED","PARTIAL / REVIEW")</x:f>
        <x:v>UNPRICED</x:v>
      </x:c>
    </x:row>
    <x:row r="4">
      <x:c r="A4" t="str">
        <x:v>ICG–ICP UD</x:v>
      </x:c>
      <x:c r="B4" t="n">
        <x:v>116</x:v>
      </x:c>
      <x:c r="C4" t="n">
        <x:v>25</x:v>
      </x:c>
      <x:c r="D4" t="str">
        <x:v>Strengthening A</x:v>
      </x:c>
      <x:c r="M4" t="str">
        <x:f>IF(COUNT(E4:L4)=0,"",B4*SUM(E4:G4)+C4*H4+SUM(I4:L4))</x:f>
      </x:c>
      <x:c r="O4" t="str">
        <x:f>IF(OR(M4="",N4=""),"",N4-M4)</x:f>
      </x:c>
      <x:c r="P4" t="str">
        <x:f>IF(COUNT(E4:L4)=0,"UNPRICED","PARTIAL / REVIEW")</x:f>
        <x:v>UNPRICED</x:v>
      </x:c>
    </x:row>
    <x:row r="5">
      <x:c r="A5" t="str">
        <x:v>ICG–ICP LD</x:v>
      </x:c>
      <x:c r="B5" t="n">
        <x:v>160</x:v>
      </x:c>
      <x:c r="C5" t="n">
        <x:v>1</x:v>
      </x:c>
      <x:c r="D5" t="str">
        <x:v>New bridge</x:v>
      </x:c>
      <x:c r="M5" t="str">
        <x:f>IF(COUNT(E5:L5)=0,"",B5*SUM(E5:G5)+C5*H5+SUM(I5:L5))</x:f>
      </x:c>
      <x:c r="O5" t="str">
        <x:f>IF(OR(M5="",N5=""),"",N5-M5)</x:f>
      </x:c>
      <x:c r="P5" t="str">
        <x:f>IF(COUNT(E5:L5)=0,"UNPRICED","PARTIAL / REVIEW")</x:f>
        <x:v>UNPRICED</x:v>
      </x:c>
    </x:row>
    <x:row r="6">
      <x:c r="A6" t="str">
        <x:v>BHS–SLQ</x:v>
      </x:c>
      <x:c r="B6" t="n">
        <x:v>282</x:v>
      </x:c>
      <x:c r="C6" t="n">
        <x:v>210</x:v>
      </x:c>
      <x:c r="D6" t="str">
        <x:v>Replacement</x:v>
      </x:c>
      <x:c r="M6" t="str">
        <x:f>IF(COUNT(E6:L6)=0,"",B6*SUM(E6:G6)+C6*H6+SUM(I6:L6))</x:f>
      </x:c>
      <x:c r="O6" t="str">
        <x:f>IF(OR(M6="",N6=""),"",N6-M6)</x:f>
      </x:c>
      <x:c r="P6" t="str">
        <x:f>IF(COUNT(E6:L6)=0,"UNPRICED","PARTIAL / REVIEW")</x:f>
        <x:v>UNPRICED</x:v>
      </x:c>
    </x:row>
    <x:row r="7">
      <x:c r="A7" t="str">
        <x:v>SLQ–WIS</x:v>
      </x:c>
      <x:c r="B7" t="n">
        <x:v>91</x:v>
      </x:c>
      <x:c r="C7" t="n">
        <x:v>15</x:v>
      </x:c>
      <x:c r="D7" t="str">
        <x:v>Strengthening A</x:v>
      </x:c>
      <x:c r="M7" t="str">
        <x:f>IF(COUNT(E7:L7)=0,"",B7*SUM(E7:G7)+C7*H7+SUM(I7:L7))</x:f>
      </x:c>
      <x:c r="O7" t="str">
        <x:f>IF(OR(M7="",N7=""),"",N7-M7)</x:f>
      </x:c>
      <x:c r="P7" t="str">
        <x:f>IF(COUNT(E7:L7)=0,"UNPRICED","PARTIAL / REVIEW")</x:f>
        <x:v>UNPRICED</x:v>
      </x:c>
    </x:row>
    <x:row r="8">
      <x:c r="A8" t="str">
        <x:v>NQO–NQD</x:v>
      </x:c>
      <x:c r="B8" t="n">
        <x:v>93</x:v>
      </x:c>
      <x:c r="C8" t="n">
        <x:v>25</x:v>
      </x:c>
      <x:c r="D8" t="str">
        <x:v>Strengthening B</x:v>
      </x:c>
      <x:c r="M8" t="str">
        <x:f>IF(COUNT(E8:L8)=0,"",B8*SUM(E8:G8)+C8*H8+SUM(I8:L8))</x:f>
      </x:c>
      <x:c r="O8" t="str">
        <x:f>IF(OR(M8="",N8=""),"",N8-M8)</x:f>
      </x:c>
      <x:c r="P8" t="str">
        <x:f>IF(COUNT(E8:L8)=0,"UNPRICED","PARTIAL / REVIEW")</x:f>
        <x:v>UNPRICED</x:v>
      </x:c>
    </x:row>
    <x:row r="9">
      <x:c r="A9" t="str">
        <x:v>WIN–NC</x:v>
      </x:c>
      <x:c r="B9" t="n">
        <x:v>46</x:v>
      </x:c>
      <x:c r="C9" t="n">
        <x:v>10</x:v>
      </x:c>
      <x:c r="D9" t="str">
        <x:v>Strengthening B</x:v>
      </x:c>
      <x:c r="M9" t="str">
        <x:f>IF(COUNT(E9:L9)=0,"",B9*SUM(E9:G9)+C9*H9+SUM(I9:L9))</x:f>
      </x:c>
      <x:c r="O9" t="str">
        <x:f>IF(OR(M9="",N9=""),"",N9-M9)</x:f>
      </x:c>
      <x:c r="P9" t="str">
        <x:f>IF(COUNT(E9:L9)=0,"UNPRICED","PARTIAL / REVIEW")</x:f>
        <x:v>UNPRICED</x:v>
      </x:c>
    </x:row>
    <x:row r="10">
      <x:c r="A10" t="str">
        <x:v>SCA–SC1</x:v>
      </x:c>
      <x:c r="B10" t="n">
        <x:v>63</x:v>
      </x:c>
      <x:c r="C10" t="n">
        <x:v>15</x:v>
      </x:c>
      <x:c r="D10" t="str">
        <x:v>Strengthening B</x:v>
      </x:c>
      <x:c r="M10" t="str">
        <x:f>IF(COUNT(E10:L10)=0,"",B10*SUM(E10:G10)+C10*H10+SUM(I10:L10))</x:f>
      </x:c>
      <x:c r="O10" t="str">
        <x:f>IF(OR(M10="",N10=""),"",N10-M10)</x:f>
      </x:c>
      <x:c r="P10" t="str">
        <x:f>IF(COUNT(E10:L10)=0,"UNPRICED","PARTIAL / REVIEW")</x:f>
        <x:v>UNPRICED</x:v>
      </x:c>
    </x:row>
    <x:row r="11">
      <x:c r="A11" t="str">
        <x:v>SCA–SCF</x:v>
      </x:c>
      <x:c r="B11" t="n">
        <x:v>119</x:v>
      </x:c>
      <x:c r="C11" t="n">
        <x:v>30</x:v>
      </x:c>
      <x:c r="D11" t="str">
        <x:v>Strengthening B</x:v>
      </x:c>
      <x:c r="M11" t="str">
        <x:f>IF(COUNT(E11:L11)=0,"",B11*SUM(E11:G11)+C11*H11+SUM(I11:L11))</x:f>
      </x:c>
      <x:c r="O11" t="str">
        <x:f>IF(OR(M11="",N11=""),"",N11-M11)</x:f>
      </x:c>
      <x:c r="P11" t="str">
        <x:f>IF(COUNT(E11:L11)=0,"UNPRICED","PARTIAL / REVIEW")</x:f>
        <x:v>UNPRICED</x:v>
      </x:c>
    </x:row>
    <x:row r="12">
      <x:c r="A12" t="str">
        <x:v>BRIDGE ROW TOTAL</x:v>
      </x:c>
      <x:c r="B12" t="n">
        <x:f>SUM(B2:B11)</x:f>
        <x:v>1141</x:v>
      </x:c>
      <x:c r="C12" t="n">
        <x:f>SUM(C2:C11)</x:f>
        <x:v>357</x:v>
      </x:c>
      <x:c r="M12" t="n">
        <x:f>SUM(M2:M11)</x:f>
        <x:v>0</x:v>
      </x:c>
      <x:c r="N12" t="n">
        <x:f>SUM(N2:N11)</x:f>
        <x:v>0</x:v>
      </x:c>
      <x:c r="O12" t="n">
        <x:f>SUM(O2:O11)</x:f>
        <x:v>0</x:v>
      </x:c>
    </x:row>
    <x:row r="14">
      <x:c r="A14" t="str">
        <x:v>Printed MTO steel MT</x:v>
      </x:c>
      <x:c r="B14" t="n">
        <x:v>1142</x:v>
      </x:c>
    </x:row>
    <x:row r="15">
      <x:c r="A15" t="str">
        <x:v>Difference against rows</x:v>
      </x:c>
      <x:c r="B15" t="n">
        <x:f>B14-B12</x:f>
        <x:v>1</x:v>
      </x:c>
    </x:row>
    <x:row r="16">
      <x:c r="A16" t="str">
        <x:v>Status</x:v>
      </x:c>
      <x:c r="B16" t="str">
        <x:v>Printed summary differs by 1 MT; investigate source MTO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6" t="str">
        <x:v>Resource</x:v>
      </x:c>
      <x:c r="B1" s="6" t="str">
        <x:v>Units / days</x:v>
      </x:c>
      <x:c r="C1" s="6" t="str">
        <x:v>Unit rate ₹</x:v>
      </x:c>
      <x:c r="D1" s="6" t="str">
        <x:v>Mobilisation ₹</x:v>
      </x:c>
      <x:c r="E1" s="6" t="str">
        <x:v>Forecast cost ₹</x:v>
      </x:c>
      <x:c r="F1" s="6" t="str">
        <x:v>Evidence / supplier</x:v>
      </x:c>
    </x:row>
    <x:row r="2">
      <x:c r="A2" t="str">
        <x:v>Engineering support (hours)</x:v>
      </x:c>
      <x:c r="E2" t="str">
        <x:f>IF(COUNT(B2:D2)=0,"",B2*C2+D2)</x:f>
      </x:c>
    </x:row>
    <x:row r="3">
      <x:c r="A3" t="str">
        <x:v>Fabrication lines (line-days)</x:v>
      </x:c>
      <x:c r="E3" t="str">
        <x:f>IF(COUNT(B3:D3)=0,"",B3*C3+D3)</x:f>
      </x:c>
    </x:row>
    <x:row r="4">
      <x:c r="A4" t="str">
        <x:v>Strengthening crews (crew-days)</x:v>
      </x:c>
      <x:c r="E4" t="str">
        <x:f>IF(COUNT(B4:D4)=0,"",B4*C4+D4)</x:f>
      </x:c>
    </x:row>
    <x:row r="5">
      <x:c r="A5" t="str">
        <x:v>Bridge installation crew (crew-days)</x:v>
      </x:c>
      <x:c r="E5" t="str">
        <x:f>IF(COUNT(B5:D5)=0,"",B5*C5+D5)</x:f>
      </x:c>
    </x:row>
    <x:row r="6">
      <x:c r="A6" t="str">
        <x:v>Heavy-lift spread (charter days)</x:v>
      </x:c>
      <x:c r="E6" t="str">
        <x:f>IF(COUNT(B6:D6)=0,"",B6*C6+D6)</x:f>
      </x:c>
    </x:row>
    <x:row r="7">
      <x:c r="A7" t="str">
        <x:v>Accommodation barge (days)</x:v>
      </x:c>
      <x:c r="E7" t="str">
        <x:f>IF(COUNT(B7:D7)=0,"",B7*C7+D7)</x:f>
      </x:c>
    </x:row>
    <x:row r="8">
      <x:c r="A8" t="str">
        <x:v>Cargo barge (days)</x:v>
      </x:c>
      <x:c r="E8" t="str">
        <x:f>IF(COUNT(B8:D8)=0,"",B8*C8+D8)</x:f>
      </x:c>
    </x:row>
    <x:row r="9">
      <x:c r="A9" t="str">
        <x:v>Tugs / AHTS (days)</x:v>
      </x:c>
      <x:c r="E9" t="str">
        <x:f>IF(COUNT(B9:D9)=0,"",B9*C9+D9)</x:f>
      </x:c>
    </x:row>
    <x:row r="10">
      <x:c r="A10" t="str">
        <x:v>QA NDT inspection (days)</x:v>
      </x:c>
      <x:c r="E10" t="str">
        <x:f>IF(COUNT(B10:D10)=0,"",B10*C10+D10)</x:f>
      </x:c>
    </x:row>
    <x:row r="11">
      <x:c r="A11" t="str">
        <x:v>Project management (staff-months)</x:v>
      </x:c>
      <x:c r="E11" t="str">
        <x:f>IF(COUNT(B11:D11)=0,"",B11*C11+D11)</x:f>
      </x:c>
    </x:row>
    <x:row r="12">
      <x:c r="A12" t="str">
        <x:v>Insurance bonds permits (lump sum)</x:v>
      </x:c>
      <x:c r="E12" t="str">
        <x:f>IF(COUNT(B12:D12)=0,"",B12*C12+D12)</x:f>
      </x:c>
    </x:row>
    <x:row r="13">
      <x:c r="A13" t="str">
        <x:v>Risk allowance (lump sum)</x:v>
      </x:c>
      <x:c r="E13" t="str">
        <x:f>IF(COUNT(B13:D13)=0,"",B13*C13+D13)</x:f>
      </x:c>
    </x:row>
    <x:row r="15">
      <x:c r="A15" t="str">
        <x:v>SHARED RESOURCES TOTAL</x:v>
      </x:c>
      <x:c r="E15" t="n">
        <x:f>SUM(E2:E13)</x:f>
        <x:v>0</x:v>
      </x:c>
    </x:row>
    <x:row r="17">
      <x:c r="A17" t="str">
        <x:v>Allocation rule: assign shared costs to bridges only once. Do not double-count Bridge Cost Model column J/K and this sheet.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6" t="str">
        <x:v>Week</x:v>
      </x:c>
      <x:c r="B1" s="6" t="str">
        <x:v>Stage</x:v>
      </x:c>
      <x:c r="C1" s="6" t="str">
        <x:v>Engineering %</x:v>
      </x:c>
      <x:c r="D1" s="6" t="str">
        <x:v>Materials %</x:v>
      </x:c>
      <x:c r="E1" s="6" t="str">
        <x:v>Fabrication %</x:v>
      </x:c>
      <x:c r="F1" s="6" t="str">
        <x:v>Marine %</x:v>
      </x:c>
      <x:c r="G1" s="6" t="str">
        <x:v>Offshore %</x:v>
      </x:c>
      <x:c r="H1" s="6" t="str">
        <x:v>Other %</x:v>
      </x:c>
      <x:c r="I1" s="6" t="str">
        <x:v>Weekly planned ₹</x:v>
      </x:c>
      <x:c r="J1" s="6" t="str">
        <x:v>Cost category</x:v>
      </x:c>
      <x:c r="K1" s="6" t="str">
        <x:v>Approved budget ₹</x:v>
      </x:c>
      <x:c r="L1" s="6" t="str">
        <x:v>Allocated %</x:v>
      </x:c>
      <x:c r="M1" s="6" t="str">
        <x:v>Allocation check</x:v>
      </x:c>
      <x:c r="N1" s="6" t="str"/>
      <x:c r="O1" t="str">
        <x:v>Cumulative spend ₹</x:v>
      </x:c>
      <x:c r="P1" t="str"/>
      <x:c r="Q1" t="str"/>
    </x:row>
    <x:row r="2">
      <x:c r="A2" t="n">
        <x:v>1</x:v>
      </x:c>
      <x:c r="B2" t="str">
        <x:v>Mobilise</x:v>
      </x:c>
      <x:c r="I2" t="e">
        <x:f>SUMPRODUCT(C2:H2,$K$2:$K$7)</x:f>
        <x:v>#VALUE!</x:v>
      </x:c>
      <x:c r="J2" t="str">
        <x:v>Engineering</x:v>
      </x:c>
      <x:c r="L2" t="n">
        <x:f>SUM(C2:C30)</x:f>
        <x:v>0</x:v>
      </x:c>
      <x:c r="M2" t="str">
        <x:f>IF(K2="","AWAITING BUDGET",IF(ABS(L2-1)&lt;0.0001,"OK","ALLOCATE 100%"))</x:f>
        <x:v>AWAITING BUDGET</x:v>
      </x:c>
      <x:c r="N2" t="e">
        <x:f>SUM($I$2:I2)</x:f>
        <x:v>#VALUE!</x:v>
      </x:c>
    </x:row>
    <x:row r="3">
      <x:c r="A3" t="n">
        <x:v>2</x:v>
      </x:c>
      <x:c r="B3" t="str">
        <x:v>Mobilise</x:v>
      </x:c>
      <x:c r="I3" t="e">
        <x:f>SUMPRODUCT(C3:H3,$K$2:$K$7)</x:f>
        <x:v>#VALUE!</x:v>
      </x:c>
      <x:c r="J3" t="str">
        <x:v>Materials</x:v>
      </x:c>
      <x:c r="L3" t="n">
        <x:f>SUM(D2:D30)</x:f>
        <x:v>0</x:v>
      </x:c>
      <x:c r="M3" t="str">
        <x:f>IF(K3="","AWAITING BUDGET",IF(ABS(L3-1)&lt;0.0001,"OK","ALLOCATE 100%"))</x:f>
        <x:v>AWAITING BUDGET</x:v>
      </x:c>
      <x:c r="N3" t="e">
        <x:f>SUM($I$2:I3)</x:f>
        <x:v>#VALUE!</x:v>
      </x:c>
    </x:row>
    <x:row r="4">
      <x:c r="A4" t="n">
        <x:v>3</x:v>
      </x:c>
      <x:c r="B4" t="str">
        <x:v>Mobilise</x:v>
      </x:c>
      <x:c r="I4" t="e">
        <x:f>SUMPRODUCT(C4:H4,$K$2:$K$7)</x:f>
        <x:v>#VALUE!</x:v>
      </x:c>
      <x:c r="J4" t="str">
        <x:v>Fabrication</x:v>
      </x:c>
      <x:c r="L4" t="n">
        <x:f>SUM(E2:E30)</x:f>
        <x:v>0</x:v>
      </x:c>
      <x:c r="M4" t="str">
        <x:f>IF(K4="","AWAITING BUDGET",IF(ABS(L4-1)&lt;0.0001,"OK","ALLOCATE 100%"))</x:f>
        <x:v>AWAITING BUDGET</x:v>
      </x:c>
      <x:c r="N4" t="e">
        <x:f>SUM($I$2:I4)</x:f>
        <x:v>#VALUE!</x:v>
      </x:c>
    </x:row>
    <x:row r="5">
      <x:c r="A5" t="n">
        <x:v>4</x:v>
      </x:c>
      <x:c r="B5" t="str">
        <x:v>Mobilise</x:v>
      </x:c>
      <x:c r="I5" t="e">
        <x:f>SUMPRODUCT(C5:H5,$K$2:$K$7)</x:f>
        <x:v>#VALUE!</x:v>
      </x:c>
      <x:c r="J5" t="str">
        <x:v>Marine</x:v>
      </x:c>
      <x:c r="L5" t="n">
        <x:f>SUM(F2:F30)</x:f>
        <x:v>0</x:v>
      </x:c>
      <x:c r="M5" t="str">
        <x:f>IF(K5="","AWAITING BUDGET",IF(ABS(L5-1)&lt;0.0001,"OK","ALLOCATE 100%"))</x:f>
        <x:v>AWAITING BUDGET</x:v>
      </x:c>
      <x:c r="N5" t="e">
        <x:f>SUM($I$2:I5)</x:f>
        <x:v>#VALUE!</x:v>
      </x:c>
    </x:row>
    <x:row r="6">
      <x:c r="A6" t="n">
        <x:v>5</x:v>
      </x:c>
      <x:c r="B6" t="str">
        <x:v>Engineer/procure</x:v>
      </x:c>
      <x:c r="I6" t="e">
        <x:f>SUMPRODUCT(C6:H6,$K$2:$K$7)</x:f>
        <x:v>#VALUE!</x:v>
      </x:c>
      <x:c r="J6" t="str">
        <x:v>Offshore</x:v>
      </x:c>
      <x:c r="L6" t="n">
        <x:f>SUM(G2:G30)</x:f>
        <x:v>0</x:v>
      </x:c>
      <x:c r="M6" t="str">
        <x:f>IF(K6="","AWAITING BUDGET",IF(ABS(L6-1)&lt;0.0001,"OK","ALLOCATE 100%"))</x:f>
        <x:v>AWAITING BUDGET</x:v>
      </x:c>
      <x:c r="N6" t="e">
        <x:f>SUM($I$2:I6)</x:f>
        <x:v>#VALUE!</x:v>
      </x:c>
    </x:row>
    <x:row r="7">
      <x:c r="A7" t="n">
        <x:v>6</x:v>
      </x:c>
      <x:c r="B7" t="str">
        <x:v>Engineer/procure</x:v>
      </x:c>
      <x:c r="I7" t="e">
        <x:f>SUMPRODUCT(C7:H7,$K$2:$K$7)</x:f>
        <x:v>#VALUE!</x:v>
      </x:c>
      <x:c r="J7" t="str">
        <x:v>Other</x:v>
      </x:c>
      <x:c r="L7" t="n">
        <x:f>SUM(H2:H30)</x:f>
        <x:v>0</x:v>
      </x:c>
      <x:c r="M7" t="str">
        <x:f>IF(K7="","AWAITING BUDGET",IF(ABS(L7-1)&lt;0.0001,"OK","ALLOCATE 100%"))</x:f>
        <x:v>AWAITING BUDGET</x:v>
      </x:c>
      <x:c r="N7" t="e">
        <x:f>SUM($I$2:I7)</x:f>
        <x:v>#VALUE!</x:v>
      </x:c>
    </x:row>
    <x:row r="8">
      <x:c r="A8" t="n">
        <x:v>7</x:v>
      </x:c>
      <x:c r="B8" t="str">
        <x:v>Engineer/procure</x:v>
      </x:c>
      <x:c r="I8" t="e">
        <x:f>SUMPRODUCT(C8:H8,$K$2:$K$7)</x:f>
        <x:v>#VALUE!</x:v>
      </x:c>
      <x:c r="N8" t="e">
        <x:f>SUM($I$2:I8)</x:f>
        <x:v>#VALUE!</x:v>
      </x:c>
    </x:row>
    <x:row r="9">
      <x:c r="A9" t="n">
        <x:v>8</x:v>
      </x:c>
      <x:c r="B9" t="str">
        <x:v>Engineer/procure</x:v>
      </x:c>
      <x:c r="I9" t="e">
        <x:f>SUMPRODUCT(C9:H9,$K$2:$K$7)</x:f>
        <x:v>#VALUE!</x:v>
      </x:c>
      <x:c r="N9" t="e">
        <x:f>SUM($I$2:I9)</x:f>
        <x:v>#VALUE!</x:v>
      </x:c>
    </x:row>
    <x:row r="10">
      <x:c r="A10" t="n">
        <x:v>9</x:v>
      </x:c>
      <x:c r="B10" t="str">
        <x:v>Fabrication ramp</x:v>
      </x:c>
      <x:c r="I10" t="e">
        <x:f>SUMPRODUCT(C10:H10,$K$2:$K$7)</x:f>
        <x:v>#VALUE!</x:v>
      </x:c>
      <x:c r="J10" t="str">
        <x:v>TOTAL CATEGORY BUDGET</x:v>
      </x:c>
      <x:c r="K10" t="n">
        <x:f>SUM(K2:K7)</x:f>
        <x:v>0</x:v>
      </x:c>
      <x:c r="N10" t="e">
        <x:f>SUM($I$2:I10)</x:f>
        <x:v>#VALUE!</x:v>
      </x:c>
    </x:row>
    <x:row r="11">
      <x:c r="A11" t="n">
        <x:v>10</x:v>
      </x:c>
      <x:c r="B11" t="str">
        <x:v>Fabrication ramp</x:v>
      </x:c>
      <x:c r="I11" t="e">
        <x:f>SUMPRODUCT(C11:H11,$K$2:$K$7)</x:f>
        <x:v>#VALUE!</x:v>
      </x:c>
      <x:c r="N11" t="e">
        <x:f>SUM($I$2:I11)</x:f>
        <x:v>#VALUE!</x:v>
      </x:c>
    </x:row>
    <x:row r="12">
      <x:c r="A12" t="n">
        <x:v>11</x:v>
      </x:c>
      <x:c r="B12" t="str">
        <x:v>Fabrication ramp</x:v>
      </x:c>
      <x:c r="I12" t="e">
        <x:f>SUMPRODUCT(C12:H12,$K$2:$K$7)</x:f>
        <x:v>#VALUE!</x:v>
      </x:c>
      <x:c r="N12" t="e">
        <x:f>SUM($I$2:I12)</x:f>
        <x:v>#VALUE!</x:v>
      </x:c>
    </x:row>
    <x:row r="13">
      <x:c r="A13" t="n">
        <x:v>12</x:v>
      </x:c>
      <x:c r="B13" t="str">
        <x:v>Fabrication ramp</x:v>
      </x:c>
      <x:c r="I13" t="e">
        <x:f>SUMPRODUCT(C13:H13,$K$2:$K$7)</x:f>
        <x:v>#VALUE!</x:v>
      </x:c>
      <x:c r="J13" t="str">
        <x:v>Total planned ₹</x:v>
      </x:c>
      <x:c r="K13" t="e">
        <x:f>SUM(I2:I30)</x:f>
        <x:v>#VALUE!</x:v>
      </x:c>
      <x:c r="N13" t="e">
        <x:f>SUM($I$2:I13)</x:f>
        <x:v>#VALUE!</x:v>
      </x:c>
    </x:row>
    <x:row r="14">
      <x:c r="A14" t="n">
        <x:v>13</x:v>
      </x:c>
      <x:c r="B14" t="str">
        <x:v>Peak fabrication</x:v>
      </x:c>
      <x:c r="I14" t="e">
        <x:f>SUMPRODUCT(C14:H14,$K$2:$K$7)</x:f>
        <x:v>#VALUE!</x:v>
      </x:c>
      <x:c r="N14" t="e">
        <x:f>SUM($I$2:I14)</x:f>
        <x:v>#VALUE!</x:v>
      </x:c>
    </x:row>
    <x:row r="15">
      <x:c r="A15" t="n">
        <x:v>14</x:v>
      </x:c>
      <x:c r="B15" t="str">
        <x:v>Peak fabrication</x:v>
      </x:c>
      <x:c r="I15" t="e">
        <x:f>SUMPRODUCT(C15:H15,$K$2:$K$7)</x:f>
        <x:v>#VALUE!</x:v>
      </x:c>
      <x:c r="N15" t="e">
        <x:f>SUM($I$2:I15)</x:f>
        <x:v>#VALUE!</x:v>
      </x:c>
    </x:row>
    <x:row r="16">
      <x:c r="A16" t="n">
        <x:v>15</x:v>
      </x:c>
      <x:c r="B16" t="str">
        <x:v>Peak fabrication</x:v>
      </x:c>
      <x:c r="I16" t="e">
        <x:f>SUMPRODUCT(C16:H16,$K$2:$K$7)</x:f>
        <x:v>#VALUE!</x:v>
      </x:c>
      <x:c r="N16" t="e">
        <x:f>SUM($I$2:I16)</x:f>
        <x:v>#VALUE!</x:v>
      </x:c>
    </x:row>
    <x:row r="17">
      <x:c r="A17" t="n">
        <x:v>16</x:v>
      </x:c>
      <x:c r="B17" t="str">
        <x:v>Peak fabrication</x:v>
      </x:c>
      <x:c r="I17" t="e">
        <x:f>SUMPRODUCT(C17:H17,$K$2:$K$7)</x:f>
        <x:v>#VALUE!</x:v>
      </x:c>
      <x:c r="N17" t="e">
        <x:f>SUM($I$2:I17)</x:f>
        <x:v>#VALUE!</x:v>
      </x:c>
    </x:row>
    <x:row r="18">
      <x:c r="A18" t="n">
        <x:v>17</x:v>
      </x:c>
      <x:c r="B18" t="str">
        <x:v>Offshore installations</x:v>
      </x:c>
      <x:c r="I18" t="e">
        <x:f>SUMPRODUCT(C18:H18,$K$2:$K$7)</x:f>
        <x:v>#VALUE!</x:v>
      </x:c>
      <x:c r="N18" t="e">
        <x:f>SUM($I$2:I18)</x:f>
        <x:v>#VALUE!</x:v>
      </x:c>
    </x:row>
    <x:row r="19">
      <x:c r="A19" t="n">
        <x:v>18</x:v>
      </x:c>
      <x:c r="B19" t="str">
        <x:v>Offshore installations</x:v>
      </x:c>
      <x:c r="I19" t="e">
        <x:f>SUMPRODUCT(C19:H19,$K$2:$K$7)</x:f>
        <x:v>#VALUE!</x:v>
      </x:c>
      <x:c r="N19" t="e">
        <x:f>SUM($I$2:I19)</x:f>
        <x:v>#VALUE!</x:v>
      </x:c>
    </x:row>
    <x:row r="20">
      <x:c r="A20" t="n">
        <x:v>19</x:v>
      </x:c>
      <x:c r="B20" t="str">
        <x:v>Offshore installations</x:v>
      </x:c>
      <x:c r="I20" t="e">
        <x:f>SUMPRODUCT(C20:H20,$K$2:$K$7)</x:f>
        <x:v>#VALUE!</x:v>
      </x:c>
      <x:c r="N20" t="e">
        <x:f>SUM($I$2:I20)</x:f>
        <x:v>#VALUE!</x:v>
      </x:c>
    </x:row>
    <x:row r="21">
      <x:c r="A21" t="n">
        <x:v>20</x:v>
      </x:c>
      <x:c r="B21" t="str">
        <x:v>Offshore installations</x:v>
      </x:c>
      <x:c r="I21" t="e">
        <x:f>SUMPRODUCT(C21:H21,$K$2:$K$7)</x:f>
        <x:v>#VALUE!</x:v>
      </x:c>
      <x:c r="N21" t="e">
        <x:f>SUM($I$2:I21)</x:f>
        <x:v>#VALUE!</x:v>
      </x:c>
    </x:row>
    <x:row r="22">
      <x:c r="A22" t="n">
        <x:v>21</x:v>
      </x:c>
      <x:c r="B22" t="str">
        <x:v>Install/strengthen</x:v>
      </x:c>
      <x:c r="I22" t="e">
        <x:f>SUMPRODUCT(C22:H22,$K$2:$K$7)</x:f>
        <x:v>#VALUE!</x:v>
      </x:c>
      <x:c r="N22" t="e">
        <x:f>SUM($I$2:I22)</x:f>
        <x:v>#VALUE!</x:v>
      </x:c>
    </x:row>
    <x:row r="23">
      <x:c r="A23" t="n">
        <x:v>22</x:v>
      </x:c>
      <x:c r="B23" t="str">
        <x:v>Install/strengthen</x:v>
      </x:c>
      <x:c r="I23" t="e">
        <x:f>SUMPRODUCT(C23:H23,$K$2:$K$7)</x:f>
        <x:v>#VALUE!</x:v>
      </x:c>
      <x:c r="N23" t="e">
        <x:f>SUM($I$2:I23)</x:f>
        <x:v>#VALUE!</x:v>
      </x:c>
    </x:row>
    <x:row r="24">
      <x:c r="A24" t="n">
        <x:v>23</x:v>
      </x:c>
      <x:c r="B24" t="str">
        <x:v>Install/strengthen</x:v>
      </x:c>
      <x:c r="I24" t="e">
        <x:f>SUMPRODUCT(C24:H24,$K$2:$K$7)</x:f>
        <x:v>#VALUE!</x:v>
      </x:c>
      <x:c r="N24" t="e">
        <x:f>SUM($I$2:I24)</x:f>
        <x:v>#VALUE!</x:v>
      </x:c>
    </x:row>
    <x:row r="25">
      <x:c r="A25" t="n">
        <x:v>24</x:v>
      </x:c>
      <x:c r="B25" t="str">
        <x:v>Install/strengthen</x:v>
      </x:c>
      <x:c r="I25" t="e">
        <x:f>SUMPRODUCT(C25:H25,$K$2:$K$7)</x:f>
        <x:v>#VALUE!</x:v>
      </x:c>
      <x:c r="N25" t="e">
        <x:f>SUM($I$2:I25)</x:f>
        <x:v>#VALUE!</x:v>
      </x:c>
    </x:row>
    <x:row r="26">
      <x:c r="A26" t="n">
        <x:v>25</x:v>
      </x:c>
      <x:c r="B26" t="str">
        <x:v>Replace/demolish</x:v>
      </x:c>
      <x:c r="I26" t="e">
        <x:f>SUMPRODUCT(C26:H26,$K$2:$K$7)</x:f>
        <x:v>#VALUE!</x:v>
      </x:c>
      <x:c r="N26" t="e">
        <x:f>SUM($I$2:I26)</x:f>
        <x:v>#VALUE!</x:v>
      </x:c>
    </x:row>
    <x:row r="27">
      <x:c r="A27" t="n">
        <x:v>26</x:v>
      </x:c>
      <x:c r="B27" t="str">
        <x:v>Replace/demolish</x:v>
      </x:c>
      <x:c r="I27" t="e">
        <x:f>SUMPRODUCT(C27:H27,$K$2:$K$7)</x:f>
        <x:v>#VALUE!</x:v>
      </x:c>
      <x:c r="N27" t="e">
        <x:f>SUM($I$2:I27)</x:f>
        <x:v>#VALUE!</x:v>
      </x:c>
    </x:row>
    <x:row r="28">
      <x:c r="A28" t="n">
        <x:v>27</x:v>
      </x:c>
      <x:c r="B28" t="str">
        <x:v>Replace/demolish</x:v>
      </x:c>
      <x:c r="I28" t="e">
        <x:f>SUMPRODUCT(C28:H28,$K$2:$K$7)</x:f>
        <x:v>#VALUE!</x:v>
      </x:c>
      <x:c r="N28" t="e">
        <x:f>SUM($I$2:I28)</x:f>
        <x:v>#VALUE!</x:v>
      </x:c>
    </x:row>
    <x:row r="29">
      <x:c r="A29" t="n">
        <x:v>28</x:v>
      </x:c>
      <x:c r="B29" t="str">
        <x:v>Replace/demolish</x:v>
      </x:c>
      <x:c r="I29" t="e">
        <x:f>SUMPRODUCT(C29:H29,$K$2:$K$7)</x:f>
        <x:v>#VALUE!</x:v>
      </x:c>
      <x:c r="N29" t="e">
        <x:f>SUM($I$2:I29)</x:f>
        <x:v>#VALUE!</x:v>
      </x:c>
    </x:row>
    <x:row r="30">
      <x:c r="A30" t="n">
        <x:v>29</x:v>
      </x:c>
      <x:c r="B30" t="str">
        <x:v>Closeout</x:v>
      </x:c>
      <x:c r="I30" t="e">
        <x:f>SUMPRODUCT(C30:H30,$K$2:$K$7)</x:f>
        <x:v>#VALUE!</x:v>
      </x:c>
      <x:c r="N30" t="e">
        <x:f>SUM($I$2:I30)</x:f>
        <x:v>#VALUE!</x:v>
      </x:c>
    </x:row>
    <x:row r="32">
      <x:c r="A32" t="str">
        <x:v>Note: Enter percentages as decimal fractions (e.g., 0.10 for 10%). Cost category budgets and distribution must be validated.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5" hidden="0" customWidth="1"/>
    <x:col min="4" max="4" width="19" hidden="0" customWidth="1"/>
  </x:cols>
  <x:sheetData>
    <x:row r="1">
      <x:c r="A1" s="6" t="str">
        <x:v>Gate</x:v>
      </x:c>
      <x:c r="B1" s="6" t="str">
        <x:v>Owner</x:v>
      </x:c>
      <x:c r="C1" s="6" t="str">
        <x:v>Required evidence</x:v>
      </x:c>
      <x:c r="D1" s="6" t="str">
        <x:v>Current status</x:v>
      </x:c>
    </x:row>
    <x:row r="2">
      <x:c r="A2" t="str">
        <x:v>Quantity freeze</x:v>
      </x:c>
      <x:c r="B2" t="str">
        <x:v>Engineering</x:v>
      </x:c>
      <x:c r="C2" t="str">
        <x:v>Reconcile 1 MT; bridge-specific MTO and demolition</x:v>
      </x:c>
      <x:c r="D2" t="str">
        <x:v>OPEN</x:v>
      </x:c>
    </x:row>
    <x:row r="3">
      <x:c r="A3" t="str">
        <x:v>Contractual dates</x:v>
      </x:c>
      <x:c r="B3" t="str">
        <x:v>Contracts</x:v>
      </x:c>
      <x:c r="C3" t="str">
        <x:v>NOA / commencement; SCC monsoon and milestones</x:v>
      </x:c>
      <x:c r="D3" t="str">
        <x:v>OPEN</x:v>
      </x:c>
    </x:row>
    <x:row r="4">
      <x:c r="A4" t="str">
        <x:v>Yard readiness</x:v>
      </x:c>
      <x:c r="B4" t="str">
        <x:v>Fabrication</x:v>
      </x:c>
      <x:c r="C4" t="str">
        <x:v>Production slots, audited accepted throughput</x:v>
      </x:c>
      <x:c r="D4" t="str">
        <x:v>OPEN</x:v>
      </x:c>
    </x:row>
    <x:row r="5">
      <x:c r="A5" t="str">
        <x:v>Marine readiness</x:v>
      </x:c>
      <x:c r="B5" t="str">
        <x:v>Marine</x:v>
      </x:c>
      <x:c r="C5" t="str">
        <x:v>Certified vessel data, lift studies, availability</x:v>
      </x:c>
      <x:c r="D5" t="str">
        <x:v>OPEN</x:v>
      </x:c>
    </x:row>
    <x:row r="6">
      <x:c r="A6" t="str">
        <x:v>Offshore productivity</x:v>
      </x:c>
      <x:c r="B6" t="str">
        <x:v>Construction</x:v>
      </x:c>
      <x:c r="C6" t="str">
        <x:v>Weld/joint workpacks, crew-hours and access</x:v>
      </x:c>
      <x:c r="D6" t="str">
        <x:v>OPEN</x:v>
      </x:c>
    </x:row>
    <x:row r="7">
      <x:c r="A7" t="str">
        <x:v>Commercial pricing</x:v>
      </x:c>
      <x:c r="B7" t="str">
        <x:v>Commercial</x:v>
      </x:c>
      <x:c r="C7" t="str">
        <x:v>Signed quotations and charter terms</x:v>
      </x:c>
      <x:c r="D7" t="str">
        <x:v>OPEN</x:v>
      </x:c>
    </x:row>
    <x:row r="8">
      <x:c r="A8" t="str">
        <x:v>Resource CPM</x:v>
      </x:c>
      <x:c r="B8" t="str">
        <x:v>Planning</x:v>
      </x:c>
      <x:c r="C8" t="str">
        <x:v>P6 logic, calendars, levelling, critical path</x:v>
      </x:c>
      <x:c r="D8" t="str">
        <x:v>OPEN</x:v>
      </x:c>
    </x:row>
    <x:row r="9">
      <x:c r="A9" t="str">
        <x:v>Cash funding</x:v>
      </x:c>
      <x:c r="B9" t="str">
        <x:v>Finance</x:v>
      </x:c>
      <x:c r="C9" t="str">
        <x:v>Mobilisation, cash deficit, invoice and receipt terms</x:v>
      </x:c>
      <x:c r="D9" t="str">
        <x:v>OPEN</x:v>
      </x:c>
    </x:row>
    <x:row r="10">
      <x:c r="A10" t="str">
        <x:v>Quality / HSE</x:v>
      </x:c>
      <x:c r="B10" t="str">
        <x:v>QA/HSE</x:v>
      </x:c>
      <x:c r="C10" t="str">
        <x:v>ITPs, lifting assurance, SIMOPS, permits</x:v>
      </x:c>
      <x:c r="D10" t="str">
        <x:v>OPEN</x:v>
      </x:c>
    </x:row>
  </x:sheetData>
  <x:pageMargins left="0.7" right="0.7" top="0.75" bottom="0.75" header="0.3" footer="0.3"/>
</x:worksheet>
</file>