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a5e270f3c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O Overview" sheetId="1" r:id="Rb8b7215c8edd4dd8"/>
    <x:sheet xmlns:r="http://schemas.openxmlformats.org/officeDocument/2006/relationships" name="Bridge Quantities" sheetId="2" r:id="Rc2d44ee0973f4799"/>
    <x:sheet xmlns:r="http://schemas.openxmlformats.org/officeDocument/2006/relationships" name="Work Packages" sheetId="3" r:id="R3ba0528fb4f54b58"/>
    <x:sheet xmlns:r="http://schemas.openxmlformats.org/officeDocument/2006/relationships" name="Schedule Windows" sheetId="4" r:id="R8ce14e9d286d4fd0"/>
    <x:sheet xmlns:r="http://schemas.openxmlformats.org/officeDocument/2006/relationships" name="Resource Estimates" sheetId="5" r:id="R30835520580d44f0"/>
    <x:sheet xmlns:r="http://schemas.openxmlformats.org/officeDocument/2006/relationships" name="Lift COG Control" sheetId="6" r:id="Ra27128d301084d83"/>
    <x:sheet xmlns:r="http://schemas.openxmlformats.org/officeDocument/2006/relationships" name="Marine Suitability" sheetId="7" r:id="R67aa71df3db84ae3"/>
    <x:sheet xmlns:r="http://schemas.openxmlformats.org/officeDocument/2006/relationships" name="Inspection Gates" sheetId="8" r:id="R2d420216ce444949"/>
    <x:sheet xmlns:r="http://schemas.openxmlformats.org/officeDocument/2006/relationships" name="Risks &amp; Decisions" sheetId="9" r:id="R8bcb1b24daca4ed3"/>
    <x:sheet xmlns:r="http://schemas.openxmlformats.org/officeDocument/2006/relationships" name="Cost Inputs" sheetId="10" r:id="R1392784a80564773"/>
    <x:sheet xmlns:r="http://schemas.openxmlformats.org/officeDocument/2006/relationships" name="Basis and Sources" sheetId="11" r:id="Rf1cf9fabbd84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d53acfadf34922" /><Relationship Type="http://schemas.openxmlformats.org/officeDocument/2006/relationships/theme" Target="/xl/theme/theme1.xml" Id="Ra213dd9884ab47cc" /><Relationship Type="http://schemas.openxmlformats.org/officeDocument/2006/relationships/sharedStrings" Target="/xl/sharedStrings.xml" Id="R5148acfb041f4a82" /><Relationship Type="http://schemas.openxmlformats.org/officeDocument/2006/relationships/worksheet" Target="/xl/worksheets/sheet1.xml" Id="Rb8b7215c8edd4dd8" /><Relationship Type="http://schemas.openxmlformats.org/officeDocument/2006/relationships/worksheet" Target="/xl/worksheets/sheet2.xml" Id="Rc2d44ee0973f4799" /><Relationship Type="http://schemas.openxmlformats.org/officeDocument/2006/relationships/worksheet" Target="/xl/worksheets/sheet3.xml" Id="R3ba0528fb4f54b58" /><Relationship Type="http://schemas.openxmlformats.org/officeDocument/2006/relationships/worksheet" Target="/xl/worksheets/sheet4.xml" Id="R8ce14e9d286d4fd0" /><Relationship Type="http://schemas.openxmlformats.org/officeDocument/2006/relationships/worksheet" Target="/xl/worksheets/sheet5.xml" Id="R30835520580d44f0" /><Relationship Type="http://schemas.openxmlformats.org/officeDocument/2006/relationships/worksheet" Target="/xl/worksheets/sheet6.xml" Id="Ra27128d301084d83" /><Relationship Type="http://schemas.openxmlformats.org/officeDocument/2006/relationships/worksheet" Target="/xl/worksheets/sheet7.xml" Id="R67aa71df3db84ae3" /><Relationship Type="http://schemas.openxmlformats.org/officeDocument/2006/relationships/worksheet" Target="/xl/worksheets/sheet8.xml" Id="R2d420216ce444949" /><Relationship Type="http://schemas.openxmlformats.org/officeDocument/2006/relationships/worksheet" Target="/xl/worksheets/sheet9.xml" Id="R8bcb1b24daca4ed3" /><Relationship Type="http://schemas.openxmlformats.org/officeDocument/2006/relationships/worksheet" Target="/xl/worksheets/sheet10.xml" Id="R1392784a80564773" /><Relationship Type="http://schemas.openxmlformats.org/officeDocument/2006/relationships/worksheet" Target="/xl/worksheets/sheet11.xml" Id="Rf1cf9fabbd8440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</x:cols>
  <x:sheetData>
    <x:row r="1" ht="32" customHeight="1">
      <x:c r="A1" s="4" t="str">
        <x:v>Metric</x:v>
      </x:c>
      <x:c r="B1" s="4" t="str">
        <x:v>Value</x:v>
      </x:c>
      <x:c r="C1" s="4" t="str">
        <x:v>Status / basis</x:v>
      </x:c>
    </x:row>
    <x:row r="2">
      <x:c r="A2" t="str">
        <x:v>Project</x:v>
      </x:c>
      <x:c r="B2" t="str">
        <x:v>ONGC Mumbai High BRRP</x:v>
      </x:c>
      <x:c r="C2" t="str">
        <x:v>Tender / MTO baseline</x:v>
      </x:c>
    </x:row>
    <x:row r="3">
      <x:c r="A3" t="str">
        <x:v>Period (days)</x:v>
      </x:c>
      <x:c r="B3" t="n">
        <x:v>360</x:v>
      </x:c>
      <x:c r="C3" t="str">
        <x:v>Provisional relative-day planning horizon</x:v>
      </x:c>
    </x:row>
    <x:row r="4">
      <x:c r="A4" t="str">
        <x:v>New bridge steel (MT)</x:v>
      </x:c>
      <x:c r="B4" t="n">
        <x:v>367</x:v>
      </x:c>
      <x:c r="C4" t="str">
        <x:v>Uploaded MTO</x:v>
      </x:c>
    </x:row>
    <x:row r="5">
      <x:c r="A5" t="str">
        <x:v>Bridge strengthening steel (MT)</x:v>
      </x:c>
      <x:c r="B5" t="n">
        <x:v>361</x:v>
      </x:c>
      <x:c r="C5" t="str">
        <x:v>Uploaded MTO</x:v>
      </x:c>
    </x:row>
    <x:row r="6">
      <x:c r="A6" t="str">
        <x:v>New landing and deck steel (MT)</x:v>
      </x:c>
      <x:c r="B6" t="n">
        <x:v>197</x:v>
      </x:c>
      <x:c r="C6" t="str">
        <x:v>Uploaded MTO</x:v>
      </x:c>
    </x:row>
    <x:row r="7">
      <x:c r="A7" t="str">
        <x:v>Landing strengthening steel (MT)</x:v>
      </x:c>
      <x:c r="B7" t="n">
        <x:v>217</x:v>
      </x:c>
      <x:c r="C7" t="str">
        <x:v>Uploaded MTO</x:v>
      </x:c>
    </x:row>
    <x:row r="8">
      <x:c r="A8" t="str">
        <x:v>Demolition (MT)</x:v>
      </x:c>
      <x:c r="B8" t="n">
        <x:v>357</x:v>
      </x:c>
      <x:c r="C8" t="str">
        <x:v>Uploaded MTO</x:v>
      </x:c>
    </x:row>
    <x:row r="9">
      <x:c r="A9" t="str">
        <x:v>Heavy lift vessel</x:v>
      </x:c>
      <x:c r="B9" t="str">
        <x:v>TBD</x:v>
      </x:c>
      <x:c r="C9" t="str">
        <x:v>Requires module weights and lift study</x:v>
      </x:c>
    </x:row>
    <x:row r="10">
      <x:c r="A10" t="str">
        <x:v>Actual project start</x:v>
      </x:c>
      <x:c r="B10" t="str">
        <x:v>TBD</x:v>
      </x:c>
      <x:c r="C10" t="str">
        <x:v>Confirm notification of award / SCC</x:v>
      </x:c>
    </x:row>
    <x:row r="11">
      <x:c r="A11" t="str">
        <x:v>Cost and rates</x:v>
      </x:c>
      <x:c r="B11" t="str">
        <x:v>TBD</x:v>
      </x:c>
      <x:c r="C11" t="str">
        <x:v>No invented costs or production rates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32" customHeight="1">
      <x:c r="A1" s="4" t="str">
        <x:v>Package</x:v>
      </x:c>
      <x:c r="B1" s="4" t="str">
        <x:v>New bridge MT</x:v>
      </x:c>
      <x:c r="C1" s="4" t="str">
        <x:v>Bridge strengthening MT</x:v>
      </x:c>
      <x:c r="D1" s="4" t="str">
        <x:v>New landing MT</x:v>
      </x:c>
      <x:c r="E1" s="4" t="str">
        <x:v>Landing strengthening MT</x:v>
      </x:c>
      <x:c r="F1" s="4" t="str">
        <x:v>Demolition MT</x:v>
      </x:c>
      <x:c r="G1" s="4" t="str">
        <x:v>Construction MT</x:v>
      </x:c>
      <x:c r="H1" s="4" t="str">
        <x:v>Module count TBD</x:v>
      </x:c>
      <x:c r="I1" s="4" t="str">
        <x:v>Status</x:v>
      </x:c>
    </x:row>
    <x:row r="2">
      <x:c r="A2" t="str">
        <x:v>ICW-ICG UD</x:v>
      </x:c>
      <x:c r="B2" t="n">
        <x:v>0</x:v>
      </x:c>
      <x:c r="C2" t="n">
        <x:v>19</x:v>
      </x:c>
      <x:c r="D2" t="n">
        <x:v>0</x:v>
      </x:c>
      <x:c r="E2" t="n">
        <x:v>30</x:v>
      </x:c>
      <x:c r="F2" t="n">
        <x:v>25</x:v>
      </x:c>
      <x:c r="G2" t="n">
        <x:f>SUM(B2:E2)</x:f>
        <x:v>49</x:v>
      </x:c>
      <x:c r="H2"/>
      <x:c r="I2" t="str">
        <x:v>Survey/engineering pending</x:v>
      </x:c>
    </x:row>
    <x:row r="3">
      <x:c r="A3" t="str">
        <x:v>ICW-ICG LD</x:v>
      </x:c>
      <x:c r="B3" t="n">
        <x:v>57</x:v>
      </x:c>
      <x:c r="C3" t="n">
        <x:v>0</x:v>
      </x:c>
      <x:c r="D3" t="n">
        <x:v>65</x:v>
      </x:c>
      <x:c r="E3" t="n">
        <x:v>0</x:v>
      </x:c>
      <x:c r="F3" t="n">
        <x:v>1</x:v>
      </x:c>
      <x:c r="G3" t="n">
        <x:f>SUM(B3:E3)</x:f>
        <x:v>122</x:v>
      </x:c>
      <x:c r="H3"/>
      <x:c r="I3" t="str">
        <x:v>Survey/engineering pending</x:v>
      </x:c>
    </x:row>
    <x:row r="4">
      <x:c r="A4" t="str">
        <x:v>ICG-ICP UD</x:v>
      </x:c>
      <x:c r="B4" t="n">
        <x:v>0</x:v>
      </x:c>
      <x:c r="C4" t="n">
        <x:v>86</x:v>
      </x:c>
      <x:c r="D4" t="n">
        <x:v>0</x:v>
      </x:c>
      <x:c r="E4" t="n">
        <x:v>30</x:v>
      </x:c>
      <x:c r="F4" t="n">
        <x:v>25</x:v>
      </x:c>
      <x:c r="G4" t="n">
        <x:f>SUM(B4:E4)</x:f>
        <x:v>116</x:v>
      </x:c>
      <x:c r="H4"/>
      <x:c r="I4" t="str">
        <x:v>Survey/engineering pending</x:v>
      </x:c>
    </x:row>
    <x:row r="5">
      <x:c r="A5" t="str">
        <x:v>ICG-ICP LD</x:v>
      </x:c>
      <x:c r="B5" t="n">
        <x:v>115</x:v>
      </x:c>
      <x:c r="C5" t="n">
        <x:v>0</x:v>
      </x:c>
      <x:c r="D5" t="n">
        <x:v>45</x:v>
      </x:c>
      <x:c r="E5" t="n">
        <x:v>0</x:v>
      </x:c>
      <x:c r="F5" t="n">
        <x:v>1</x:v>
      </x:c>
      <x:c r="G5" t="n">
        <x:f>SUM(B5:E5)</x:f>
        <x:v>160</x:v>
      </x:c>
      <x:c r="H5"/>
      <x:c r="I5" t="str">
        <x:v>Survey/engineering pending</x:v>
      </x:c>
    </x:row>
    <x:row r="6">
      <x:c r="A6" t="str">
        <x:v>BHS-SLQ</x:v>
      </x:c>
      <x:c r="B6" t="n">
        <x:v>195</x:v>
      </x:c>
      <x:c r="C6" t="n">
        <x:v>0</x:v>
      </x:c>
      <x:c r="D6" t="n">
        <x:v>87</x:v>
      </x:c>
      <x:c r="E6" t="n">
        <x:v>0</x:v>
      </x:c>
      <x:c r="F6" t="n">
        <x:v>210</x:v>
      </x:c>
      <x:c r="G6" t="n">
        <x:f>SUM(B6:E6)</x:f>
        <x:v>282</x:v>
      </x:c>
      <x:c r="H6"/>
      <x:c r="I6" t="str">
        <x:v>Survey/engineering pending</x:v>
      </x:c>
    </x:row>
    <x:row r="7">
      <x:c r="A7" t="str">
        <x:v>SLQ-WIS</x:v>
      </x:c>
      <x:c r="B7" t="n">
        <x:v>0</x:v>
      </x:c>
      <x:c r="C7" t="n">
        <x:v>61</x:v>
      </x:c>
      <x:c r="D7" t="n">
        <x:v>0</x:v>
      </x:c>
      <x:c r="E7" t="n">
        <x:v>30</x:v>
      </x:c>
      <x:c r="F7" t="n">
        <x:v>15</x:v>
      </x:c>
      <x:c r="G7" t="n">
        <x:f>SUM(B7:E7)</x:f>
        <x:v>91</x:v>
      </x:c>
      <x:c r="H7"/>
      <x:c r="I7" t="str">
        <x:v>Survey/engineering pending</x:v>
      </x:c>
    </x:row>
    <x:row r="8">
      <x:c r="A8" t="str">
        <x:v>NQO-NQD</x:v>
      </x:c>
      <x:c r="B8" t="n">
        <x:v>0</x:v>
      </x:c>
      <x:c r="C8" t="n">
        <x:v>63</x:v>
      </x:c>
      <x:c r="D8" t="n">
        <x:v>0</x:v>
      </x:c>
      <x:c r="E8" t="n">
        <x:v>30</x:v>
      </x:c>
      <x:c r="F8" t="n">
        <x:v>25</x:v>
      </x:c>
      <x:c r="G8" t="n">
        <x:f>SUM(B8:E8)</x:f>
        <x:v>93</x:v>
      </x:c>
      <x:c r="H8"/>
      <x:c r="I8" t="str">
        <x:v>Survey/engineering pending</x:v>
      </x:c>
    </x:row>
    <x:row r="9">
      <x:c r="A9" t="str">
        <x:v>WIN-NC</x:v>
      </x:c>
      <x:c r="B9" t="n">
        <x:v>0</x:v>
      </x:c>
      <x:c r="C9" t="n">
        <x:v>6</x:v>
      </x:c>
      <x:c r="D9" t="n">
        <x:v>0</x:v>
      </x:c>
      <x:c r="E9" t="n">
        <x:v>40</x:v>
      </x:c>
      <x:c r="F9" t="n">
        <x:v>10</x:v>
      </x:c>
      <x:c r="G9" t="n">
        <x:f>SUM(B9:E9)</x:f>
        <x:v>46</x:v>
      </x:c>
      <x:c r="H9"/>
      <x:c r="I9" t="str">
        <x:v>Survey/engineering pending</x:v>
      </x:c>
    </x:row>
    <x:row r="10">
      <x:c r="A10" t="str">
        <x:v>SCA-SC1</x:v>
      </x:c>
      <x:c r="B10" t="n">
        <x:v>0</x:v>
      </x:c>
      <x:c r="C10" t="n">
        <x:v>35</x:v>
      </x:c>
      <x:c r="D10" t="n">
        <x:v>0</x:v>
      </x:c>
      <x:c r="E10" t="n">
        <x:v>28</x:v>
      </x:c>
      <x:c r="F10" t="n">
        <x:v>15</x:v>
      </x:c>
      <x:c r="G10" t="n">
        <x:f>SUM(B10:E10)</x:f>
        <x:v>63</x:v>
      </x:c>
      <x:c r="H10"/>
      <x:c r="I10" t="str">
        <x:v>Survey/engineering pending</x:v>
      </x:c>
    </x:row>
    <x:row r="11">
      <x:c r="A11" t="str">
        <x:v>SCA-SCF</x:v>
      </x:c>
      <x:c r="B11" t="n">
        <x:v>0</x:v>
      </x:c>
      <x:c r="C11" t="n">
        <x:v>91</x:v>
      </x:c>
      <x:c r="D11" t="n">
        <x:v>0</x:v>
      </x:c>
      <x:c r="E11" t="n">
        <x:v>28</x:v>
      </x:c>
      <x:c r="F11" t="n">
        <x:v>30</x:v>
      </x:c>
      <x:c r="G11" t="n">
        <x:f>SUM(B11:E11)</x:f>
        <x:v>119</x:v>
      </x:c>
      <x:c r="H11"/>
      <x:c r="I11" t="str">
        <x:v>Survey/engineering pending</x:v>
      </x:c>
    </x:row>
    <x:row r="12">
      <x:c r="A12" t="str">
        <x:v>TOTAL</x:v>
      </x:c>
      <x:c r="B12" t="n">
        <x:f>SUM(B2:B11)</x:f>
        <x:v>367</x:v>
      </x:c>
      <x:c r="C12" t="n">
        <x:f>SUM(C2:C11)</x:f>
        <x:v>361</x:v>
      </x:c>
      <x:c r="D12" t="n">
        <x:f>SUM(D2:D11)</x:f>
        <x:v>197</x:v>
      </x:c>
      <x:c r="E12" t="n">
        <x:f>SUM(E2:E11)</x:f>
        <x:v>216</x:v>
      </x:c>
      <x:c r="F12" t="n">
        <x:f>SUM(F2:F11)</x:f>
        <x:v>357</x:v>
      </x:c>
      <x:c r="G12" t="n">
        <x:f>SUM(G2:G11)</x:f>
        <x:v>1141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2" customHeight="1">
      <x:c r="A1" s="4" t="str">
        <x:v>Package</x:v>
      </x:c>
      <x:c r="B1" s="4" t="str">
        <x:v>Design release gate</x:v>
      </x:c>
      <x:c r="C1" s="4" t="str">
        <x:v>Procurement gate</x:v>
      </x:c>
      <x:c r="D1" s="4" t="str">
        <x:v>Fabrication gate</x:v>
      </x:c>
      <x:c r="E1" s="4" t="str">
        <x:v>Loadout gate</x:v>
      </x:c>
      <x:c r="F1" s="4" t="str">
        <x:v>Offshore gate</x:v>
      </x:c>
      <x:c r="G1" s="4" t="str">
        <x:v>Closeout gate</x:v>
      </x:c>
      <x:c r="H1" s="4" t="str">
        <x:v>Accountable lead</x:v>
      </x:c>
    </x:row>
    <x:row r="2">
      <x:c r="A2" t="str">
        <x:v>ICW-ICG UD</x:v>
      </x:c>
      <x:c r="B2" t="str">
        <x:v>Approved survey + AFC</x:v>
      </x:c>
      <x:c r="C2" t="str">
        <x:v>Approved MTO + PO</x:v>
      </x:c>
      <x:c r="D2" t="str">
        <x:v>NDT + dimensional + coating</x:v>
      </x:c>
      <x:c r="E2" t="str">
        <x:v>Weight/COG + seafastening</x:v>
      </x:c>
      <x:c r="F2" t="str">
        <x:v>Vessel + permit + lift approval</x:v>
      </x:c>
      <x:c r="G2" t="str">
        <x:v>Inspection + as-builts</x:v>
      </x:c>
      <x:c r="H2" t="str">
        <x:v>TBD</x:v>
      </x:c>
    </x:row>
    <x:row r="3">
      <x:c r="A3" t="str">
        <x:v>ICW-ICG LD</x:v>
      </x:c>
      <x:c r="B3" t="str">
        <x:v>Approved survey + AFC</x:v>
      </x:c>
      <x:c r="C3" t="str">
        <x:v>Approved MTO + PO</x:v>
      </x:c>
      <x:c r="D3" t="str">
        <x:v>NDT + dimensional + coating</x:v>
      </x:c>
      <x:c r="E3" t="str">
        <x:v>Weight/COG + seafastening</x:v>
      </x:c>
      <x:c r="F3" t="str">
        <x:v>Vessel + permit + lift approval</x:v>
      </x:c>
      <x:c r="G3" t="str">
        <x:v>Inspection + as-builts</x:v>
      </x:c>
      <x:c r="H3" t="str">
        <x:v>TBD</x:v>
      </x:c>
    </x:row>
    <x:row r="4">
      <x:c r="A4" t="str">
        <x:v>ICG-ICP UD</x:v>
      </x:c>
      <x:c r="B4" t="str">
        <x:v>Approved survey + AFC</x:v>
      </x:c>
      <x:c r="C4" t="str">
        <x:v>Approved MTO + PO</x:v>
      </x:c>
      <x:c r="D4" t="str">
        <x:v>NDT + dimensional + coating</x:v>
      </x:c>
      <x:c r="E4" t="str">
        <x:v>Weight/COG + seafastening</x:v>
      </x:c>
      <x:c r="F4" t="str">
        <x:v>Vessel + permit + lift approval</x:v>
      </x:c>
      <x:c r="G4" t="str">
        <x:v>Inspection + as-builts</x:v>
      </x:c>
      <x:c r="H4" t="str">
        <x:v>TBD</x:v>
      </x:c>
    </x:row>
    <x:row r="5">
      <x:c r="A5" t="str">
        <x:v>ICG-ICP LD</x:v>
      </x:c>
      <x:c r="B5" t="str">
        <x:v>Approved survey + AFC</x:v>
      </x:c>
      <x:c r="C5" t="str">
        <x:v>Approved MTO + PO</x:v>
      </x:c>
      <x:c r="D5" t="str">
        <x:v>NDT + dimensional + coating</x:v>
      </x:c>
      <x:c r="E5" t="str">
        <x:v>Weight/COG + seafastening</x:v>
      </x:c>
      <x:c r="F5" t="str">
        <x:v>Vessel + permit + lift approval</x:v>
      </x:c>
      <x:c r="G5" t="str">
        <x:v>Inspection + as-builts</x:v>
      </x:c>
      <x:c r="H5" t="str">
        <x:v>TBD</x:v>
      </x:c>
    </x:row>
    <x:row r="6">
      <x:c r="A6" t="str">
        <x:v>BHS-SLQ</x:v>
      </x:c>
      <x:c r="B6" t="str">
        <x:v>Approved survey + AFC</x:v>
      </x:c>
      <x:c r="C6" t="str">
        <x:v>Approved MTO + PO</x:v>
      </x:c>
      <x:c r="D6" t="str">
        <x:v>NDT + dimensional + coating</x:v>
      </x:c>
      <x:c r="E6" t="str">
        <x:v>Weight/COG + seafastening</x:v>
      </x:c>
      <x:c r="F6" t="str">
        <x:v>Vessel + permit + lift approval</x:v>
      </x:c>
      <x:c r="G6" t="str">
        <x:v>Inspection + as-builts</x:v>
      </x:c>
      <x:c r="H6" t="str">
        <x:v>TBD</x:v>
      </x:c>
    </x:row>
    <x:row r="7">
      <x:c r="A7" t="str">
        <x:v>SLQ-WIS</x:v>
      </x:c>
      <x:c r="B7" t="str">
        <x:v>Approved survey + AFC</x:v>
      </x:c>
      <x:c r="C7" t="str">
        <x:v>Approved MTO + PO</x:v>
      </x:c>
      <x:c r="D7" t="str">
        <x:v>NDT + dimensional + coating</x:v>
      </x:c>
      <x:c r="E7" t="str">
        <x:v>Weight/COG + seafastening</x:v>
      </x:c>
      <x:c r="F7" t="str">
        <x:v>Vessel + permit + lift approval</x:v>
      </x:c>
      <x:c r="G7" t="str">
        <x:v>Inspection + as-builts</x:v>
      </x:c>
      <x:c r="H7" t="str">
        <x:v>TBD</x:v>
      </x:c>
    </x:row>
    <x:row r="8">
      <x:c r="A8" t="str">
        <x:v>NQO-NQD</x:v>
      </x:c>
      <x:c r="B8" t="str">
        <x:v>Approved survey + AFC</x:v>
      </x:c>
      <x:c r="C8" t="str">
        <x:v>Approved MTO + PO</x:v>
      </x:c>
      <x:c r="D8" t="str">
        <x:v>NDT + dimensional + coating</x:v>
      </x:c>
      <x:c r="E8" t="str">
        <x:v>Weight/COG + seafastening</x:v>
      </x:c>
      <x:c r="F8" t="str">
        <x:v>Vessel + permit + lift approval</x:v>
      </x:c>
      <x:c r="G8" t="str">
        <x:v>Inspection + as-builts</x:v>
      </x:c>
      <x:c r="H8" t="str">
        <x:v>TBD</x:v>
      </x:c>
    </x:row>
    <x:row r="9">
      <x:c r="A9" t="str">
        <x:v>WIN-NC</x:v>
      </x:c>
      <x:c r="B9" t="str">
        <x:v>Approved survey + AFC</x:v>
      </x:c>
      <x:c r="C9" t="str">
        <x:v>Approved MTO + PO</x:v>
      </x:c>
      <x:c r="D9" t="str">
        <x:v>NDT + dimensional + coating</x:v>
      </x:c>
      <x:c r="E9" t="str">
        <x:v>Weight/COG + seafastening</x:v>
      </x:c>
      <x:c r="F9" t="str">
        <x:v>Vessel + permit + lift approval</x:v>
      </x:c>
      <x:c r="G9" t="str">
        <x:v>Inspection + as-builts</x:v>
      </x:c>
      <x:c r="H9" t="str">
        <x:v>TBD</x:v>
      </x:c>
    </x:row>
    <x:row r="10">
      <x:c r="A10" t="str">
        <x:v>SCA-SC1</x:v>
      </x:c>
      <x:c r="B10" t="str">
        <x:v>Approved survey + AFC</x:v>
      </x:c>
      <x:c r="C10" t="str">
        <x:v>Approved MTO + PO</x:v>
      </x:c>
      <x:c r="D10" t="str">
        <x:v>NDT + dimensional + coating</x:v>
      </x:c>
      <x:c r="E10" t="str">
        <x:v>Weight/COG + seafastening</x:v>
      </x:c>
      <x:c r="F10" t="str">
        <x:v>Vessel + permit + lift approval</x:v>
      </x:c>
      <x:c r="G10" t="str">
        <x:v>Inspection + as-builts</x:v>
      </x:c>
      <x:c r="H10" t="str">
        <x:v>TBD</x:v>
      </x:c>
    </x:row>
    <x:row r="11">
      <x:c r="A11" t="str">
        <x:v>SCA-SCF</x:v>
      </x:c>
      <x:c r="B11" t="str">
        <x:v>Approved survey + AFC</x:v>
      </x:c>
      <x:c r="C11" t="str">
        <x:v>Approved MTO + PO</x:v>
      </x:c>
      <x:c r="D11" t="str">
        <x:v>NDT + dimensional + coating</x:v>
      </x:c>
      <x:c r="E11" t="str">
        <x:v>Weight/COG + seafastening</x:v>
      </x:c>
      <x:c r="F11" t="str">
        <x:v>Vessel + permit + lift approval</x:v>
      </x:c>
      <x:c r="G11" t="str">
        <x:v>Inspection + as-builts</x:v>
      </x:c>
      <x:c r="H11" t="str">
        <x:v>TBD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</x:cols>
  <x:sheetData>
    <x:row r="1" ht="32" customHeight="1">
      <x:c r="A1" s="4" t="str">
        <x:v>Activity</x:v>
      </x:c>
      <x:c r="B1" s="4" t="str">
        <x:v>Start Day</x:v>
      </x:c>
      <x:c r="C1" s="4" t="str">
        <x:v>Finish Day</x:v>
      </x:c>
      <x:c r="D1" s="4" t="str">
        <x:v>Duration calendar days</x:v>
      </x:c>
      <x:c r="E1" s="4" t="str">
        <x:v>Lead</x:v>
      </x:c>
      <x:c r="F1" s="4" t="str">
        <x:v>Predecessor / release condition</x:v>
      </x:c>
      <x:c r="G1" s="4" t="str">
        <x:v>Validated?</x:v>
      </x:c>
    </x:row>
    <x:row r="2">
      <x:c r="A2" t="str">
        <x:v>Mobilisation / execution baseline</x:v>
      </x:c>
      <x:c r="B2" t="n">
        <x:v>1</x:v>
      </x:c>
      <x:c r="C2" t="n">
        <x:v>30</x:v>
      </x:c>
      <x:c r="D2" t="n">
        <x:f>C2-B2+1</x:f>
        <x:v>30</x:v>
      </x:c>
      <x:c r="E2" t="str">
        <x:v>PMO</x:v>
      </x:c>
      <x:c r="F2" t="str">
        <x:v>To be logic-linked in P6</x:v>
      </x:c>
      <x:c r="G2" t="str">
        <x:v>NO</x:v>
      </x:c>
    </x:row>
    <x:row r="3">
      <x:c r="A3" t="str">
        <x:v>Offshore surveys</x:v>
      </x:c>
      <x:c r="B3" t="n">
        <x:v>10</x:v>
      </x:c>
      <x:c r="C3" t="n">
        <x:v>75</x:v>
      </x:c>
      <x:c r="D3" t="n">
        <x:f>C3-B3+1</x:f>
        <x:v>66</x:v>
      </x:c>
      <x:c r="E3" t="str">
        <x:v>Engineering</x:v>
      </x:c>
      <x:c r="F3" t="str">
        <x:v>To be logic-linked in P6</x:v>
      </x:c>
      <x:c r="G3" t="str">
        <x:v>NO</x:v>
      </x:c>
    </x:row>
    <x:row r="4">
      <x:c r="A4" t="str">
        <x:v>Engineering / ONGC review</x:v>
      </x:c>
      <x:c r="B4" t="n">
        <x:v>25</x:v>
      </x:c>
      <x:c r="C4" t="n">
        <x:v>135</x:v>
      </x:c>
      <x:c r="D4" t="n">
        <x:f>C4-B4+1</x:f>
        <x:v>111</x:v>
      </x:c>
      <x:c r="E4" t="str">
        <x:v>Engineering</x:v>
      </x:c>
      <x:c r="F4" t="str">
        <x:v>To be logic-linked in P6</x:v>
      </x:c>
      <x:c r="G4" t="str">
        <x:v>NO</x:v>
      </x:c>
    </x:row>
    <x:row r="5">
      <x:c r="A5" t="str">
        <x:v>Steel and consumables procurement</x:v>
      </x:c>
      <x:c r="B5" t="n">
        <x:v>55</x:v>
      </x:c>
      <x:c r="C5" t="n">
        <x:v>190</x:v>
      </x:c>
      <x:c r="D5" t="n">
        <x:f>C5-B5+1</x:f>
        <x:v>136</x:v>
      </x:c>
      <x:c r="E5" t="str">
        <x:v>Procurement</x:v>
      </x:c>
      <x:c r="F5" t="str">
        <x:v>To be logic-linked in P6</x:v>
      </x:c>
      <x:c r="G5" t="str">
        <x:v>NO</x:v>
      </x:c>
    </x:row>
    <x:row r="6">
      <x:c r="A6" t="str">
        <x:v>Fabrication and QA</x:v>
      </x:c>
      <x:c r="B6" t="n">
        <x:v>95</x:v>
      </x:c>
      <x:c r="C6" t="n">
        <x:v>245</x:v>
      </x:c>
      <x:c r="D6" t="n">
        <x:f>C6-B6+1</x:f>
        <x:v>151</x:v>
      </x:c>
      <x:c r="E6" t="str">
        <x:v>Fabrication</x:v>
      </x:c>
      <x:c r="F6" t="str">
        <x:v>To be logic-linked in P6</x:v>
      </x:c>
      <x:c r="G6" t="str">
        <x:v>NO</x:v>
      </x:c>
    </x:row>
    <x:row r="7">
      <x:c r="A7" t="str">
        <x:v>Marine studies and readiness</x:v>
      </x:c>
      <x:c r="B7" t="n">
        <x:v>90</x:v>
      </x:c>
      <x:c r="C7" t="n">
        <x:v>240</x:v>
      </x:c>
      <x:c r="D7" t="n">
        <x:f>C7-B7+1</x:f>
        <x:v>151</x:v>
      </x:c>
      <x:c r="E7" t="str">
        <x:v>Marine</x:v>
      </x:c>
      <x:c r="F7" t="str">
        <x:v>To be logic-linked in P6</x:v>
      </x:c>
      <x:c r="G7" t="str">
        <x:v>NO</x:v>
      </x:c>
    </x:row>
    <x:row r="8">
      <x:c r="A8" t="str">
        <x:v>Strengthening campaign</x:v>
      </x:c>
      <x:c r="B8" t="n">
        <x:v>165</x:v>
      </x:c>
      <x:c r="C8" t="n">
        <x:v>310</x:v>
      </x:c>
      <x:c r="D8" t="n">
        <x:f>C8-B8+1</x:f>
        <x:v>146</x:v>
      </x:c>
      <x:c r="E8" t="str">
        <x:v>Offshore</x:v>
      </x:c>
      <x:c r="F8" t="str">
        <x:v>To be logic-linked in P6</x:v>
      </x:c>
      <x:c r="G8" t="str">
        <x:v>NO</x:v>
      </x:c>
    </x:row>
    <x:row r="9">
      <x:c r="A9" t="str">
        <x:v>New bridge installation</x:v>
      </x:c>
      <x:c r="B9" t="n">
        <x:v>220</x:v>
      </x:c>
      <x:c r="C9" t="n">
        <x:v>315</x:v>
      </x:c>
      <x:c r="D9" t="n">
        <x:f>C9-B9+1</x:f>
        <x:v>96</x:v>
      </x:c>
      <x:c r="E9" t="str">
        <x:v>Offshore</x:v>
      </x:c>
      <x:c r="F9" t="str">
        <x:v>To be logic-linked in P6</x:v>
      </x:c>
      <x:c r="G9" t="str">
        <x:v>NO</x:v>
      </x:c>
    </x:row>
    <x:row r="10">
      <x:c r="A10" t="str">
        <x:v>BHS-SLQ installation/service transfer/demolition</x:v>
      </x:c>
      <x:c r="B10" t="n">
        <x:v>245</x:v>
      </x:c>
      <x:c r="C10" t="n">
        <x:v>335</x:v>
      </x:c>
      <x:c r="D10" t="n">
        <x:f>C10-B10+1</x:f>
        <x:v>91</x:v>
      </x:c>
      <x:c r="E10" t="str">
        <x:v>Offshore</x:v>
      </x:c>
      <x:c r="F10" t="str">
        <x:v>To be logic-linked in P6</x:v>
      </x:c>
      <x:c r="G10" t="str">
        <x:v>NO</x:v>
      </x:c>
    </x:row>
    <x:row r="11">
      <x:c r="A11" t="str">
        <x:v>Completion and turnover</x:v>
      </x:c>
      <x:c r="B11" t="n">
        <x:v>315</x:v>
      </x:c>
      <x:c r="C11" t="n">
        <x:v>360</x:v>
      </x:c>
      <x:c r="D11" t="n">
        <x:f>C11-B11+1</x:f>
        <x:v>46</x:v>
      </x:c>
      <x:c r="E11" t="str">
        <x:v>Completion</x:v>
      </x:c>
      <x:c r="F11" t="str">
        <x:v>To be logic-linked in P6</x:v>
      </x:c>
      <x:c r="G11" t="str">
        <x:v>NO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2" customHeight="1">
      <x:c r="A1" s="4" t="str">
        <x:v>Package</x:v>
      </x:c>
      <x:c r="B1" s="4" t="str">
        <x:v>Construction MT</x:v>
      </x:c>
      <x:c r="C1" s="4" t="str">
        <x:v>Shop productivity MT/day INPUT</x:v>
      </x:c>
      <x:c r="D1" s="4" t="str">
        <x:v>Fabrication working days CALC</x:v>
      </x:c>
      <x:c r="E1" s="4" t="str">
        <x:v>Offshore crew INPUT</x:v>
      </x:c>
      <x:c r="F1" s="4" t="str">
        <x:v>Offshore workdays INPUT</x:v>
      </x:c>
      <x:c r="G1" s="4" t="str">
        <x:v>Crew person-days CALC</x:v>
      </x:c>
      <x:c r="H1" s="4" t="str">
        <x:v>Heavy-lift vessel days INPUT</x:v>
      </x:c>
      <x:c r="I1" s="4" t="str">
        <x:v>Accommodation vessel days INPUT</x:v>
      </x:c>
      <x:c r="J1" s="4" t="str">
        <x:v>Basis / verification</x:v>
      </x:c>
    </x:row>
    <x:row r="2">
      <x:c r="A2" t="str">
        <x:v>ICW-ICG UD</x:v>
      </x:c>
      <x:c r="B2" t="n">
        <x:f>'Bridge Quantities'!G2</x:f>
        <x:v>49</x:v>
      </x:c>
      <x:c r="C2"/>
      <x:c r="D2" t="str">
        <x:f>IF(OR(C2="",C2=0),"",ROUNDUP(B2/C2,0))</x:f>
      </x:c>
      <x:c r="E2"/>
      <x:c r="F2"/>
      <x:c r="G2" t="str">
        <x:f>IF(OR(E2="",F2=""),"",E2*F2)</x:f>
      </x:c>
      <x:c r="H2"/>
      <x:c r="I2"/>
      <x:c r="J2" t="str">
        <x:v>Enter approved rates, workpacks and marine method</x:v>
      </x:c>
    </x:row>
    <x:row r="3">
      <x:c r="A3" t="str">
        <x:v>ICW-ICG LD</x:v>
      </x:c>
      <x:c r="B3" t="n">
        <x:f>'Bridge Quantities'!G3</x:f>
        <x:v>122</x:v>
      </x:c>
      <x:c r="C3"/>
      <x:c r="D3" t="str">
        <x:f>IF(OR(C3="",C3=0),"",ROUNDUP(B3/C3,0))</x:f>
      </x:c>
      <x:c r="E3"/>
      <x:c r="F3"/>
      <x:c r="G3" t="str">
        <x:f>IF(OR(E3="",F3=""),"",E3*F3)</x:f>
      </x:c>
      <x:c r="H3"/>
      <x:c r="I3"/>
      <x:c r="J3" t="str">
        <x:v>Enter approved rates, workpacks and marine method</x:v>
      </x:c>
    </x:row>
    <x:row r="4">
      <x:c r="A4" t="str">
        <x:v>ICG-ICP UD</x:v>
      </x:c>
      <x:c r="B4" t="n">
        <x:f>'Bridge Quantities'!G4</x:f>
        <x:v>116</x:v>
      </x:c>
      <x:c r="C4"/>
      <x:c r="D4" t="str">
        <x:f>IF(OR(C4="",C4=0),"",ROUNDUP(B4/C4,0))</x:f>
      </x:c>
      <x:c r="E4"/>
      <x:c r="F4"/>
      <x:c r="G4" t="str">
        <x:f>IF(OR(E4="",F4=""),"",E4*F4)</x:f>
      </x:c>
      <x:c r="H4"/>
      <x:c r="I4"/>
      <x:c r="J4" t="str">
        <x:v>Enter approved rates, workpacks and marine method</x:v>
      </x:c>
    </x:row>
    <x:row r="5">
      <x:c r="A5" t="str">
        <x:v>ICG-ICP LD</x:v>
      </x:c>
      <x:c r="B5" t="n">
        <x:f>'Bridge Quantities'!G5</x:f>
        <x:v>160</x:v>
      </x:c>
      <x:c r="C5"/>
      <x:c r="D5" t="str">
        <x:f>IF(OR(C5="",C5=0),"",ROUNDUP(B5/C5,0))</x:f>
      </x:c>
      <x:c r="E5"/>
      <x:c r="F5"/>
      <x:c r="G5" t="str">
        <x:f>IF(OR(E5="",F5=""),"",E5*F5)</x:f>
      </x:c>
      <x:c r="H5"/>
      <x:c r="I5"/>
      <x:c r="J5" t="str">
        <x:v>Enter approved rates, workpacks and marine method</x:v>
      </x:c>
    </x:row>
    <x:row r="6">
      <x:c r="A6" t="str">
        <x:v>BHS-SLQ</x:v>
      </x:c>
      <x:c r="B6" t="n">
        <x:f>'Bridge Quantities'!G6</x:f>
        <x:v>282</x:v>
      </x:c>
      <x:c r="C6"/>
      <x:c r="D6" t="str">
        <x:f>IF(OR(C6="",C6=0),"",ROUNDUP(B6/C6,0))</x:f>
      </x:c>
      <x:c r="E6"/>
      <x:c r="F6"/>
      <x:c r="G6" t="str">
        <x:f>IF(OR(E6="",F6=""),"",E6*F6)</x:f>
      </x:c>
      <x:c r="H6"/>
      <x:c r="I6"/>
      <x:c r="J6" t="str">
        <x:v>Enter approved rates, workpacks and marine method</x:v>
      </x:c>
    </x:row>
    <x:row r="7">
      <x:c r="A7" t="str">
        <x:v>SLQ-WIS</x:v>
      </x:c>
      <x:c r="B7" t="n">
        <x:f>'Bridge Quantities'!G7</x:f>
        <x:v>91</x:v>
      </x:c>
      <x:c r="C7"/>
      <x:c r="D7" t="str">
        <x:f>IF(OR(C7="",C7=0),"",ROUNDUP(B7/C7,0))</x:f>
      </x:c>
      <x:c r="E7"/>
      <x:c r="F7"/>
      <x:c r="G7" t="str">
        <x:f>IF(OR(E7="",F7=""),"",E7*F7)</x:f>
      </x:c>
      <x:c r="H7"/>
      <x:c r="I7"/>
      <x:c r="J7" t="str">
        <x:v>Enter approved rates, workpacks and marine method</x:v>
      </x:c>
    </x:row>
    <x:row r="8">
      <x:c r="A8" t="str">
        <x:v>NQO-NQD</x:v>
      </x:c>
      <x:c r="B8" t="n">
        <x:f>'Bridge Quantities'!G8</x:f>
        <x:v>93</x:v>
      </x:c>
      <x:c r="C8"/>
      <x:c r="D8" t="str">
        <x:f>IF(OR(C8="",C8=0),"",ROUNDUP(B8/C8,0))</x:f>
      </x:c>
      <x:c r="E8"/>
      <x:c r="F8"/>
      <x:c r="G8" t="str">
        <x:f>IF(OR(E8="",F8=""),"",E8*F8)</x:f>
      </x:c>
      <x:c r="H8"/>
      <x:c r="I8"/>
      <x:c r="J8" t="str">
        <x:v>Enter approved rates, workpacks and marine method</x:v>
      </x:c>
    </x:row>
    <x:row r="9">
      <x:c r="A9" t="str">
        <x:v>WIN-NC</x:v>
      </x:c>
      <x:c r="B9" t="n">
        <x:f>'Bridge Quantities'!G9</x:f>
        <x:v>46</x:v>
      </x:c>
      <x:c r="C9"/>
      <x:c r="D9" t="str">
        <x:f>IF(OR(C9="",C9=0),"",ROUNDUP(B9/C9,0))</x:f>
      </x:c>
      <x:c r="E9"/>
      <x:c r="F9"/>
      <x:c r="G9" t="str">
        <x:f>IF(OR(E9="",F9=""),"",E9*F9)</x:f>
      </x:c>
      <x:c r="H9"/>
      <x:c r="I9"/>
      <x:c r="J9" t="str">
        <x:v>Enter approved rates, workpacks and marine method</x:v>
      </x:c>
    </x:row>
    <x:row r="10">
      <x:c r="A10" t="str">
        <x:v>SCA-SC1</x:v>
      </x:c>
      <x:c r="B10" t="n">
        <x:f>'Bridge Quantities'!G10</x:f>
        <x:v>63</x:v>
      </x:c>
      <x:c r="C10"/>
      <x:c r="D10" t="str">
        <x:f>IF(OR(C10="",C10=0),"",ROUNDUP(B10/C10,0))</x:f>
      </x:c>
      <x:c r="E10"/>
      <x:c r="F10"/>
      <x:c r="G10" t="str">
        <x:f>IF(OR(E10="",F10=""),"",E10*F10)</x:f>
      </x:c>
      <x:c r="H10"/>
      <x:c r="I10"/>
      <x:c r="J10" t="str">
        <x:v>Enter approved rates, workpacks and marine method</x:v>
      </x:c>
    </x:row>
    <x:row r="11">
      <x:c r="A11" t="str">
        <x:v>SCA-SCF</x:v>
      </x:c>
      <x:c r="B11" t="n">
        <x:f>'Bridge Quantities'!G11</x:f>
        <x:v>119</x:v>
      </x:c>
      <x:c r="C11"/>
      <x:c r="D11" t="str">
        <x:f>IF(OR(C11="",C11=0),"",ROUNDUP(B11/C11,0))</x:f>
      </x:c>
      <x:c r="E11"/>
      <x:c r="F11"/>
      <x:c r="G11" t="str">
        <x:f>IF(OR(E11="",F11=""),"",E11*F11)</x:f>
      </x:c>
      <x:c r="H11"/>
      <x:c r="I11"/>
      <x:c r="J11" t="str">
        <x:v>Enter approved rates, workpacks and marine method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2" customHeight="1">
      <x:c r="A1" s="4" t="str">
        <x:v>Package</x:v>
      </x:c>
      <x:c r="B1" s="4" t="str">
        <x:v>Module ID</x:v>
      </x:c>
      <x:c r="C1" s="4" t="str">
        <x:v>Net module MT</x:v>
      </x:c>
      <x:c r="D1" s="4" t="str">
        <x:v>Attachments MT</x:v>
      </x:c>
      <x:c r="E1" s="4" t="str">
        <x:v>Rigging MT</x:v>
      </x:c>
      <x:c r="F1" s="4" t="str">
        <x:v>Gross suspended MT</x:v>
      </x:c>
      <x:c r="G1" s="4" t="str">
        <x:v>COG X m</x:v>
      </x:c>
      <x:c r="H1" s="4" t="str">
        <x:v>COG Y m</x:v>
      </x:c>
      <x:c r="I1" s="4" t="str">
        <x:v>COG Z m</x:v>
      </x:c>
      <x:c r="J1" s="4" t="str">
        <x:v>Crane radius m</x:v>
      </x:c>
      <x:c r="K1" s="4" t="str">
        <x:v>Crane capacity MT</x:v>
      </x:c>
      <x:c r="L1" s="4" t="str">
        <x:v>Engineered lift approved?</x:v>
      </x:c>
    </x:row>
    <x:row r="2">
      <x:c r="A2" t="str">
        <x:v>ICW-ICG UD</x:v>
      </x:c>
      <x:c r="B2" t="str">
        <x:v>TBD</x:v>
      </x:c>
      <x:c r="C2"/>
      <x:c r="D2"/>
      <x:c r="E2"/>
      <x:c r="F2" t="str">
        <x:f>IF(C2="","",SUM(C2:E2))</x:f>
      </x:c>
      <x:c r="G2"/>
      <x:c r="H2"/>
      <x:c r="I2"/>
      <x:c r="J2"/>
      <x:c r="K2"/>
      <x:c r="L2" t="str">
        <x:v>NO</x:v>
      </x:c>
    </x:row>
    <x:row r="3">
      <x:c r="A3" t="str">
        <x:v>ICW-ICG LD</x:v>
      </x:c>
      <x:c r="B3" t="str">
        <x:v>TBD</x:v>
      </x:c>
      <x:c r="C3"/>
      <x:c r="D3"/>
      <x:c r="E3"/>
      <x:c r="F3" t="str">
        <x:f>IF(C3="","",SUM(C3:E3))</x:f>
      </x:c>
      <x:c r="G3"/>
      <x:c r="H3"/>
      <x:c r="I3"/>
      <x:c r="J3"/>
      <x:c r="K3"/>
      <x:c r="L3" t="str">
        <x:v>NO</x:v>
      </x:c>
    </x:row>
    <x:row r="4">
      <x:c r="A4" t="str">
        <x:v>ICG-ICP UD</x:v>
      </x:c>
      <x:c r="B4" t="str">
        <x:v>TBD</x:v>
      </x:c>
      <x:c r="C4"/>
      <x:c r="D4"/>
      <x:c r="E4"/>
      <x:c r="F4" t="str">
        <x:f>IF(C4="","",SUM(C4:E4))</x:f>
      </x:c>
      <x:c r="G4"/>
      <x:c r="H4"/>
      <x:c r="I4"/>
      <x:c r="J4"/>
      <x:c r="K4"/>
      <x:c r="L4" t="str">
        <x:v>NO</x:v>
      </x:c>
    </x:row>
    <x:row r="5">
      <x:c r="A5" t="str">
        <x:v>ICG-ICP LD</x:v>
      </x:c>
      <x:c r="B5" t="str">
        <x:v>TBD</x:v>
      </x:c>
      <x:c r="C5"/>
      <x:c r="D5"/>
      <x:c r="E5"/>
      <x:c r="F5" t="str">
        <x:f>IF(C5="","",SUM(C5:E5))</x:f>
      </x:c>
      <x:c r="G5"/>
      <x:c r="H5"/>
      <x:c r="I5"/>
      <x:c r="J5"/>
      <x:c r="K5"/>
      <x:c r="L5" t="str">
        <x:v>NO</x:v>
      </x:c>
    </x:row>
    <x:row r="6">
      <x:c r="A6" t="str">
        <x:v>BHS-SLQ</x:v>
      </x:c>
      <x:c r="B6" t="str">
        <x:v>TBD</x:v>
      </x:c>
      <x:c r="C6"/>
      <x:c r="D6"/>
      <x:c r="E6"/>
      <x:c r="F6" t="str">
        <x:f>IF(C6="","",SUM(C6:E6))</x:f>
      </x:c>
      <x:c r="G6"/>
      <x:c r="H6"/>
      <x:c r="I6"/>
      <x:c r="J6"/>
      <x:c r="K6"/>
      <x:c r="L6" t="str">
        <x:v>NO</x:v>
      </x:c>
    </x:row>
    <x:row r="7">
      <x:c r="A7" t="str">
        <x:v>SLQ-WIS</x:v>
      </x:c>
      <x:c r="B7" t="str">
        <x:v>TBD</x:v>
      </x:c>
      <x:c r="C7"/>
      <x:c r="D7"/>
      <x:c r="E7"/>
      <x:c r="F7" t="str">
        <x:f>IF(C7="","",SUM(C7:E7))</x:f>
      </x:c>
      <x:c r="G7"/>
      <x:c r="H7"/>
      <x:c r="I7"/>
      <x:c r="J7"/>
      <x:c r="K7"/>
      <x:c r="L7" t="str">
        <x:v>NO</x:v>
      </x:c>
    </x:row>
    <x:row r="8">
      <x:c r="A8" t="str">
        <x:v>NQO-NQD</x:v>
      </x:c>
      <x:c r="B8" t="str">
        <x:v>TBD</x:v>
      </x:c>
      <x:c r="C8"/>
      <x:c r="D8"/>
      <x:c r="E8"/>
      <x:c r="F8" t="str">
        <x:f>IF(C8="","",SUM(C8:E8))</x:f>
      </x:c>
      <x:c r="G8"/>
      <x:c r="H8"/>
      <x:c r="I8"/>
      <x:c r="J8"/>
      <x:c r="K8"/>
      <x:c r="L8" t="str">
        <x:v>NO</x:v>
      </x:c>
    </x:row>
    <x:row r="9">
      <x:c r="A9" t="str">
        <x:v>WIN-NC</x:v>
      </x:c>
      <x:c r="B9" t="str">
        <x:v>TBD</x:v>
      </x:c>
      <x:c r="C9"/>
      <x:c r="D9"/>
      <x:c r="E9"/>
      <x:c r="F9" t="str">
        <x:f>IF(C9="","",SUM(C9:E9))</x:f>
      </x:c>
      <x:c r="G9"/>
      <x:c r="H9"/>
      <x:c r="I9"/>
      <x:c r="J9"/>
      <x:c r="K9"/>
      <x:c r="L9" t="str">
        <x:v>NO</x:v>
      </x:c>
    </x:row>
    <x:row r="10">
      <x:c r="A10" t="str">
        <x:v>SCA-SC1</x:v>
      </x:c>
      <x:c r="B10" t="str">
        <x:v>TBD</x:v>
      </x:c>
      <x:c r="C10"/>
      <x:c r="D10"/>
      <x:c r="E10"/>
      <x:c r="F10" t="str">
        <x:f>IF(C10="","",SUM(C10:E10))</x:f>
      </x:c>
      <x:c r="G10"/>
      <x:c r="H10"/>
      <x:c r="I10"/>
      <x:c r="J10"/>
      <x:c r="K10"/>
      <x:c r="L10" t="str">
        <x:v>NO</x:v>
      </x:c>
    </x:row>
    <x:row r="11">
      <x:c r="A11" t="str">
        <x:v>SCA-SCF</x:v>
      </x:c>
      <x:c r="B11" t="str">
        <x:v>TBD</x:v>
      </x:c>
      <x:c r="C11"/>
      <x:c r="D11"/>
      <x:c r="E11"/>
      <x:c r="F11" t="str">
        <x:f>IF(C11="","",SUM(C11:E11))</x:f>
      </x:c>
      <x:c r="G11"/>
      <x:c r="H11"/>
      <x:c r="I11"/>
      <x:c r="J11"/>
      <x:c r="K11"/>
      <x:c r="L11" t="str">
        <x:v>NO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2" customHeight="1">
      <x:c r="A1" s="4" t="str">
        <x:v>Vessel / asset</x:v>
      </x:c>
      <x:c r="B1" s="4" t="str">
        <x:v>Website-listed role</x:v>
      </x:c>
      <x:c r="C1" s="4" t="str">
        <x:v>Proposed BRRP role</x:v>
      </x:c>
      <x:c r="D1" s="4" t="str">
        <x:v>Available dates</x:v>
      </x:c>
      <x:c r="E1" s="4" t="str">
        <x:v>Class / certificates</x:v>
      </x:c>
      <x:c r="F1" s="4" t="str">
        <x:v>Crane curve verified</x:v>
      </x:c>
      <x:c r="G1" s="4" t="str">
        <x:v>Deck load / stability</x:v>
      </x:c>
      <x:c r="H1" s="4" t="str">
        <x:v>ONGC marine audit</x:v>
      </x:c>
      <x:c r="I1" s="4" t="str">
        <x:v>Decision</x:v>
      </x:c>
    </x:row>
    <x:row r="2">
      <x:c r="A2" t="str">
        <x:v>Shivansh Shambhavi</x:v>
      </x:c>
      <x:c r="B2" t="str">
        <x:v>Accommodation barge</x:v>
      </x:c>
      <x:c r="C2" t="str">
        <x:v>Accommodation / support</x:v>
      </x:c>
      <x:c r="D2"/>
      <x:c r="E2"/>
      <x:c r="F2" t="str">
        <x:v>N/A</x:v>
      </x:c>
      <x:c r="G2"/>
      <x:c r="H2"/>
      <x:c r="I2" t="str">
        <x:v>Pending</x:v>
      </x:c>
    </x:row>
    <x:row r="3">
      <x:c r="A3" t="str">
        <x:v>AHTS Garnet</x:v>
      </x:c>
      <x:c r="B3" t="str">
        <x:v>AHTS</x:v>
      </x:c>
      <x:c r="C3" t="str">
        <x:v>Towing / anchor handling</x:v>
      </x:c>
      <x:c r="D3"/>
      <x:c r="E3"/>
      <x:c r="F3" t="str">
        <x:v>N/A</x:v>
      </x:c>
      <x:c r="G3"/>
      <x:c r="H3"/>
      <x:c r="I3" t="str">
        <x:v>Pending</x:v>
      </x:c>
    </x:row>
    <x:row r="4">
      <x:c r="A4" t="str">
        <x:v>AHTS Shivansh</x:v>
      </x:c>
      <x:c r="B4" t="str">
        <x:v>AHTS</x:v>
      </x:c>
      <x:c r="C4" t="str">
        <x:v>Towing / anchor handling</x:v>
      </x:c>
      <x:c r="D4"/>
      <x:c r="E4"/>
      <x:c r="F4" t="str">
        <x:v>N/A</x:v>
      </x:c>
      <x:c r="G4"/>
      <x:c r="H4"/>
      <x:c r="I4" t="str">
        <x:v>Pending</x:v>
      </x:c>
    </x:row>
    <x:row r="5">
      <x:c r="A5" t="str">
        <x:v>Shivansh Aryan</x:v>
      </x:c>
      <x:c r="B5" t="str">
        <x:v>Workboat</x:v>
      </x:c>
      <x:c r="C5" t="str">
        <x:v>Support / personnel transfers</x:v>
      </x:c>
      <x:c r="D5"/>
      <x:c r="E5"/>
      <x:c r="F5"/>
      <x:c r="G5"/>
      <x:c r="H5"/>
      <x:c r="I5" t="str">
        <x:v>Pending</x:v>
      </x:c>
    </x:row>
    <x:row r="6">
      <x:c r="A6" t="str">
        <x:v>DSV Shivansh Priya</x:v>
      </x:c>
      <x:c r="B6" t="str">
        <x:v>Diving support vessel</x:v>
      </x:c>
      <x:c r="C6" t="str">
        <x:v>Survey / subsea if required</x:v>
      </x:c>
      <x:c r="D6"/>
      <x:c r="E6"/>
      <x:c r="F6"/>
      <x:c r="G6"/>
      <x:c r="H6"/>
      <x:c r="I6" t="str">
        <x:v>Pending</x:v>
      </x:c>
    </x:row>
    <x:row r="7">
      <x:c r="A7" t="str">
        <x:v>Heavy-lift vessel TBD</x:v>
      </x:c>
      <x:c r="B7" t="str">
        <x:v>Not verified on website</x:v>
      </x:c>
      <x:c r="C7" t="str">
        <x:v>Engineered module lifting</x:v>
      </x:c>
      <x:c r="D7"/>
      <x:c r="E7"/>
      <x:c r="F7" t="str">
        <x:v>NO</x:v>
      </x:c>
      <x:c r="G7"/>
      <x:c r="H7"/>
      <x:c r="I7" t="str">
        <x:v>Sourcing required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32" customHeight="1">
      <x:c r="A1" s="4" t="str">
        <x:v>Gate</x:v>
      </x:c>
      <x:c r="B1" s="4" t="str">
        <x:v>Applies to</x:v>
      </x:c>
      <x:c r="C1" s="4" t="str">
        <x:v>Required evidence</x:v>
      </x:c>
      <x:c r="D1" s="4" t="str">
        <x:v>Approver</x:v>
      </x:c>
      <x:c r="E1" s="4" t="str">
        <x:v>Release status</x:v>
      </x:c>
    </x:row>
    <x:row r="2">
      <x:c r="A2" t="str">
        <x:v>Survey freeze</x:v>
      </x:c>
      <x:c r="B2" t="str">
        <x:v>All relevant bridge packages</x:v>
      </x:c>
      <x:c r="C2" t="str">
        <x:v>Signed survey and interfaces</x:v>
      </x:c>
      <x:c r="D2" t="str">
        <x:v>Qualified lead / ONGC as required</x:v>
      </x:c>
      <x:c r="E2" t="str">
        <x:v>NOT RELEASED</x:v>
      </x:c>
    </x:row>
    <x:row r="3">
      <x:c r="A3" t="str">
        <x:v>AFC design</x:v>
      </x:c>
      <x:c r="B3" t="str">
        <x:v>All relevant bridge packages</x:v>
      </x:c>
      <x:c r="C3" t="str">
        <x:v>Independent checks and accepted drawings</x:v>
      </x:c>
      <x:c r="D3" t="str">
        <x:v>Qualified lead / ONGC as required</x:v>
      </x:c>
      <x:c r="E3" t="str">
        <x:v>NOT RELEASED</x:v>
      </x:c>
    </x:row>
    <x:row r="4">
      <x:c r="A4" t="str">
        <x:v>Material traceability</x:v>
      </x:c>
      <x:c r="B4" t="str">
        <x:v>All relevant bridge packages</x:v>
      </x:c>
      <x:c r="C4" t="str">
        <x:v>MTC and heat-number reconciliation</x:v>
      </x:c>
      <x:c r="D4" t="str">
        <x:v>Qualified lead / ONGC as required</x:v>
      </x:c>
      <x:c r="E4" t="str">
        <x:v>NOT RELEASED</x:v>
      </x:c>
    </x:row>
    <x:row r="5">
      <x:c r="A5" t="str">
        <x:v>Welding release</x:v>
      </x:c>
      <x:c r="B5" t="str">
        <x:v>All relevant bridge packages</x:v>
      </x:c>
      <x:c r="C5" t="str">
        <x:v>WPS/PQR and welder qualification</x:v>
      </x:c>
      <x:c r="D5" t="str">
        <x:v>Qualified lead / ONGC as required</x:v>
      </x:c>
      <x:c r="E5" t="str">
        <x:v>NOT RELEASED</x:v>
      </x:c>
    </x:row>
    <x:row r="6">
      <x:c r="A6" t="str">
        <x:v>Fabrication acceptance</x:v>
      </x:c>
      <x:c r="B6" t="str">
        <x:v>All relevant bridge packages</x:v>
      </x:c>
      <x:c r="C6" t="str">
        <x:v>NDT / dimensional / coating reports</x:v>
      </x:c>
      <x:c r="D6" t="str">
        <x:v>Qualified lead / ONGC as required</x:v>
      </x:c>
      <x:c r="E6" t="str">
        <x:v>NOT RELEASED</x:v>
      </x:c>
    </x:row>
    <x:row r="7">
      <x:c r="A7" t="str">
        <x:v>Lift release</x:v>
      </x:c>
      <x:c r="B7" t="str">
        <x:v>All relevant bridge packages</x:v>
      </x:c>
      <x:c r="C7" t="str">
        <x:v>Weight COG padeyes rigging crane vessel approvals</x:v>
      </x:c>
      <x:c r="D7" t="str">
        <x:v>Qualified lead / ONGC as required</x:v>
      </x:c>
      <x:c r="E7" t="str">
        <x:v>NOT RELEASED</x:v>
      </x:c>
    </x:row>
    <x:row r="8">
      <x:c r="A8" t="str">
        <x:v>Demolition release</x:v>
      </x:c>
      <x:c r="B8" t="str">
        <x:v>All relevant bridge packages</x:v>
      </x:c>
      <x:c r="C8" t="str">
        <x:v>Isolation / staged stability / PTW / SIMOPS</x:v>
      </x:c>
      <x:c r="D8" t="str">
        <x:v>Qualified lead / ONGC as required</x:v>
      </x:c>
      <x:c r="E8" t="str">
        <x:v>NOT RELEASED</x:v>
      </x:c>
    </x:row>
    <x:row r="9">
      <x:c r="A9" t="str">
        <x:v>Final turnover</x:v>
      </x:c>
      <x:c r="B9" t="str">
        <x:v>All relevant bridge packages</x:v>
      </x:c>
      <x:c r="C9" t="str">
        <x:v>Punch list closure and as-builts</x:v>
      </x:c>
      <x:c r="D9" t="str">
        <x:v>Qualified lead / ONGC as required</x:v>
      </x:c>
      <x:c r="E9" t="str">
        <x:v>NOT RELEASED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</x:cols>
  <x:sheetData>
    <x:row r="1" ht="32" customHeight="1">
      <x:c r="A1" s="4" t="str">
        <x:v>ID</x:v>
      </x:c>
      <x:c r="B1" s="4" t="str">
        <x:v>Risk / decision</x:v>
      </x:c>
      <x:c r="C1" s="4" t="str">
        <x:v>Priority</x:v>
      </x:c>
      <x:c r="D1" s="4" t="str">
        <x:v>Mitigation / action</x:v>
      </x:c>
      <x:c r="E1" s="4" t="str">
        <x:v>Owner</x:v>
      </x:c>
      <x:c r="F1" s="4" t="str">
        <x:v>Due date</x:v>
      </x:c>
      <x:c r="G1" s="4" t="str">
        <x:v>Status</x:v>
      </x:c>
    </x:row>
    <x:row r="2">
      <x:c r="A2" t="str">
        <x:v>R01</x:v>
      </x:c>
      <x:c r="B2" t="str">
        <x:v>Award/start date unknown</x:v>
      </x:c>
      <x:c r="C2" t="str">
        <x:v>HIGH</x:v>
      </x:c>
      <x:c r="D2" t="str">
        <x:v>Confirm contractual date and milestone obligations</x:v>
      </x:c>
      <x:c r="E2" t="str">
        <x:v>TBD</x:v>
      </x:c>
      <x:c r="F2"/>
      <x:c r="G2" t="str">
        <x:v>OPEN</x:v>
      </x:c>
    </x:row>
    <x:row r="3">
      <x:c r="A3" t="str">
        <x:v>R02</x:v>
      </x:c>
      <x:c r="B3" t="str">
        <x:v>Offshore weather window</x:v>
      </x:c>
      <x:c r="C3" t="str">
        <x:v>HIGH</x:v>
      </x:c>
      <x:c r="D3" t="str">
        <x:v>Calendarise seasonal limits and standby assumptions</x:v>
      </x:c>
      <x:c r="E3" t="str">
        <x:v>TBD</x:v>
      </x:c>
      <x:c r="F3"/>
      <x:c r="G3" t="str">
        <x:v>OPEN</x:v>
      </x:c>
    </x:row>
    <x:row r="4">
      <x:c r="A4" t="str">
        <x:v>R03</x:v>
      </x:c>
      <x:c r="B4" t="str">
        <x:v>Survey/as-built mismatch</x:v>
      </x:c>
      <x:c r="C4" t="str">
        <x:v>HIGH</x:v>
      </x:c>
      <x:c r="D4" t="str">
        <x:v>Verify all support and service interfaces</x:v>
      </x:c>
      <x:c r="E4" t="str">
        <x:v>TBD</x:v>
      </x:c>
      <x:c r="F4"/>
      <x:c r="G4" t="str">
        <x:v>OPEN</x:v>
      </x:c>
    </x:row>
    <x:row r="5">
      <x:c r="A5" t="str">
        <x:v>R04</x:v>
      </x:c>
      <x:c r="B5" t="str">
        <x:v>BHS-SLQ service continuity</x:v>
      </x:c>
      <x:c r="C5" t="str">
        <x:v>HIGH</x:v>
      </x:c>
      <x:c r="D5" t="str">
        <x:v>New bridge and services transfer before old bridge demolition</x:v>
      </x:c>
      <x:c r="E5" t="str">
        <x:v>TBD</x:v>
      </x:c>
      <x:c r="F5"/>
      <x:c r="G5" t="str">
        <x:v>OPEN</x:v>
      </x:c>
    </x:row>
    <x:row r="6">
      <x:c r="A6" t="str">
        <x:v>R05</x:v>
      </x:c>
      <x:c r="B6" t="str">
        <x:v>Crane lift weights unknown</x:v>
      </x:c>
      <x:c r="C6" t="str">
        <x:v>HIGH</x:v>
      </x:c>
      <x:c r="D6" t="str">
        <x:v>Define segmentation and verified weight/COG</x:v>
      </x:c>
      <x:c r="E6" t="str">
        <x:v>TBD</x:v>
      </x:c>
      <x:c r="F6"/>
      <x:c r="G6" t="str">
        <x:v>OPEN</x:v>
      </x:c>
    </x:row>
    <x:row r="7">
      <x:c r="A7" t="str">
        <x:v>R06</x:v>
      </x:c>
      <x:c r="B7" t="str">
        <x:v>Fabrication yard capacity unknown</x:v>
      </x:c>
      <x:c r="C7" t="str">
        <x:v>HIGH</x:v>
      </x:c>
      <x:c r="D7" t="str">
        <x:v>Audit yard and qualify capacity</x:v>
      </x:c>
      <x:c r="E7" t="str">
        <x:v>TBD</x:v>
      </x:c>
      <x:c r="F7"/>
      <x:c r="G7" t="str">
        <x:v>OPEN</x:v>
      </x:c>
    </x:row>
    <x:row r="8">
      <x:c r="A8" t="str">
        <x:v>R07</x:v>
      </x:c>
      <x:c r="B8" t="str">
        <x:v>Vessel availability unknown</x:v>
      </x:c>
      <x:c r="C8" t="str">
        <x:v>HIGH</x:v>
      </x:c>
      <x:c r="D8" t="str">
        <x:v>Reserve audited suitable marine spread</x:v>
      </x:c>
      <x:c r="E8" t="str">
        <x:v>TBD</x:v>
      </x:c>
      <x:c r="F8"/>
      <x:c r="G8" t="str">
        <x:v>OPEN</x:v>
      </x:c>
    </x:row>
    <x:row r="9">
      <x:c r="A9" t="str">
        <x:v>R08</x:v>
      </x:c>
      <x:c r="B9" t="str">
        <x:v>Commercial rate uncertainty</x:v>
      </x:c>
      <x:c r="C9" t="str">
        <x:v>HIGH</x:v>
      </x:c>
      <x:c r="D9" t="str">
        <x:v>Secure vendor / vessel quotations</x:v>
      </x:c>
      <x:c r="E9" t="str">
        <x:v>TBD</x:v>
      </x:c>
      <x:c r="F9"/>
      <x:c r="G9" t="str">
        <x:v>OPEN</x:v>
      </x:c>
    </x:row>
    <x:row r="10">
      <x:c r="A10" t="str">
        <x:v>R09</x:v>
      </x:c>
      <x:c r="B10" t="str">
        <x:v>ONGC approvals on critical path</x:v>
      </x:c>
      <x:c r="C10" t="str">
        <x:v>HIGH</x:v>
      </x:c>
      <x:c r="D10" t="str">
        <x:v>Build DCI and resubmission cycles into schedule</x:v>
      </x:c>
      <x:c r="E10" t="str">
        <x:v>TBD</x:v>
      </x:c>
      <x:c r="F10"/>
      <x:c r="G10" t="str">
        <x:v>OPEN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2" customHeight="1">
      <x:c r="A1" s="4" t="str">
        <x:v>Cost category</x:v>
      </x:c>
      <x:c r="B1" s="4" t="str">
        <x:v>Quantity / basis</x:v>
      </x:c>
      <x:c r="C1" s="4" t="str">
        <x:v>Unit rate INR INPUT</x:v>
      </x:c>
      <x:c r="D1" s="4" t="str">
        <x:v>Budget INR CALC</x:v>
      </x:c>
      <x:c r="E1" s="4" t="str">
        <x:v>Quotation / source</x:v>
      </x:c>
      <x:c r="F1" s="4" t="str">
        <x:v>Status</x:v>
      </x:c>
    </x:row>
    <x:row r="2">
      <x:c r="A2" t="str">
        <x:v>Structural steel supply</x:v>
      </x:c>
      <x:c r="B2"/>
      <x:c r="C2"/>
      <x:c r="D2" t="str">
        <x:f>IF(OR(B2="",C2=""),"",B2*C2)</x:f>
      </x:c>
      <x:c r="E2"/>
      <x:c r="F2" t="str">
        <x:v>Unpriced</x:v>
      </x:c>
    </x:row>
    <x:row r="3">
      <x:c r="A3" t="str">
        <x:v>Shop fabrication</x:v>
      </x:c>
      <x:c r="B3"/>
      <x:c r="C3"/>
      <x:c r="D3" t="str">
        <x:f>IF(OR(B3="",C3=""),"",B3*C3)</x:f>
      </x:c>
      <x:c r="E3"/>
      <x:c r="F3" t="str">
        <x:v>Unpriced</x:v>
      </x:c>
    </x:row>
    <x:row r="4">
      <x:c r="A4" t="str">
        <x:v>NDT and coating</x:v>
      </x:c>
      <x:c r="B4"/>
      <x:c r="C4"/>
      <x:c r="D4" t="str">
        <x:f>IF(OR(B4="",C4=""),"",B4*C4)</x:f>
      </x:c>
      <x:c r="E4"/>
      <x:c r="F4" t="str">
        <x:v>Unpriced</x:v>
      </x:c>
    </x:row>
    <x:row r="5">
      <x:c r="A5" t="str">
        <x:v>Engineering and survey</x:v>
      </x:c>
      <x:c r="B5"/>
      <x:c r="C5"/>
      <x:c r="D5" t="str">
        <x:f>IF(OR(B5="",C5=""),"",B5*C5)</x:f>
      </x:c>
      <x:c r="E5"/>
      <x:c r="F5" t="str">
        <x:v>Unpriced</x:v>
      </x:c>
    </x:row>
    <x:row r="6">
      <x:c r="A6" t="str">
        <x:v>Marine vessel charter</x:v>
      </x:c>
      <x:c r="B6"/>
      <x:c r="C6"/>
      <x:c r="D6" t="str">
        <x:f>IF(OR(B6="",C6=""),"",B6*C6)</x:f>
      </x:c>
      <x:c r="E6"/>
      <x:c r="F6" t="str">
        <x:v>Unpriced</x:v>
      </x:c>
    </x:row>
    <x:row r="7">
      <x:c r="A7" t="str">
        <x:v>Loadout and seafastening</x:v>
      </x:c>
      <x:c r="B7"/>
      <x:c r="C7"/>
      <x:c r="D7" t="str">
        <x:f>IF(OR(B7="",C7=""),"",B7*C7)</x:f>
      </x:c>
      <x:c r="E7"/>
      <x:c r="F7" t="str">
        <x:v>Unpriced</x:v>
      </x:c>
    </x:row>
    <x:row r="8">
      <x:c r="A8" t="str">
        <x:v>Offshore installation</x:v>
      </x:c>
      <x:c r="B8"/>
      <x:c r="C8"/>
      <x:c r="D8" t="str">
        <x:f>IF(OR(B8="",C8=""),"",B8*C8)</x:f>
      </x:c>
      <x:c r="E8"/>
      <x:c r="F8" t="str">
        <x:v>Unpriced</x:v>
      </x:c>
    </x:row>
    <x:row r="9">
      <x:c r="A9" t="str">
        <x:v>Offshore strengthening</x:v>
      </x:c>
      <x:c r="B9"/>
      <x:c r="C9"/>
      <x:c r="D9" t="str">
        <x:f>IF(OR(B9="",C9=""),"",B9*C9)</x:f>
      </x:c>
      <x:c r="E9"/>
      <x:c r="F9" t="str">
        <x:v>Unpriced</x:v>
      </x:c>
    </x:row>
    <x:row r="10">
      <x:c r="A10" t="str">
        <x:v>Demolition and disposal</x:v>
      </x:c>
      <x:c r="B10"/>
      <x:c r="C10"/>
      <x:c r="D10" t="str">
        <x:f>IF(OR(B10="",C10=""),"",B10*C10)</x:f>
      </x:c>
      <x:c r="E10"/>
      <x:c r="F10" t="str">
        <x:v>Unpriced</x:v>
      </x:c>
    </x:row>
    <x:row r="11">
      <x:c r="A11" t="str">
        <x:v>HSE QA/QC and insurance</x:v>
      </x:c>
      <x:c r="B11"/>
      <x:c r="C11"/>
      <x:c r="D11" t="str">
        <x:f>IF(OR(B11="",C11=""),"",B11*C11)</x:f>
      </x:c>
      <x:c r="E11"/>
      <x:c r="F11" t="str">
        <x:v>Unpriced</x:v>
      </x:c>
    </x:row>
    <x:row r="12">
      <x:c r="A12" t="str">
        <x:v>Contingency</x:v>
      </x:c>
      <x:c r="B12"/>
      <x:c r="C12"/>
      <x:c r="D12" t="str">
        <x:f>IF(OR(B12="",C12=""),"",B12*C12)</x:f>
      </x:c>
      <x:c r="E12"/>
      <x:c r="F12" t="str">
        <x:v>Unpriced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42" hidden="0" customWidth="1"/>
  </x:cols>
  <x:sheetData>
    <x:row r="1" ht="32" customHeight="1">
      <x:c r="A1" s="4" t="str">
        <x:v>Category</x:v>
      </x:c>
      <x:c r="B1" s="4" t="str">
        <x:v>Basis</x:v>
      </x:c>
      <x:c r="C1" s="4" t="str">
        <x:v>Limitations / next verification</x:v>
      </x:c>
    </x:row>
    <x:row r="2">
      <x:c r="A2" t="str">
        <x:v>MTO</x:v>
      </x:c>
      <x:c r="B2" t="str">
        <x:v>ONGC B774 tender summary, ten bridge packages</x:v>
      </x:c>
      <x:c r="C2" t="str">
        <x:v>Quantities subject to AFC design and survey</x:v>
      </x:c>
    </x:row>
    <x:row r="3">
      <x:c r="A3" t="str">
        <x:v>Schedule</x:v>
      </x:c>
      <x:c r="B3" t="str">
        <x:v>Previous Stage-3 proposed 360-day windows</x:v>
      </x:c>
      <x:c r="C3" t="str">
        <x:v>Not a resource-levelled or CPM-approved schedule</x:v>
      </x:c>
    </x:row>
    <x:row r="4">
      <x:c r="A4" t="str">
        <x:v>Shivansh fleet</x:v>
      </x:c>
      <x:c r="B4" t="str">
        <x:v>Company website shivanshoffshore.in</x:v>
      </x:c>
      <x:c r="C4" t="str">
        <x:v>Company claims; vessel particulars/availability unverified</x:v>
      </x:c>
    </x:row>
    <x:row r="5">
      <x:c r="A5" t="str">
        <x:v>Marine safety</x:v>
      </x:c>
      <x:c r="B5" t="str">
        <x:v>IMCA lifting and operational planning guidance</x:v>
      </x:c>
      <x:c r="C5" t="str">
        <x:v>Applicable revision and contract requirements to be confirmed</x:v>
      </x:c>
    </x:row>
    <x:row r="6">
      <x:c r="A6" t="str">
        <x:v>P6</x:v>
      </x:c>
      <x:c r="B6" t="str">
        <x:v>Oracle Primavera activity relationship guidance</x:v>
      </x:c>
      <x:c r="C6" t="str">
        <x:v>Import format and calendars to be validated</x:v>
      </x:c>
    </x:row>
    <x:row r="7">
      <x:c r="A7" t="str">
        <x:v>Contract</x:v>
      </x:c>
      <x:c r="B7" t="str">
        <x:v>ONGC SCC / project tender documents</x:v>
      </x:c>
      <x:c r="C7" t="str">
        <x:v>Award, dates, approved procedures and subcontract restrictions govern</x:v>
      </x:c>
    </x:row>
    <x:row r="8">
      <x:c r="A8" t="str">
        <x:v>Engineering</x:v>
      </x:c>
      <x:c r="B8" t="str">
        <x:v>No module weights or crane radii provided</x:v>
      </x:c>
      <x:c r="C8" t="str">
        <x:v>Do not use for lift or demolition authorization</x:v>
      </x:c>
    </x:row>
  </x:sheetData>
  <x:pageMargins left="0.7" right="0.7" top="0.75" bottom="0.75" header="0.3" footer="0.3"/>
</x:worksheet>
</file>