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08d23ab68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s and Decisions" sheetId="1" r:id="R206dffd4a77b4ee5"/>
    <x:sheet xmlns:r="http://schemas.openxmlformats.org/officeDocument/2006/relationships" name="Bridge Production" sheetId="2" r:id="R4bee3d5f259e43d8"/>
    <x:sheet xmlns:r="http://schemas.openxmlformats.org/officeDocument/2006/relationships" name="Resource Scenarios" sheetId="3" r:id="R8b462ddaef18407e"/>
    <x:sheet xmlns:r="http://schemas.openxmlformats.org/officeDocument/2006/relationships" name="29 Week Mobilisation" sheetId="4" r:id="Rcda59b5fbbdb4502"/>
    <x:sheet xmlns:r="http://schemas.openxmlformats.org/officeDocument/2006/relationships" name="Release and Hold Points" sheetId="5" r:id="Rbf64b336e0014d9a"/>
    <x:sheet xmlns:r="http://schemas.openxmlformats.org/officeDocument/2006/relationships" name="CEO Decisions" sheetId="6" r:id="R790fb87147c3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365be26884b74" /><Relationship Type="http://schemas.openxmlformats.org/officeDocument/2006/relationships/theme" Target="/xl/theme/theme1.xml" Id="R67c93b45f2404b9e" /><Relationship Type="http://schemas.openxmlformats.org/officeDocument/2006/relationships/sharedStrings" Target="/xl/sharedStrings.xml" Id="R234ce26319034de0" /><Relationship Type="http://schemas.openxmlformats.org/officeDocument/2006/relationships/worksheet" Target="/xl/worksheets/sheet1.xml" Id="R206dffd4a77b4ee5" /><Relationship Type="http://schemas.openxmlformats.org/officeDocument/2006/relationships/worksheet" Target="/xl/worksheets/sheet2.xml" Id="R4bee3d5f259e43d8" /><Relationship Type="http://schemas.openxmlformats.org/officeDocument/2006/relationships/worksheet" Target="/xl/worksheets/sheet3.xml" Id="R8b462ddaef18407e" /><Relationship Type="http://schemas.openxmlformats.org/officeDocument/2006/relationships/worksheet" Target="/xl/worksheets/sheet4.xml" Id="Rcda59b5fbbdb4502" /><Relationship Type="http://schemas.openxmlformats.org/officeDocument/2006/relationships/worksheet" Target="/xl/worksheets/sheet5.xml" Id="Rbf64b336e0014d9a" /><Relationship Type="http://schemas.openxmlformats.org/officeDocument/2006/relationships/worksheet" Target="/xl/worksheets/sheet6.xml" Id="R790fb87147c3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4" hidden="0" customWidth="1"/>
    <x:col min="3" max="3" width="72" hidden="0" customWidth="1"/>
  </x:cols>
  <x:sheetData>
    <x:row r="1" ht="29" customHeight="1">
      <x:c r="A1" s="4" t="str">
        <x:v>SHIVANSH BRRP — STAGE 29 RESOURCE-LEVELLED READINESS MODEL</x:v>
      </x:c>
      <x:c r="B1" s="4" t="str">
        <x:v>Value</x:v>
      </x:c>
      <x:c r="C1" s="4" t="str">
        <x:v>Status / instruction</x:v>
      </x:c>
    </x:row>
    <x:row r="2">
      <x:c r="A2" t="str">
        <x:v>Provisional Day 1</x:v>
      </x:c>
      <x:c r="B2" t="str">
        <x:v>2026-11-01</x:v>
      </x:c>
      <x:c r="C2" t="str">
        <x:v>Assumption, NOT contract commencement</x:v>
      </x:c>
    </x:row>
    <x:row r="3">
      <x:c r="A3" t="str">
        <x:v>Pre-monsoon boundary</x:v>
      </x:c>
      <x:c r="B3" t="str">
        <x:v>2027-05-15</x:v>
      </x:c>
      <x:c r="C3" t="str">
        <x:v>Planning boundary; verify offshore weather/contract</x:v>
      </x:c>
    </x:row>
    <x:row r="4">
      <x:c r="A4" t="str">
        <x:v>Day-360 target</x:v>
      </x:c>
      <x:c r="B4" t="str">
        <x:v>2027-10-26</x:v>
      </x:c>
      <x:c r="C4" t="str">
        <x:v>Illustrative, subject to SCC</x:v>
      </x:c>
    </x:row>
    <x:row r="5">
      <x:c r="A5" t="str">
        <x:v>Tender structural summary MT</x:v>
      </x:c>
      <x:c r="B5" t="n">
        <x:v>1142</x:v>
      </x:c>
      <x:c r="C5" t="str">
        <x:v>Previously reported printed summary; verify source</x:v>
      </x:c>
    </x:row>
    <x:row r="6">
      <x:c r="A6" t="str">
        <x:v>Sum of package rows MT</x:v>
      </x:c>
      <x:c r="B6" t="n">
        <x:v>1141</x:v>
      </x:c>
      <x:c r="C6" t="str">
        <x:v>Previously transcribed; verify original MTO</x:v>
      </x:c>
    </x:row>
    <x:row r="7">
      <x:c r="A7" t="str">
        <x:v>Unresolved difference MT</x:v>
      </x:c>
      <x:c r="B7" t="n">
        <x:v>1</x:v>
      </x:c>
      <x:c r="C7" t="str">
        <x:v>Do not hide discrepancy</x:v>
      </x:c>
    </x:row>
    <x:row r="8">
      <x:c r="A8" t="str">
        <x:v>Demolition MT</x:v>
      </x:c>
      <x:c r="B8" t="n">
        <x:v>357</x:v>
      </x:c>
      <x:c r="C8" t="str">
        <x:v>Previously reported; verify MTO</x:v>
      </x:c>
    </x:row>
    <x:row r="9">
      <x:c r="A9" t="str">
        <x:v>Pre-award status</x:v>
      </x:c>
      <x:c r="B9" t="str">
        <x:v>NOT AWARDED</x:v>
      </x:c>
      <x:c r="C9" t="str">
        <x:v>No unconditional charter or purchase commitments</x:v>
      </x:c>
    </x:row>
    <x:row r="10">
      <x:c r="A10" t="str">
        <x:v>Productivity rates</x:v>
      </x:c>
      <x:c r="B10" t="str">
        <x:v>UNVERIFIED</x:v>
      </x:c>
      <x:c r="C10" t="str">
        <x:v>Obtain yard/crew historical evidence</x:v>
      </x:c>
    </x:row>
    <x:row r="11">
      <x:c r="A11" t="str">
        <x:v>Marine spread</x:v>
      </x:c>
      <x:c r="B11" t="str">
        <x:v>UNCOMMITTED</x:v>
      </x:c>
      <x:c r="C11" t="str">
        <x:v>Engineering lift study required</x:v>
      </x:c>
    </x:row>
    <x:row r="12">
      <x:c r="A12" t="str">
        <x:v>Contract monsoon entitlement</x:v>
      </x:c>
      <x:c r="B12" t="str">
        <x:v>UNVERIFIED</x:v>
      </x:c>
      <x:c r="C12" t="str">
        <x:v>Contracts team to verify SCC</x:v>
      </x:c>
    </x:row>
    <x:row r="13">
      <x:c r="A13" t="str">
        <x:v>Cost rates</x:v>
      </x:c>
      <x:c r="B13" t="str">
        <x:v>NOT QUOTED</x:v>
      </x:c>
      <x:c r="C13" t="str">
        <x:v>Obtain conditional offers</x:v>
      </x:c>
    </x:row>
    <x:row r="14">
      <x:c r="A14" t="str">
        <x:v>Schedule result</x:v>
      </x:c>
      <x:c r="B14" t="str">
        <x:v>SCENARIO ONLY</x:v>
      </x:c>
      <x:c r="C14" t="str">
        <x:v>Not an approved P6 resource-levelled CPM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3" hidden="0" customWidth="1"/>
    <x:col min="5" max="5" width="23" hidden="0" customWidth="1"/>
    <x:col min="6" max="6" width="22" hidden="0" customWidth="1"/>
    <x:col min="7" max="7" width="19" hidden="0" customWidth="1"/>
    <x:col min="8" max="8" width="13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19" hidden="0" customWidth="1"/>
    <x:col min="14" max="14" width="19" hidden="0" customWidth="1"/>
  </x:cols>
  <x:sheetData>
    <x:row r="1" ht="29" customHeight="1">
      <x:c r="A1" s="4" t="str">
        <x:v>Bridge</x:v>
      </x:c>
      <x:c r="B1" s="4" t="str">
        <x:v>Structural MT</x:v>
      </x:c>
      <x:c r="C1" s="4" t="str">
        <x:v>Demolition MT</x:v>
      </x:c>
      <x:c r="D1" s="4" t="str">
        <x:v>Crew pool</x:v>
      </x:c>
      <x:c r="E1" s="4" t="str">
        <x:v>Type</x:v>
      </x:c>
      <x:c r="F1" s="4" t="str">
        <x:v>Offshore team-days (scenario)</x:v>
      </x:c>
      <x:c r="G1" s="4" t="str">
        <x:v>Lift days (scenario)</x:v>
      </x:c>
      <x:c r="H1" s="4" t="str">
        <x:v>Crew size</x:v>
      </x:c>
      <x:c r="I1" s="4" t="str">
        <x:v>Direct person-days</x:v>
      </x:c>
      <x:c r="J1" s="4" t="str">
        <x:v>Team days at 70%</x:v>
      </x:c>
      <x:c r="K1" s="4" t="str">
        <x:v>Engineer release</x:v>
      </x:c>
      <x:c r="L1" s="4" t="str">
        <x:v>Material readiness</x:v>
      </x:c>
      <x:c r="M1" s="4" t="str">
        <x:v>Marine window</x:v>
      </x:c>
      <x:c r="N1" s="4" t="str">
        <x:v>Approval status</x:v>
      </x:c>
    </x:row>
    <x:row r="2">
      <x:c r="A2" t="str">
        <x:v>ICW–ICG UD</x:v>
      </x:c>
      <x:c r="B2" t="n">
        <x:v>49</x:v>
      </x:c>
      <x:c r="C2" t="n">
        <x:v>25</x:v>
      </x:c>
      <x:c r="D2" t="str">
        <x:v>A</x:v>
      </x:c>
      <x:c r="E2" t="str">
        <x:v>Strengthening</x:v>
      </x:c>
      <x:c r="F2" t="n">
        <x:v>12</x:v>
      </x:c>
      <x:c r="G2" t="n">
        <x:v>0</x:v>
      </x:c>
      <x:c r="H2" t="n">
        <x:v>18</x:v>
      </x:c>
      <x:c r="I2" t="n">
        <x:f>F2*H2</x:f>
        <x:v>216</x:v>
      </x:c>
      <x:c r="J2" t="n">
        <x:f>ROUNDUP(F2/0.7,0)</x:f>
        <x:v>18</x:v>
      </x:c>
      <x:c r="K2" t="str">
        <x:v>TBD</x:v>
      </x:c>
      <x:c r="L2" t="str">
        <x:v>TBD</x:v>
      </x:c>
      <x:c r="M2" t="str">
        <x:v>TBD</x:v>
      </x:c>
      <x:c r="N2" t="str">
        <x:v>NOT RELEASED</x:v>
      </x:c>
    </x:row>
    <x:row r="3">
      <x:c r="A3" t="str">
        <x:v>ICW–ICG LD</x:v>
      </x:c>
      <x:c r="B3" t="n">
        <x:v>122</x:v>
      </x:c>
      <x:c r="C3" t="n">
        <x:v>1</x:v>
      </x:c>
      <x:c r="D3" t="str">
        <x:v>I</x:v>
      </x:c>
      <x:c r="E3" t="str">
        <x:v>New bridge</x:v>
      </x:c>
      <x:c r="F3" t="n">
        <x:v>10</x:v>
      </x:c>
      <x:c r="G3" t="n">
        <x:v>5</x:v>
      </x:c>
      <x:c r="H3" t="n">
        <x:v>18</x:v>
      </x:c>
      <x:c r="I3" t="n">
        <x:f>F3*H3</x:f>
        <x:v>180</x:v>
      </x:c>
      <x:c r="J3" t="n">
        <x:f>ROUNDUP(F3/0.7,0)</x:f>
        <x:v>15</x:v>
      </x:c>
      <x:c r="K3" t="str">
        <x:v>TBD</x:v>
      </x:c>
      <x:c r="L3" t="str">
        <x:v>TBD</x:v>
      </x:c>
      <x:c r="M3" t="str">
        <x:v>TBD</x:v>
      </x:c>
      <x:c r="N3" t="str">
        <x:v>NOT RELEASED</x:v>
      </x:c>
    </x:row>
    <x:row r="4">
      <x:c r="A4" t="str">
        <x:v>ICG–ICP UD</x:v>
      </x:c>
      <x:c r="B4" t="n">
        <x:v>116</x:v>
      </x:c>
      <x:c r="C4" t="n">
        <x:v>25</x:v>
      </x:c>
      <x:c r="D4" t="str">
        <x:v>A</x:v>
      </x:c>
      <x:c r="E4" t="str">
        <x:v>Strengthening</x:v>
      </x:c>
      <x:c r="F4" t="n">
        <x:v>22</x:v>
      </x:c>
      <x:c r="G4" t="n">
        <x:v>0</x:v>
      </x:c>
      <x:c r="H4" t="n">
        <x:v>18</x:v>
      </x:c>
      <x:c r="I4" t="n">
        <x:f>F4*H4</x:f>
        <x:v>396</x:v>
      </x:c>
      <x:c r="J4" t="n">
        <x:f>ROUNDUP(F4/0.7,0)</x:f>
        <x:v>32</x:v>
      </x:c>
      <x:c r="K4" t="str">
        <x:v>TBD</x:v>
      </x:c>
      <x:c r="L4" t="str">
        <x:v>TBD</x:v>
      </x:c>
      <x:c r="M4" t="str">
        <x:v>TBD</x:v>
      </x:c>
      <x:c r="N4" t="str">
        <x:v>NOT RELEASED</x:v>
      </x:c>
    </x:row>
    <x:row r="5">
      <x:c r="A5" t="str">
        <x:v>ICG–ICP LD</x:v>
      </x:c>
      <x:c r="B5" t="n">
        <x:v>160</x:v>
      </x:c>
      <x:c r="C5" t="n">
        <x:v>1</x:v>
      </x:c>
      <x:c r="D5" t="str">
        <x:v>I</x:v>
      </x:c>
      <x:c r="E5" t="str">
        <x:v>New bridge</x:v>
      </x:c>
      <x:c r="F5" t="n">
        <x:v>12</x:v>
      </x:c>
      <x:c r="G5" t="n">
        <x:v>7</x:v>
      </x:c>
      <x:c r="H5" t="n">
        <x:v>18</x:v>
      </x:c>
      <x:c r="I5" t="n">
        <x:f>F5*H5</x:f>
        <x:v>216</x:v>
      </x:c>
      <x:c r="J5" t="n">
        <x:f>ROUNDUP(F5/0.7,0)</x:f>
        <x:v>18</x:v>
      </x:c>
      <x:c r="K5" t="str">
        <x:v>TBD</x:v>
      </x:c>
      <x:c r="L5" t="str">
        <x:v>TBD</x:v>
      </x:c>
      <x:c r="M5" t="str">
        <x:v>TBD</x:v>
      </x:c>
      <x:c r="N5" t="str">
        <x:v>NOT RELEASED</x:v>
      </x:c>
    </x:row>
    <x:row r="6">
      <x:c r="A6" t="str">
        <x:v>BHS–SLQ</x:v>
      </x:c>
      <x:c r="B6" t="n">
        <x:v>282</x:v>
      </x:c>
      <x:c r="C6" t="n">
        <x:v>210</x:v>
      </x:c>
      <x:c r="D6" t="str">
        <x:v>I</x:v>
      </x:c>
      <x:c r="E6" t="str">
        <x:v>Replacement / services</x:v>
      </x:c>
      <x:c r="F6" t="n">
        <x:v>25</x:v>
      </x:c>
      <x:c r="G6" t="n">
        <x:v>12</x:v>
      </x:c>
      <x:c r="H6" t="n">
        <x:v>18</x:v>
      </x:c>
      <x:c r="I6" t="n">
        <x:f>F6*H6</x:f>
        <x:v>450</x:v>
      </x:c>
      <x:c r="J6" t="n">
        <x:f>ROUNDUP(F6/0.7,0)</x:f>
        <x:v>36</x:v>
      </x:c>
      <x:c r="K6" t="str">
        <x:v>TBD</x:v>
      </x:c>
      <x:c r="L6" t="str">
        <x:v>TBD</x:v>
      </x:c>
      <x:c r="M6" t="str">
        <x:v>TBD</x:v>
      </x:c>
      <x:c r="N6" t="str">
        <x:v>NOT RELEASED</x:v>
      </x:c>
    </x:row>
    <x:row r="7">
      <x:c r="A7" t="str">
        <x:v>SLQ–WIS</x:v>
      </x:c>
      <x:c r="B7" t="n">
        <x:v>91</x:v>
      </x:c>
      <x:c r="C7" t="n">
        <x:v>15</x:v>
      </x:c>
      <x:c r="D7" t="str">
        <x:v>A</x:v>
      </x:c>
      <x:c r="E7" t="str">
        <x:v>Strengthening</x:v>
      </x:c>
      <x:c r="F7" t="n">
        <x:v>16</x:v>
      </x:c>
      <x:c r="G7" t="n">
        <x:v>0</x:v>
      </x:c>
      <x:c r="H7" t="n">
        <x:v>18</x:v>
      </x:c>
      <x:c r="I7" t="n">
        <x:f>F7*H7</x:f>
        <x:v>288</x:v>
      </x:c>
      <x:c r="J7" t="n">
        <x:f>ROUNDUP(F7/0.7,0)</x:f>
        <x:v>23</x:v>
      </x:c>
      <x:c r="K7" t="str">
        <x:v>TBD</x:v>
      </x:c>
      <x:c r="L7" t="str">
        <x:v>TBD</x:v>
      </x:c>
      <x:c r="M7" t="str">
        <x:v>TBD</x:v>
      </x:c>
      <x:c r="N7" t="str">
        <x:v>NOT RELEASED</x:v>
      </x:c>
    </x:row>
    <x:row r="8">
      <x:c r="A8" t="str">
        <x:v>NQO–NQD</x:v>
      </x:c>
      <x:c r="B8" t="n">
        <x:v>93</x:v>
      </x:c>
      <x:c r="C8" t="n">
        <x:v>25</x:v>
      </x:c>
      <x:c r="D8" t="str">
        <x:v>B</x:v>
      </x:c>
      <x:c r="E8" t="str">
        <x:v>Strengthening</x:v>
      </x:c>
      <x:c r="F8" t="n">
        <x:v>17</x:v>
      </x:c>
      <x:c r="G8" t="n">
        <x:v>0</x:v>
      </x:c>
      <x:c r="H8" t="n">
        <x:v>18</x:v>
      </x:c>
      <x:c r="I8" t="n">
        <x:f>F8*H8</x:f>
        <x:v>306</x:v>
      </x:c>
      <x:c r="J8" t="n">
        <x:f>ROUNDUP(F8/0.7,0)</x:f>
        <x:v>25</x:v>
      </x:c>
      <x:c r="K8" t="str">
        <x:v>TBD</x:v>
      </x:c>
      <x:c r="L8" t="str">
        <x:v>TBD</x:v>
      </x:c>
      <x:c r="M8" t="str">
        <x:v>TBD</x:v>
      </x:c>
      <x:c r="N8" t="str">
        <x:v>NOT RELEASED</x:v>
      </x:c>
    </x:row>
    <x:row r="9">
      <x:c r="A9" t="str">
        <x:v>WIN–NC</x:v>
      </x:c>
      <x:c r="B9" t="n">
        <x:v>46</x:v>
      </x:c>
      <x:c r="C9" t="n">
        <x:v>10</x:v>
      </x:c>
      <x:c r="D9" t="str">
        <x:v>B</x:v>
      </x:c>
      <x:c r="E9" t="str">
        <x:v>Strengthening</x:v>
      </x:c>
      <x:c r="F9" t="n">
        <x:v>10</x:v>
      </x:c>
      <x:c r="G9" t="n">
        <x:v>0</x:v>
      </x:c>
      <x:c r="H9" t="n">
        <x:v>18</x:v>
      </x:c>
      <x:c r="I9" t="n">
        <x:f>F9*H9</x:f>
        <x:v>180</x:v>
      </x:c>
      <x:c r="J9" t="n">
        <x:f>ROUNDUP(F9/0.7,0)</x:f>
        <x:v>15</x:v>
      </x:c>
      <x:c r="K9" t="str">
        <x:v>TBD</x:v>
      </x:c>
      <x:c r="L9" t="str">
        <x:v>TBD</x:v>
      </x:c>
      <x:c r="M9" t="str">
        <x:v>TBD</x:v>
      </x:c>
      <x:c r="N9" t="str">
        <x:v>NOT RELEASED</x:v>
      </x:c>
    </x:row>
    <x:row r="10">
      <x:c r="A10" t="str">
        <x:v>SCA–SC1</x:v>
      </x:c>
      <x:c r="B10" t="n">
        <x:v>63</x:v>
      </x:c>
      <x:c r="C10" t="n">
        <x:v>15</x:v>
      </x:c>
      <x:c r="D10" t="str">
        <x:v>B</x:v>
      </x:c>
      <x:c r="E10" t="str">
        <x:v>Strengthening</x:v>
      </x:c>
      <x:c r="F10" t="n">
        <x:v>13</x:v>
      </x:c>
      <x:c r="G10" t="n">
        <x:v>0</x:v>
      </x:c>
      <x:c r="H10" t="n">
        <x:v>18</x:v>
      </x:c>
      <x:c r="I10" t="n">
        <x:f>F10*H10</x:f>
        <x:v>234</x:v>
      </x:c>
      <x:c r="J10" t="n">
        <x:f>ROUNDUP(F10/0.7,0)</x:f>
        <x:v>19</x:v>
      </x:c>
      <x:c r="K10" t="str">
        <x:v>TBD</x:v>
      </x:c>
      <x:c r="L10" t="str">
        <x:v>TBD</x:v>
      </x:c>
      <x:c r="M10" t="str">
        <x:v>TBD</x:v>
      </x:c>
      <x:c r="N10" t="str">
        <x:v>NOT RELEASED</x:v>
      </x:c>
    </x:row>
    <x:row r="11">
      <x:c r="A11" t="str">
        <x:v>SCA–SCF</x:v>
      </x:c>
      <x:c r="B11" t="n">
        <x:v>119</x:v>
      </x:c>
      <x:c r="C11" t="n">
        <x:v>30</x:v>
      </x:c>
      <x:c r="D11" t="str">
        <x:v>B</x:v>
      </x:c>
      <x:c r="E11" t="str">
        <x:v>Strengthening</x:v>
      </x:c>
      <x:c r="F11" t="n">
        <x:v>20</x:v>
      </x:c>
      <x:c r="G11" t="n">
        <x:v>0</x:v>
      </x:c>
      <x:c r="H11" t="n">
        <x:v>18</x:v>
      </x:c>
      <x:c r="I11" t="n">
        <x:f>F11*H11</x:f>
        <x:v>360</x:v>
      </x:c>
      <x:c r="J11" t="n">
        <x:f>ROUNDUP(F11/0.7,0)</x:f>
        <x:v>29</x:v>
      </x:c>
      <x:c r="K11" t="str">
        <x:v>TBD</x:v>
      </x:c>
      <x:c r="L11" t="str">
        <x:v>TBD</x:v>
      </x:c>
      <x:c r="M11" t="str">
        <x:v>TBD</x:v>
      </x:c>
      <x:c r="N11" t="str">
        <x:v>NOT RELEASED</x:v>
      </x:c>
    </x:row>
    <x:row r="12">
      <x:c r="A12" t="str">
        <x:v>TOTAL</x:v>
      </x:c>
      <x:c r="B12" t="n">
        <x:f>SUM(B2:B11)</x:f>
        <x:v>1141</x:v>
      </x:c>
      <x:c r="C12" t="n">
        <x:f>SUM(C2:C11)</x:f>
        <x:v>357</x:v>
      </x:c>
      <x:c r="F12" t="n">
        <x:f>SUM(F2:F11)</x:f>
        <x:v>157</x:v>
      </x:c>
      <x:c r="G12" t="n">
        <x:f>SUM(G2:G11)</x:f>
        <x:v>24</x:v>
      </x:c>
      <x:c r="I12" t="n">
        <x:f>SUM(I2:I11)</x:f>
        <x:v>2826</x:v>
      </x:c>
    </x:row>
    <x:row r="14">
      <x:c r="A14" t="str">
        <x:v>Team A total team-days</x:v>
      </x:c>
      <x:c r="B14" t="n">
        <x:f>SUMIF(D2:D11,"A",F2:F11)</x:f>
        <x:v>50</x:v>
      </x:c>
    </x:row>
    <x:row r="15">
      <x:c r="A15" t="str">
        <x:v>Team B total team-days</x:v>
      </x:c>
      <x:c r="B15" t="n">
        <x:f>SUMIF(D2:D11,"B",F2:F11)</x:f>
        <x:v>60</x:v>
      </x:c>
    </x:row>
    <x:row r="16">
      <x:c r="A16" t="str">
        <x:v>Installation team-days</x:v>
      </x:c>
      <x:c r="B16" t="n">
        <x:f>SUMIF(D2:D11,"I",F2:F11)</x:f>
        <x:v>47</x:v>
      </x:c>
    </x:row>
    <x:row r="17">
      <x:c r="A17" t="str">
        <x:v>All team-days</x:v>
      </x:c>
      <x:c r="B17" t="n">
        <x:f>SUM(F2:F11)</x:f>
        <x:v>157</x:v>
      </x:c>
    </x:row>
    <x:row r="18">
      <x:c r="A18" t="str">
        <x:v>Lift productive days</x:v>
      </x:c>
      <x:c r="B18" t="n">
        <x:f>SUM(G2:G11)</x:f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22" hidden="0" customWidth="1"/>
    <x:col min="4" max="4" width="19" hidden="0" customWidth="1"/>
    <x:col min="5" max="5" width="53" hidden="0" customWidth="1"/>
  </x:cols>
  <x:sheetData>
    <x:row r="1" ht="29" customHeight="1">
      <x:c r="A1" s="4" t="str">
        <x:v>Scenario / resource</x:v>
      </x:c>
      <x:c r="B1" s="4" t="str">
        <x:v>Input</x:v>
      </x:c>
      <x:c r="C1" s="4" t="str">
        <x:v>Calculated output</x:v>
      </x:c>
      <x:c r="D1" s="4" t="str">
        <x:v>Unit</x:v>
      </x:c>
      <x:c r="E1" s="4" t="str">
        <x:v>Interpretation</x:v>
      </x:c>
    </x:row>
    <x:row r="2">
      <x:c r="A2" t="str">
        <x:v>Effective offshore workability</x:v>
      </x:c>
      <x:c r="B2" t="n">
        <x:v>0.7</x:v>
      </x:c>
      <x:c r="C2"/>
      <x:c r="D2" t="str">
        <x:v>fraction</x:v>
      </x:c>
      <x:c r="E2" t="str">
        <x:v>Sensitivity assumption only</x:v>
      </x:c>
    </x:row>
    <x:row r="3">
      <x:c r="A3" t="str">
        <x:v>Marine logistics allowance</x:v>
      </x:c>
      <x:c r="B3" t="n">
        <x:v>12</x:v>
      </x:c>
      <x:c r="C3"/>
      <x:c r="D3" t="str">
        <x:v>calendar days</x:v>
      </x:c>
      <x:c r="E3" t="str">
        <x:v>Mobilisation, shifting, demob</x:v>
      </x:c>
    </x:row>
    <x:row r="4">
      <x:c r="A4" t="str">
        <x:v>Available heavy lift window</x:v>
      </x:c>
      <x:c r="B4" t="n">
        <x:v>60</x:v>
      </x:c>
      <x:c r="C4"/>
      <x:c r="D4" t="str">
        <x:v>calendar days</x:v>
      </x:c>
      <x:c r="E4" t="str">
        <x:v>Replace with charter offer</x:v>
      </x:c>
    </x:row>
    <x:row r="5">
      <x:c r="A5" t="str">
        <x:v>Available offshore window</x:v>
      </x:c>
      <x:c r="B5" t="n">
        <x:v>120</x:v>
      </x:c>
      <x:c r="C5"/>
      <x:c r="D5" t="str">
        <x:v>calendar days</x:v>
      </x:c>
      <x:c r="E5" t="str">
        <x:v>Replace with approved work window</x:v>
      </x:c>
    </x:row>
    <x:row r="6">
      <x:c r="A6" t="str">
        <x:v>Strengthening team count</x:v>
      </x:c>
      <x:c r="B6" t="n">
        <x:v>2</x:v>
      </x:c>
      <x:c r="C6"/>
      <x:c r="D6" t="str">
        <x:v>teams</x:v>
      </x:c>
      <x:c r="E6" t="str">
        <x:v>Not a substitute for crew allocation</x:v>
      </x:c>
    </x:row>
    <x:row r="7">
      <x:c r="A7" t="str">
        <x:v>Heavy-lift productive days</x:v>
      </x:c>
      <x:c r="B7" t="n">
        <x:v>24</x:v>
      </x:c>
      <x:c r="C7"/>
      <x:c r="D7" t="str">
        <x:v>days</x:v>
      </x:c>
      <x:c r="E7" t="str">
        <x:v>From illustrative bridge rows</x:v>
      </x:c>
    </x:row>
    <x:row r="8">
      <x:c r="A8" t="str">
        <x:v>Heavy lift campaign duration</x:v>
      </x:c>
      <x:c r="B8" t="n">
        <x:v>157</x:v>
      </x:c>
      <x:c r="C8" t="n">
        <x:f>ROUNDUP(B7/B2,0)+B3</x:f>
        <x:v>47</x:v>
      </x:c>
      <x:c r="D8" t="str">
        <x:v>team-days</x:v>
      </x:c>
      <x:c r="E8" t="str">
        <x:v>From illustrative bridge rows</x:v>
      </x:c>
    </x:row>
    <x:row r="9">
      <x:c r="A9" t="str">
        <x:v>Marine window surplus</x:v>
      </x:c>
      <x:c r="B9"/>
      <x:c r="C9" t="n">
        <x:f>B4-C8</x:f>
        <x:v>13</x:v>
      </x:c>
      <x:c r="D9" t="str">
        <x:v>calendar days</x:v>
      </x:c>
      <x:c r="E9" t="str">
        <x:v>24/workability + logistics</x:v>
      </x:c>
    </x:row>
    <x:row r="10">
      <x:c r="A10" t="str">
        <x:v>Marine window surplus</x:v>
      </x:c>
      <x:c r="B10"/>
      <x:c r="C10"/>
      <x:c r="D10" t="str">
        <x:v>calendar days</x:v>
      </x:c>
      <x:c r="E10" t="str">
        <x:v>Negative = scenario shortfall</x:v>
      </x:c>
    </x:row>
    <x:row r="12">
      <x:c r="A12" t="str">
        <x:v>Team A</x:v>
      </x:c>
      <x:c r="B12" t="n">
        <x:v>50</x:v>
      </x:c>
      <x:c r="C12" t="n">
        <x:f>ROUNDUP(B12/$B$2,0)</x:f>
        <x:v>72</x:v>
      </x:c>
      <x:c r="D12" t="str">
        <x:v>calendar days</x:v>
      </x:c>
      <x:c r="E12" t="str">
        <x:v>50 team-days / workability</x:v>
      </x:c>
    </x:row>
    <x:row r="13">
      <x:c r="A13" t="str">
        <x:v>Team B</x:v>
      </x:c>
      <x:c r="B13" t="n">
        <x:v>60</x:v>
      </x:c>
      <x:c r="C13" t="n">
        <x:f>ROUNDUP(B13/$B$2,0)</x:f>
        <x:v>86</x:v>
      </x:c>
      <x:c r="D13" t="str">
        <x:v>calendar days</x:v>
      </x:c>
      <x:c r="E13" t="str">
        <x:v>60 team-days / workability</x:v>
      </x:c>
    </x:row>
    <x:row r="14">
      <x:c r="A14" t="str">
        <x:v>Installation team</x:v>
      </x:c>
      <x:c r="B14" t="n">
        <x:v>47</x:v>
      </x:c>
      <x:c r="C14" t="n">
        <x:f>ROUNDUP(B14/$B$2,0)</x:f>
        <x:v>68</x:v>
      </x:c>
      <x:c r="D14" t="str">
        <x:v>calendar days</x:v>
      </x:c>
      <x:c r="E14" t="str">
        <x:v>47 team-days / workability</x:v>
      </x:c>
    </x:row>
    <x:row r="15">
      <x:c r="A15" t="str">
        <x:v>Max parallel team duration</x:v>
      </x:c>
      <x:c r="B15"/>
      <x:c r="C15" t="n">
        <x:f>MAX(C12:C14)</x:f>
        <x:v>86</x:v>
      </x:c>
      <x:c r="D15" t="str">
        <x:v>calendar days</x:v>
      </x:c>
      <x:c r="E15" t="str">
        <x:v>Assumes independent fronts; excludes readiness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  <x:col min="8" max="8" width="45" hidden="0" customWidth="1"/>
  </x:cols>
  <x:sheetData>
    <x:row r="1" ht="29" customHeight="1">
      <x:c r="A1" s="4" t="str">
        <x:v>Week</x:v>
      </x:c>
      <x:c r="B1" s="4" t="str">
        <x:v>Indicative start</x:v>
      </x:c>
      <x:c r="C1" s="4" t="str">
        <x:v>Engineering teams</x:v>
      </x:c>
      <x:c r="D1" s="4" t="str">
        <x:v>Yard lines / cells</x:v>
      </x:c>
      <x:c r="E1" s="4" t="str">
        <x:v>Structural offshore teams</x:v>
      </x:c>
      <x:c r="F1" s="4" t="str">
        <x:v>Installation team</x:v>
      </x:c>
      <x:c r="G1" s="4" t="str">
        <x:v>Heavy-lift spread</x:v>
      </x:c>
      <x:c r="H1" s="4" t="str">
        <x:v>Planning emphasis</x:v>
      </x:c>
    </x:row>
    <x:row r="2">
      <x:c r="A2" t="n">
        <x:v>1</x:v>
      </x:c>
      <x:c r="B2" t="str">
        <x:v>2026-11-01</x:v>
      </x:c>
      <x:c r="C2" t="n">
        <x:v>2</x:v>
      </x:c>
      <x:c r="D2" t="n">
        <x:v>1</x:v>
      </x:c>
      <x:c r="E2" t="n">
        <x:v>0</x:v>
      </x:c>
      <x:c r="F2" t="n">
        <x:v>0</x:v>
      </x:c>
      <x:c r="G2" t="n">
        <x:v>0</x:v>
      </x:c>
      <x:c r="H2" t="str">
        <x:v>Surveys / engineering</x:v>
      </x:c>
    </x:row>
    <x:row r="3">
      <x:c r="A3" t="n">
        <x:v>2</x:v>
      </x:c>
      <x:c r="B3" t="str">
        <x:v>2026-11-08</x:v>
      </x:c>
      <x:c r="C3" t="n">
        <x:v>2</x:v>
      </x:c>
      <x:c r="D3" t="n">
        <x:v>1</x:v>
      </x:c>
      <x:c r="E3" t="n">
        <x:v>0</x:v>
      </x:c>
      <x:c r="F3" t="n">
        <x:v>0</x:v>
      </x:c>
      <x:c r="G3" t="n">
        <x:v>0</x:v>
      </x:c>
      <x:c r="H3" t="str">
        <x:v>Surveys / engineering</x:v>
      </x:c>
    </x:row>
    <x:row r="4">
      <x:c r="A4" t="n">
        <x:v>3</x:v>
      </x:c>
      <x:c r="B4" t="str">
        <x:v>2026-11-15</x:v>
      </x:c>
      <x:c r="C4" t="n">
        <x:v>2</x:v>
      </x:c>
      <x:c r="D4" t="n">
        <x:v>1</x:v>
      </x:c>
      <x:c r="E4" t="n">
        <x:v>0</x:v>
      </x:c>
      <x:c r="F4" t="n">
        <x:v>0</x:v>
      </x:c>
      <x:c r="G4" t="n">
        <x:v>0</x:v>
      </x:c>
      <x:c r="H4" t="str">
        <x:v>Surveys / engineering</x:v>
      </x:c>
    </x:row>
    <x:row r="5">
      <x:c r="A5" t="n">
        <x:v>4</x:v>
      </x:c>
      <x:c r="B5" t="str">
        <x:v>2026-11-22</x:v>
      </x:c>
      <x:c r="C5" t="n">
        <x:v>2</x:v>
      </x:c>
      <x:c r="D5" t="n">
        <x:v>1</x:v>
      </x:c>
      <x:c r="E5" t="n">
        <x:v>0</x:v>
      </x:c>
      <x:c r="F5" t="n">
        <x:v>0</x:v>
      </x:c>
      <x:c r="G5" t="n">
        <x:v>0</x:v>
      </x:c>
      <x:c r="H5" t="str">
        <x:v>Surveys / engineering</x:v>
      </x:c>
    </x:row>
    <x:row r="6">
      <x:c r="A6" t="n">
        <x:v>5</x:v>
      </x:c>
      <x:c r="B6" t="str">
        <x:v>2026-11-29</x:v>
      </x:c>
      <x:c r="C6" t="n">
        <x:v>2</x:v>
      </x:c>
      <x:c r="D6" t="n">
        <x:v>2</x:v>
      </x:c>
      <x:c r="E6" t="n">
        <x:v>0</x:v>
      </x:c>
      <x:c r="F6" t="n">
        <x:v>0</x:v>
      </x:c>
      <x:c r="G6" t="n">
        <x:v>0</x:v>
      </x:c>
      <x:c r="H6" t="str">
        <x:v>AFC and procurement</x:v>
      </x:c>
    </x:row>
    <x:row r="7">
      <x:c r="A7" t="n">
        <x:v>6</x:v>
      </x:c>
      <x:c r="B7" t="str">
        <x:v>2026-12-06</x:v>
      </x:c>
      <x:c r="C7" t="n">
        <x:v>2</x:v>
      </x:c>
      <x:c r="D7" t="n">
        <x:v>2</x:v>
      </x:c>
      <x:c r="E7" t="n">
        <x:v>0</x:v>
      </x:c>
      <x:c r="F7" t="n">
        <x:v>0</x:v>
      </x:c>
      <x:c r="G7" t="n">
        <x:v>0</x:v>
      </x:c>
      <x:c r="H7" t="str">
        <x:v>AFC and procurement</x:v>
      </x:c>
    </x:row>
    <x:row r="8">
      <x:c r="A8" t="n">
        <x:v>7</x:v>
      </x:c>
      <x:c r="B8" t="str">
        <x:v>2026-12-13</x:v>
      </x:c>
      <x:c r="C8" t="n">
        <x:v>2</x:v>
      </x:c>
      <x:c r="D8" t="n">
        <x:v>2</x:v>
      </x:c>
      <x:c r="E8" t="n">
        <x:v>0</x:v>
      </x:c>
      <x:c r="F8" t="n">
        <x:v>0</x:v>
      </x:c>
      <x:c r="G8" t="n">
        <x:v>0</x:v>
      </x:c>
      <x:c r="H8" t="str">
        <x:v>AFC and procurement</x:v>
      </x:c>
    </x:row>
    <x:row r="9">
      <x:c r="A9" t="n">
        <x:v>8</x:v>
      </x:c>
      <x:c r="B9" t="str">
        <x:v>2026-12-20</x:v>
      </x:c>
      <x:c r="C9" t="n">
        <x:v>2</x:v>
      </x:c>
      <x:c r="D9" t="n">
        <x:v>2</x:v>
      </x:c>
      <x:c r="E9" t="n">
        <x:v>0</x:v>
      </x:c>
      <x:c r="F9" t="n">
        <x:v>0</x:v>
      </x:c>
      <x:c r="G9" t="n">
        <x:v>0</x:v>
      </x:c>
      <x:c r="H9" t="str">
        <x:v>AFC and procurement</x:v>
      </x:c>
    </x:row>
    <x:row r="10">
      <x:c r="A10" t="n">
        <x:v>9</x:v>
      </x:c>
      <x:c r="B10" t="str">
        <x:v>2026-12-27</x:v>
      </x:c>
      <x:c r="C10" t="n">
        <x:v>2</x:v>
      </x:c>
      <x:c r="D10" t="n">
        <x:v>3</x:v>
      </x:c>
      <x:c r="E10" t="n">
        <x:v>2</x:v>
      </x:c>
      <x:c r="F10" t="n">
        <x:v>0</x:v>
      </x:c>
      <x:c r="G10" t="n">
        <x:v>0</x:v>
      </x:c>
      <x:c r="H10" t="str">
        <x:v>Fabrication and strengthening</x:v>
      </x:c>
    </x:row>
    <x:row r="11">
      <x:c r="A11" t="n">
        <x:v>10</x:v>
      </x:c>
      <x:c r="B11" t="str">
        <x:v>2027-01-03</x:v>
      </x:c>
      <x:c r="C11" t="n">
        <x:v>2</x:v>
      </x:c>
      <x:c r="D11" t="n">
        <x:v>3</x:v>
      </x:c>
      <x:c r="E11" t="n">
        <x:v>2</x:v>
      </x:c>
      <x:c r="F11" t="n">
        <x:v>0</x:v>
      </x:c>
      <x:c r="G11" t="n">
        <x:v>0</x:v>
      </x:c>
      <x:c r="H11" t="str">
        <x:v>Fabrication and strengthening</x:v>
      </x:c>
    </x:row>
    <x:row r="12">
      <x:c r="A12" t="n">
        <x:v>11</x:v>
      </x:c>
      <x:c r="B12" t="str">
        <x:v>2027-01-10</x:v>
      </x:c>
      <x:c r="C12" t="n">
        <x:v>2</x:v>
      </x:c>
      <x:c r="D12" t="n">
        <x:v>3</x:v>
      </x:c>
      <x:c r="E12" t="n">
        <x:v>2</x:v>
      </x:c>
      <x:c r="F12" t="n">
        <x:v>0</x:v>
      </x:c>
      <x:c r="G12" t="n">
        <x:v>0</x:v>
      </x:c>
      <x:c r="H12" t="str">
        <x:v>Fabrication and strengthening</x:v>
      </x:c>
    </x:row>
    <x:row r="13">
      <x:c r="A13" t="n">
        <x:v>12</x:v>
      </x:c>
      <x:c r="B13" t="str">
        <x:v>2027-01-17</x:v>
      </x:c>
      <x:c r="C13" t="n">
        <x:v>2</x:v>
      </x:c>
      <x:c r="D13" t="n">
        <x:v>3</x:v>
      </x:c>
      <x:c r="E13" t="n">
        <x:v>2</x:v>
      </x:c>
      <x:c r="F13" t="n">
        <x:v>0</x:v>
      </x:c>
      <x:c r="G13" t="n">
        <x:v>0</x:v>
      </x:c>
      <x:c r="H13" t="str">
        <x:v>Fabrication and strengthening</x:v>
      </x:c>
    </x:row>
    <x:row r="14">
      <x:c r="A14" t="n">
        <x:v>13</x:v>
      </x:c>
      <x:c r="B14" t="str">
        <x:v>2027-01-24</x:v>
      </x:c>
      <x:c r="C14" t="n">
        <x:v>2</x:v>
      </x:c>
      <x:c r="D14" t="n">
        <x:v>3</x:v>
      </x:c>
      <x:c r="E14" t="n">
        <x:v>2</x:v>
      </x:c>
      <x:c r="F14" t="n">
        <x:v>0</x:v>
      </x:c>
      <x:c r="G14" t="n">
        <x:v>0</x:v>
      </x:c>
      <x:c r="H14" t="str">
        <x:v>Fabrication and strengthening</x:v>
      </x:c>
    </x:row>
    <x:row r="15">
      <x:c r="A15" t="n">
        <x:v>14</x:v>
      </x:c>
      <x:c r="B15" t="str">
        <x:v>2027-01-31</x:v>
      </x:c>
      <x:c r="C15" t="n">
        <x:v>2</x:v>
      </x:c>
      <x:c r="D15" t="n">
        <x:v>3</x:v>
      </x:c>
      <x:c r="E15" t="n">
        <x:v>2</x:v>
      </x:c>
      <x:c r="F15" t="n">
        <x:v>0</x:v>
      </x:c>
      <x:c r="G15" t="n">
        <x:v>0</x:v>
      </x:c>
      <x:c r="H15" t="str">
        <x:v>Fabrication and strengthening</x:v>
      </x:c>
    </x:row>
    <x:row r="16">
      <x:c r="A16" t="n">
        <x:v>15</x:v>
      </x:c>
      <x:c r="B16" t="str">
        <x:v>2027-02-07</x:v>
      </x:c>
      <x:c r="C16" t="n">
        <x:v>2</x:v>
      </x:c>
      <x:c r="D16" t="n">
        <x:v>3</x:v>
      </x:c>
      <x:c r="E16" t="n">
        <x:v>2</x:v>
      </x:c>
      <x:c r="F16" t="n">
        <x:v>0</x:v>
      </x:c>
      <x:c r="G16" t="n">
        <x:v>0</x:v>
      </x:c>
      <x:c r="H16" t="str">
        <x:v>Fabrication and strengthening</x:v>
      </x:c>
    </x:row>
    <x:row r="17">
      <x:c r="A17" t="n">
        <x:v>16</x:v>
      </x:c>
      <x:c r="B17" t="str">
        <x:v>2027-02-14</x:v>
      </x:c>
      <x:c r="C17" t="n">
        <x:v>2</x:v>
      </x:c>
      <x:c r="D17" t="n">
        <x:v>3</x:v>
      </x:c>
      <x:c r="E17" t="n">
        <x:v>2</x:v>
      </x:c>
      <x:c r="F17" t="n">
        <x:v>0</x:v>
      </x:c>
      <x:c r="G17" t="n">
        <x:v>0</x:v>
      </x:c>
      <x:c r="H17" t="str">
        <x:v>Fabrication and strengthening</x:v>
      </x:c>
    </x:row>
    <x:row r="18">
      <x:c r="A18" t="n">
        <x:v>17</x:v>
      </x:c>
      <x:c r="B18" t="str">
        <x:v>2027-02-21</x:v>
      </x:c>
      <x:c r="C18" t="n">
        <x:v>2</x:v>
      </x:c>
      <x:c r="D18" t="n">
        <x:v>3</x:v>
      </x:c>
      <x:c r="E18" t="n">
        <x:v>2</x:v>
      </x:c>
      <x:c r="F18" t="n">
        <x:v>1</x:v>
      </x:c>
      <x:c r="G18" t="n">
        <x:v>1</x:v>
      </x:c>
      <x:c r="H18" t="str">
        <x:v>Marine installation + strengthening</x:v>
      </x:c>
    </x:row>
    <x:row r="19">
      <x:c r="A19" t="n">
        <x:v>18</x:v>
      </x:c>
      <x:c r="B19" t="str">
        <x:v>2027-02-28</x:v>
      </x:c>
      <x:c r="C19" t="n">
        <x:v>2</x:v>
      </x:c>
      <x:c r="D19" t="n">
        <x:v>3</x:v>
      </x:c>
      <x:c r="E19" t="n">
        <x:v>2</x:v>
      </x:c>
      <x:c r="F19" t="n">
        <x:v>1</x:v>
      </x:c>
      <x:c r="G19" t="n">
        <x:v>1</x:v>
      </x:c>
      <x:c r="H19" t="str">
        <x:v>Marine installation + strengthening</x:v>
      </x:c>
    </x:row>
    <x:row r="20">
      <x:c r="A20" t="n">
        <x:v>19</x:v>
      </x:c>
      <x:c r="B20" t="str">
        <x:v>2027-03-07</x:v>
      </x:c>
      <x:c r="C20" t="n">
        <x:v>2</x:v>
      </x:c>
      <x:c r="D20" t="n">
        <x:v>3</x:v>
      </x:c>
      <x:c r="E20" t="n">
        <x:v>2</x:v>
      </x:c>
      <x:c r="F20" t="n">
        <x:v>1</x:v>
      </x:c>
      <x:c r="G20" t="n">
        <x:v>1</x:v>
      </x:c>
      <x:c r="H20" t="str">
        <x:v>Marine installation + strengthening</x:v>
      </x:c>
    </x:row>
    <x:row r="21">
      <x:c r="A21" t="n">
        <x:v>20</x:v>
      </x:c>
      <x:c r="B21" t="str">
        <x:v>2027-03-14</x:v>
      </x:c>
      <x:c r="C21" t="n">
        <x:v>2</x:v>
      </x:c>
      <x:c r="D21" t="n">
        <x:v>3</x:v>
      </x:c>
      <x:c r="E21" t="n">
        <x:v>2</x:v>
      </x:c>
      <x:c r="F21" t="n">
        <x:v>1</x:v>
      </x:c>
      <x:c r="G21" t="n">
        <x:v>1</x:v>
      </x:c>
      <x:c r="H21" t="str">
        <x:v>Marine installation + strengthening</x:v>
      </x:c>
    </x:row>
    <x:row r="22">
      <x:c r="A22" t="n">
        <x:v>21</x:v>
      </x:c>
      <x:c r="B22" t="str">
        <x:v>2027-03-21</x:v>
      </x:c>
      <x:c r="C22" t="n">
        <x:v>1</x:v>
      </x:c>
      <x:c r="D22" t="n">
        <x:v>3</x:v>
      </x:c>
      <x:c r="E22" t="n">
        <x:v>2</x:v>
      </x:c>
      <x:c r="F22" t="n">
        <x:v>1</x:v>
      </x:c>
      <x:c r="G22" t="n">
        <x:v>1</x:v>
      </x:c>
      <x:c r="H22" t="str">
        <x:v>Marine installation + strengthening</x:v>
      </x:c>
    </x:row>
    <x:row r="23">
      <x:c r="A23" t="n">
        <x:v>22</x:v>
      </x:c>
      <x:c r="B23" t="str">
        <x:v>2027-03-28</x:v>
      </x:c>
      <x:c r="C23" t="n">
        <x:v>1</x:v>
      </x:c>
      <x:c r="D23" t="n">
        <x:v>3</x:v>
      </x:c>
      <x:c r="E23" t="n">
        <x:v>2</x:v>
      </x:c>
      <x:c r="F23" t="n">
        <x:v>1</x:v>
      </x:c>
      <x:c r="G23" t="n">
        <x:v>1</x:v>
      </x:c>
      <x:c r="H23" t="str">
        <x:v>Marine installation + strengthening</x:v>
      </x:c>
    </x:row>
    <x:row r="24">
      <x:c r="A24" t="n">
        <x:v>23</x:v>
      </x:c>
      <x:c r="B24" t="str">
        <x:v>2027-04-04</x:v>
      </x:c>
      <x:c r="C24" t="n">
        <x:v>1</x:v>
      </x:c>
      <x:c r="D24" t="n">
        <x:v>3</x:v>
      </x:c>
      <x:c r="E24" t="n">
        <x:v>2</x:v>
      </x:c>
      <x:c r="F24" t="n">
        <x:v>1</x:v>
      </x:c>
      <x:c r="G24" t="n">
        <x:v>1</x:v>
      </x:c>
      <x:c r="H24" t="str">
        <x:v>Marine installation + strengthening</x:v>
      </x:c>
    </x:row>
    <x:row r="25">
      <x:c r="A25" t="n">
        <x:v>24</x:v>
      </x:c>
      <x:c r="B25" t="str">
        <x:v>2027-04-11</x:v>
      </x:c>
      <x:c r="C25" t="n">
        <x:v>1</x:v>
      </x:c>
      <x:c r="D25" t="n">
        <x:v>3</x:v>
      </x:c>
      <x:c r="E25" t="n">
        <x:v>2</x:v>
      </x:c>
      <x:c r="F25" t="n">
        <x:v>1</x:v>
      </x:c>
      <x:c r="G25" t="n">
        <x:v>1</x:v>
      </x:c>
      <x:c r="H25" t="str">
        <x:v>Marine installation + strengthening</x:v>
      </x:c>
    </x:row>
    <x:row r="26">
      <x:c r="A26" t="n">
        <x:v>25</x:v>
      </x:c>
      <x:c r="B26" t="str">
        <x:v>2027-04-18</x:v>
      </x:c>
      <x:c r="C26" t="n">
        <x:v>1</x:v>
      </x:c>
      <x:c r="D26" t="n">
        <x:v>2</x:v>
      </x:c>
      <x:c r="E26" t="n">
        <x:v>2</x:v>
      </x:c>
      <x:c r="F26" t="n">
        <x:v>1</x:v>
      </x:c>
      <x:c r="G26" t="n">
        <x:v>1</x:v>
      </x:c>
      <x:c r="H26" t="str">
        <x:v>Replacement / closeout</x:v>
      </x:c>
    </x:row>
    <x:row r="27">
      <x:c r="A27" t="n">
        <x:v>26</x:v>
      </x:c>
      <x:c r="B27" t="str">
        <x:v>2027-04-25</x:v>
      </x:c>
      <x:c r="C27" t="n">
        <x:v>1</x:v>
      </x:c>
      <x:c r="D27" t="n">
        <x:v>2</x:v>
      </x:c>
      <x:c r="E27" t="n">
        <x:v>2</x:v>
      </x:c>
      <x:c r="F27" t="n">
        <x:v>1</x:v>
      </x:c>
      <x:c r="G27" t="n">
        <x:v>1</x:v>
      </x:c>
      <x:c r="H27" t="str">
        <x:v>Replacement / closeout</x:v>
      </x:c>
    </x:row>
    <x:row r="28">
      <x:c r="A28" t="n">
        <x:v>27</x:v>
      </x:c>
      <x:c r="B28" t="str">
        <x:v>2027-05-02</x:v>
      </x:c>
      <x:c r="C28" t="n">
        <x:v>1</x:v>
      </x:c>
      <x:c r="D28" t="n">
        <x:v>2</x:v>
      </x:c>
      <x:c r="E28" t="n">
        <x:v>1</x:v>
      </x:c>
      <x:c r="F28" t="n">
        <x:v>1</x:v>
      </x:c>
      <x:c r="G28" t="n">
        <x:v>1</x:v>
      </x:c>
      <x:c r="H28" t="str">
        <x:v>Replacement / closeout</x:v>
      </x:c>
    </x:row>
    <x:row r="29">
      <x:c r="A29" t="n">
        <x:v>28</x:v>
      </x:c>
      <x:c r="B29" t="str">
        <x:v>2027-05-09</x:v>
      </x:c>
      <x:c r="C29" t="n">
        <x:v>1</x:v>
      </x:c>
      <x:c r="D29" t="n">
        <x:v>2</x:v>
      </x:c>
      <x:c r="E29" t="n">
        <x:v>1</x:v>
      </x:c>
      <x:c r="F29" t="n">
        <x:v>1</x:v>
      </x:c>
      <x:c r="G29" t="n">
        <x:v>1</x:v>
      </x:c>
      <x:c r="H29" t="str">
        <x:v>Replacement / closeout</x:v>
      </x:c>
    </x:row>
    <x:row r="30">
      <x:c r="A30" t="n">
        <x:v>29</x:v>
      </x:c>
      <x:c r="B30" t="str">
        <x:v>2027-05-16</x:v>
      </x:c>
      <x:c r="C30" t="n">
        <x:v>1</x:v>
      </x:c>
      <x:c r="D30" t="n">
        <x:v>2</x:v>
      </x:c>
      <x:c r="E30" t="n">
        <x:v>1</x:v>
      </x:c>
      <x:c r="F30" t="n">
        <x:v>0</x:v>
      </x:c>
      <x:c r="G30" t="n">
        <x:v>0</x:v>
      </x:c>
      <x:c r="H30" t="str">
        <x:v>Replacement / closeout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78" hidden="0" customWidth="1"/>
    <x:col min="3" max="3" width="26" hidden="0" customWidth="1"/>
    <x:col min="4" max="4" width="16" hidden="0" customWidth="1"/>
    <x:col min="5" max="5" width="43" hidden="0" customWidth="1"/>
  </x:cols>
  <x:sheetData>
    <x:row r="1" ht="29" customHeight="1">
      <x:c r="A1" s="4" t="str">
        <x:v>Gate</x:v>
      </x:c>
      <x:c r="B1" s="4" t="str">
        <x:v>Required evidence</x:v>
      </x:c>
      <x:c r="C1" s="4" t="str">
        <x:v>Accountable owner</x:v>
      </x:c>
      <x:c r="D1" s="4" t="str">
        <x:v>Status</x:v>
      </x:c>
      <x:c r="E1" s="4" t="str">
        <x:v>Cannot proceed until</x:v>
      </x:c>
    </x:row>
    <x:row r="2">
      <x:c r="A2" t="str">
        <x:v>G01</x:v>
      </x:c>
      <x:c r="B2" t="str">
        <x:v>Verified site survey, as-built and interface register</x:v>
      </x:c>
      <x:c r="C2" t="str">
        <x:v>Engineering</x:v>
      </x:c>
      <x:c r="D2" t="str">
        <x:v>OPEN</x:v>
      </x:c>
      <x:c r="E2" t="str">
        <x:v>AFC engineering</x:v>
      </x:c>
    </x:row>
    <x:row r="3">
      <x:c r="A3" t="str">
        <x:v>G02</x:v>
      </x:c>
      <x:c r="B3" t="str">
        <x:v>Approved structural design, fatigue / temporary works where applicable</x:v>
      </x:c>
      <x:c r="C3" t="str">
        <x:v>Structural engineer</x:v>
      </x:c>
      <x:c r="D3" t="str">
        <x:v>OPEN</x:v>
      </x:c>
      <x:c r="E3" t="str">
        <x:v>Fabrication or offshore modification</x:v>
      </x:c>
    </x:row>
    <x:row r="4">
      <x:c r="A4" t="str">
        <x:v>G03</x:v>
      </x:c>
      <x:c r="B4" t="str">
        <x:v>Material certificates, traceability, approved WPS/PQR and ITP</x:v>
      </x:c>
      <x:c r="C4" t="str">
        <x:v>QA/QC</x:v>
      </x:c>
      <x:c r="D4" t="str">
        <x:v>OPEN</x:v>
      </x:c>
      <x:c r="E4" t="str">
        <x:v>Fabrication acceptance</x:v>
      </x:c>
    </x:row>
    <x:row r="5">
      <x:c r="A5" t="str">
        <x:v>G04</x:v>
      </x:c>
      <x:c r="B5" t="str">
        <x:v>Measured module weight, COG, rigging, lift points and crane radius</x:v>
      </x:c>
      <x:c r="C5" t="str">
        <x:v>Marine/Structural</x:v>
      </x:c>
      <x:c r="D5" t="str">
        <x:v>OPEN</x:v>
      </x:c>
      <x:c r="E5" t="str">
        <x:v>Lift plan release</x:v>
      </x:c>
    </x:row>
    <x:row r="6">
      <x:c r="A6" t="str">
        <x:v>G05</x:v>
      </x:c>
      <x:c r="B6" t="str">
        <x:v>Marine assurance, loadout, sea fastening and weather limits</x:v>
      </x:c>
      <x:c r="C6" t="str">
        <x:v>Marine</x:v>
      </x:c>
      <x:c r="D6" t="str">
        <x:v>OPEN</x:v>
      </x:c>
      <x:c r="E6" t="str">
        <x:v>Sailaway</x:v>
      </x:c>
    </x:row>
    <x:row r="7">
      <x:c r="A7" t="str">
        <x:v>G06</x:v>
      </x:c>
      <x:c r="B7" t="str">
        <x:v>Platform access, isolation, permits and SIMOPS acceptance</x:v>
      </x:c>
      <x:c r="C7" t="str">
        <x:v>ONGC interface</x:v>
      </x:c>
      <x:c r="D7" t="str">
        <x:v>OPEN</x:v>
      </x:c>
      <x:c r="E7" t="str">
        <x:v>Offshore work</x:v>
      </x:c>
    </x:row>
    <x:row r="8">
      <x:c r="A8" t="str">
        <x:v>G07</x:v>
      </x:c>
      <x:c r="B8" t="str">
        <x:v>Service transfer / testing and formal demolition authorisation</x:v>
      </x:c>
      <x:c r="C8" t="str">
        <x:v>Operations/Engineering</x:v>
      </x:c>
      <x:c r="D8" t="str">
        <x:v>OPEN</x:v>
      </x:c>
      <x:c r="E8" t="str">
        <x:v>BHS–SLQ old bridge removal</x:v>
      </x:c>
    </x:row>
    <x:row r="9">
      <x:c r="A9" t="str">
        <x:v>G08</x:v>
      </x:c>
      <x:c r="B9" t="str">
        <x:v>NDT, coating, dimensional records and punch closure</x:v>
      </x:c>
      <x:c r="C9" t="str">
        <x:v>QA/QC</x:v>
      </x:c>
      <x:c r="D9" t="str">
        <x:v>OPEN</x:v>
      </x:c>
      <x:c r="E9" t="str">
        <x:v>Handover</x:v>
      </x:c>
    </x:row>
    <x:row r="10">
      <x:c r="A10" t="str">
        <x:v>G09</x:v>
      </x:c>
      <x:c r="B10" t="str">
        <x:v>SCC commencement, monsoon and billing clauses validated</x:v>
      </x:c>
      <x:c r="C10" t="str">
        <x:v>Contracts</x:v>
      </x:c>
      <x:c r="D10" t="str">
        <x:v>OPEN</x:v>
      </x:c>
      <x:c r="E10" t="str">
        <x:v>Approved contractual baseline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4" hidden="0" customWidth="1"/>
    <x:col min="3" max="3" width="27" hidden="0" customWidth="1"/>
    <x:col min="4" max="4" width="27" hidden="0" customWidth="1"/>
    <x:col min="5" max="5" width="20" hidden="0" customWidth="1"/>
  </x:cols>
  <x:sheetData>
    <x:row r="1" ht="29" customHeight="1">
      <x:c r="A1" s="4" t="str">
        <x:v>Decision</x:v>
      </x:c>
      <x:c r="B1" s="4" t="str">
        <x:v>Required evidence</x:v>
      </x:c>
      <x:c r="C1" s="4" t="str">
        <x:v>Proposed decision timing</x:v>
      </x:c>
      <x:c r="D1" s="4" t="str">
        <x:v>Owner</x:v>
      </x:c>
      <x:c r="E1" s="4" t="str">
        <x:v>Current status</x:v>
      </x:c>
    </x:row>
    <x:row r="2">
      <x:c r="A2" t="str">
        <x:v>Approve conditional engineering capacity</x:v>
      </x:c>
      <x:c r="B2" t="str">
        <x:v>Named design team and release dates</x:v>
      </x:c>
      <x:c r="C2" t="str">
        <x:v>Pre-award</x:v>
      </x:c>
      <x:c r="D2" t="str">
        <x:v>CEO / Project Director</x:v>
      </x:c>
      <x:c r="E2" t="str">
        <x:v>OPEN</x:v>
      </x:c>
    </x:row>
    <x:row r="3">
      <x:c r="A3" t="str">
        <x:v>Reserve fabrication bays conditionally</x:v>
      </x:c>
      <x:c r="B3" t="str">
        <x:v>Audited MT/week, bay dimensions, coating and NDT</x:v>
      </x:c>
      <x:c r="C3" t="str">
        <x:v>Pre-award</x:v>
      </x:c>
      <x:c r="D3" t="str">
        <x:v>Fabrication Manager</x:v>
      </x:c>
      <x:c r="E3" t="str">
        <x:v>OPEN</x:v>
      </x:c>
    </x:row>
    <x:row r="4">
      <x:c r="A4" t="str">
        <x:v>Shortlist lift contractor</x:v>
      </x:c>
      <x:c r="B4" t="str">
        <x:v>Module/lift envelope, vessel particulars, charter terms</x:v>
      </x:c>
      <x:c r="C4" t="str">
        <x:v>Pre-award</x:v>
      </x:c>
      <x:c r="D4" t="str">
        <x:v>Marine Manager</x:v>
      </x:c>
      <x:c r="E4" t="str">
        <x:v>OPEN</x:v>
      </x:c>
    </x:row>
    <x:row r="5">
      <x:c r="A5" t="str">
        <x:v>Approve scope reconciliation</x:v>
      </x:c>
      <x:c r="B5" t="str">
        <x:v>MTO and original drawing references</x:v>
      </x:c>
      <x:c r="C5" t="str">
        <x:v>Before POs</x:v>
      </x:c>
      <x:c r="D5" t="str">
        <x:v>Engineering Manager</x:v>
      </x:c>
      <x:c r="E5" t="str">
        <x:v>OPEN</x:v>
      </x:c>
    </x:row>
    <x:row r="6">
      <x:c r="A6" t="str">
        <x:v>Approve contract-calendar interpretation</x:v>
      </x:c>
      <x:c r="B6" t="str">
        <x:v>SCC monsoon and start-date provisions</x:v>
      </x:c>
      <x:c r="C6" t="str">
        <x:v>Before baseline</x:v>
      </x:c>
      <x:c r="D6" t="str">
        <x:v>Contracts Manager</x:v>
      </x:c>
      <x:c r="E6" t="str">
        <x:v>OPEN</x:v>
      </x:c>
    </x:row>
    <x:row r="7">
      <x:c r="A7" t="str">
        <x:v>Approve resource-levelled schedule</x:v>
      </x:c>
      <x:c r="B7" t="str">
        <x:v>Logic links, crew calendars, vessel allocations</x:v>
      </x:c>
      <x:c r="C7" t="str">
        <x:v>Within 30 days of award</x:v>
      </x:c>
      <x:c r="D7" t="str">
        <x:v>Planning Manager</x:v>
      </x:c>
      <x:c r="E7" t="str">
        <x:v>OPEN</x:v>
      </x:c>
    </x:row>
    <x:row r="8">
      <x:c r="A8" t="str">
        <x:v>Approve cash funding limit</x:v>
      </x:c>
      <x:c r="B8" t="str">
        <x:v>Bid price, quotations, milestones, bank facilities</x:v>
      </x:c>
      <x:c r="C8" t="str">
        <x:v>Before major commitments</x:v>
      </x:c>
      <x:c r="D8" t="str">
        <x:v>Finance Director</x:v>
      </x:c>
      <x:c r="E8" t="str">
        <x:v>OPEN</x:v>
      </x:c>
    </x:row>
  </x:sheetData>
  <x:pageMargins left="0.7" right="0.7" top="0.75" bottom="0.75" header="0.3" footer="0.3"/>
</x:worksheet>
</file>