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d4a15d470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dge Baseline" sheetId="1" r:id="R884371da44bb4fb5"/>
    <x:sheet xmlns:r="http://schemas.openxmlformats.org/officeDocument/2006/relationships" name="Workpack Productivity" sheetId="2" r:id="R5113899db6714606"/>
    <x:sheet xmlns:r="http://schemas.openxmlformats.org/officeDocument/2006/relationships" name="Marine Lift Register" sheetId="3" r:id="Rf350439e910a444a"/>
    <x:sheet xmlns:r="http://schemas.openxmlformats.org/officeDocument/2006/relationships" name="29 Week Resource Plan" sheetId="4" r:id="R99420ff96f0a42ab"/>
    <x:sheet xmlns:r="http://schemas.openxmlformats.org/officeDocument/2006/relationships" name="Release Gates" sheetId="5" r:id="R33ac977c76f640a1"/>
    <x:sheet xmlns:r="http://schemas.openxmlformats.org/officeDocument/2006/relationships" name="Risk &amp; Constraints" sheetId="6" r:id="R513344bd7a3241d6"/>
    <x:sheet xmlns:r="http://schemas.openxmlformats.org/officeDocument/2006/relationships" name="CEO Control" sheetId="7" r:id="R4c5309cf2fbb4adb"/>
    <x:sheet xmlns:r="http://schemas.openxmlformats.org/officeDocument/2006/relationships" name="Basis &amp; Instructions" sheetId="8" r:id="R73f897b2ee24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6a83bb3f24a1e" /><Relationship Type="http://schemas.openxmlformats.org/officeDocument/2006/relationships/theme" Target="/xl/theme/theme1.xml" Id="R91e835d356fc4342" /><Relationship Type="http://schemas.openxmlformats.org/officeDocument/2006/relationships/sharedStrings" Target="/xl/sharedStrings.xml" Id="R72f6ea03e7eb4126" /><Relationship Type="http://schemas.openxmlformats.org/officeDocument/2006/relationships/worksheet" Target="/xl/worksheets/sheet1.xml" Id="R884371da44bb4fb5" /><Relationship Type="http://schemas.openxmlformats.org/officeDocument/2006/relationships/worksheet" Target="/xl/worksheets/sheet2.xml" Id="R5113899db6714606" /><Relationship Type="http://schemas.openxmlformats.org/officeDocument/2006/relationships/worksheet" Target="/xl/worksheets/sheet3.xml" Id="Rf350439e910a444a" /><Relationship Type="http://schemas.openxmlformats.org/officeDocument/2006/relationships/worksheet" Target="/xl/worksheets/sheet4.xml" Id="R99420ff96f0a42ab" /><Relationship Type="http://schemas.openxmlformats.org/officeDocument/2006/relationships/worksheet" Target="/xl/worksheets/sheet5.xml" Id="R33ac977c76f640a1" /><Relationship Type="http://schemas.openxmlformats.org/officeDocument/2006/relationships/worksheet" Target="/xl/worksheets/sheet6.xml" Id="R513344bd7a3241d6" /><Relationship Type="http://schemas.openxmlformats.org/officeDocument/2006/relationships/worksheet" Target="/xl/worksheets/sheet7.xml" Id="R4c5309cf2fbb4adb" /><Relationship Type="http://schemas.openxmlformats.org/officeDocument/2006/relationships/worksheet" Target="/xl/worksheets/sheet8.xml" Id="R73f897b2ee2441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0" customHeight="1">
      <x:c r="A1" s="4" t="str">
        <x:v>Package</x:v>
      </x:c>
      <x:c r="B1" s="4" t="str">
        <x:v>Structural MT</x:v>
      </x:c>
      <x:c r="C1" s="4" t="str">
        <x:v>Demolition MT</x:v>
      </x:c>
      <x:c r="D1" s="4" t="str">
        <x:v>Workstream</x:v>
      </x:c>
      <x:c r="E1" s="4" t="str">
        <x:v>Quantity status</x:v>
      </x:c>
    </x:row>
    <x:row r="2">
      <x:c r="A2" t="str">
        <x:v>ICW-ICG UD</x:v>
      </x:c>
      <x:c r="B2" t="n">
        <x:v>49</x:v>
      </x:c>
      <x:c r="C2" t="n">
        <x:v>25</x:v>
      </x:c>
      <x:c r="D2" t="str">
        <x:v>Strengthening A</x:v>
      </x:c>
      <x:c r="E2" t="str">
        <x:v>Transcribed; verify MTO</x:v>
      </x:c>
    </x:row>
    <x:row r="3">
      <x:c r="A3" t="str">
        <x:v>ICW-ICG LD</x:v>
      </x:c>
      <x:c r="B3" t="n">
        <x:v>122</x:v>
      </x:c>
      <x:c r="C3" t="n">
        <x:v>1</x:v>
      </x:c>
      <x:c r="D3" t="str">
        <x:v>New bridge</x:v>
      </x:c>
      <x:c r="E3" t="str">
        <x:v>Transcribed; verify MTO</x:v>
      </x:c>
    </x:row>
    <x:row r="4">
      <x:c r="A4" t="str">
        <x:v>ICG-ICP UD</x:v>
      </x:c>
      <x:c r="B4" t="n">
        <x:v>116</x:v>
      </x:c>
      <x:c r="C4" t="n">
        <x:v>25</x:v>
      </x:c>
      <x:c r="D4" t="str">
        <x:v>Strengthening A</x:v>
      </x:c>
      <x:c r="E4" t="str">
        <x:v>Transcribed; verify MTO</x:v>
      </x:c>
    </x:row>
    <x:row r="5">
      <x:c r="A5" t="str">
        <x:v>ICG-ICP LD</x:v>
      </x:c>
      <x:c r="B5" t="n">
        <x:v>160</x:v>
      </x:c>
      <x:c r="C5" t="n">
        <x:v>1</x:v>
      </x:c>
      <x:c r="D5" t="str">
        <x:v>New bridge</x:v>
      </x:c>
      <x:c r="E5" t="str">
        <x:v>Transcribed; verify MTO</x:v>
      </x:c>
    </x:row>
    <x:row r="6">
      <x:c r="A6" t="str">
        <x:v>BHS-SLQ</x:v>
      </x:c>
      <x:c r="B6" t="n">
        <x:v>282</x:v>
      </x:c>
      <x:c r="C6" t="n">
        <x:v>210</x:v>
      </x:c>
      <x:c r="D6" t="str">
        <x:v>Replacement</x:v>
      </x:c>
      <x:c r="E6" t="str">
        <x:v>Transcribed; verify MTO</x:v>
      </x:c>
    </x:row>
    <x:row r="7">
      <x:c r="A7" t="str">
        <x:v>SLQ-WIS</x:v>
      </x:c>
      <x:c r="B7" t="n">
        <x:v>91</x:v>
      </x:c>
      <x:c r="C7" t="n">
        <x:v>15</x:v>
      </x:c>
      <x:c r="D7" t="str">
        <x:v>Strengthening A</x:v>
      </x:c>
      <x:c r="E7" t="str">
        <x:v>Transcribed; verify MTO</x:v>
      </x:c>
    </x:row>
    <x:row r="8">
      <x:c r="A8" t="str">
        <x:v>NQO-NQD</x:v>
      </x:c>
      <x:c r="B8" t="n">
        <x:v>93</x:v>
      </x:c>
      <x:c r="C8" t="n">
        <x:v>25</x:v>
      </x:c>
      <x:c r="D8" t="str">
        <x:v>Strengthening B</x:v>
      </x:c>
      <x:c r="E8" t="str">
        <x:v>Transcribed; verify MTO</x:v>
      </x:c>
    </x:row>
    <x:row r="9">
      <x:c r="A9" t="str">
        <x:v>WIN-NC</x:v>
      </x:c>
      <x:c r="B9" t="n">
        <x:v>46</x:v>
      </x:c>
      <x:c r="C9" t="n">
        <x:v>10</x:v>
      </x:c>
      <x:c r="D9" t="str">
        <x:v>Strengthening B</x:v>
      </x:c>
      <x:c r="E9" t="str">
        <x:v>Transcribed; verify MTO</x:v>
      </x:c>
    </x:row>
    <x:row r="10">
      <x:c r="A10" t="str">
        <x:v>SCA-SC1</x:v>
      </x:c>
      <x:c r="B10" t="n">
        <x:v>63</x:v>
      </x:c>
      <x:c r="C10" t="n">
        <x:v>15</x:v>
      </x:c>
      <x:c r="D10" t="str">
        <x:v>Strengthening B</x:v>
      </x:c>
      <x:c r="E10" t="str">
        <x:v>Transcribed; verify MTO</x:v>
      </x:c>
    </x:row>
    <x:row r="11">
      <x:c r="A11" t="str">
        <x:v>SCA-SCF</x:v>
      </x:c>
      <x:c r="B11" t="n">
        <x:v>119</x:v>
      </x:c>
      <x:c r="C11" t="n">
        <x:v>30</x:v>
      </x:c>
      <x:c r="D11" t="str">
        <x:v>Strengthening B</x:v>
      </x:c>
      <x:c r="E11" t="str">
        <x:v>Transcribed; verify MTO</x:v>
      </x:c>
    </x:row>
    <x:row r="12">
      <x:c r="A12" t="str">
        <x:v>Printed MTO</x:v>
      </x:c>
      <x:c r="B12" t="n">
        <x:f>SUM(B2:B11)</x:f>
        <x:v>1141</x:v>
      </x:c>
      <x:c r="C12" t="n">
        <x:f>SUM(C2:C11)</x:f>
        <x:v>357</x:v>
      </x:c>
      <x:c r="D12" t="str">
        <x:v>Summary</x:v>
      </x:c>
      <x:c r="E12" t="str">
        <x:v>1 MT steel variance vs rows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0" customHeight="1">
      <x:c r="A1" s="4" t="str">
        <x:v>Workpack ID</x:v>
      </x:c>
      <x:c r="B1" s="4" t="str">
        <x:v>Bridge</x:v>
      </x:c>
      <x:c r="C1" s="4" t="str">
        <x:v>Activity</x:v>
      </x:c>
      <x:c r="D1" s="4" t="str">
        <x:v>Unit</x:v>
      </x:c>
      <x:c r="E1" s="4" t="str">
        <x:v>Quantity input</x:v>
      </x:c>
      <x:c r="F1" s="4" t="str">
        <x:v>Accepted units / crew-day</x:v>
      </x:c>
      <x:c r="G1" s="4" t="str">
        <x:v>Crew count</x:v>
      </x:c>
      <x:c r="H1" s="4" t="str">
        <x:v>Resource pool</x:v>
      </x:c>
      <x:c r="I1" s="4" t="str">
        <x:v>Crew-days required</x:v>
      </x:c>
      <x:c r="J1" s="4" t="str">
        <x:v>Available crew-days</x:v>
      </x:c>
      <x:c r="K1" s="4" t="str">
        <x:v>Capacity gap</x:v>
      </x:c>
      <x:c r="L1" s="4" t="str">
        <x:v>Accepted actual</x:v>
      </x:c>
      <x:c r="M1" s="4" t="str">
        <x:v>Remaining units</x:v>
      </x:c>
      <x:c r="N1" s="4" t="str">
        <x:v>Status</x:v>
      </x:c>
    </x:row>
    <x:row r="2">
      <x:c r="A2" t="str">
        <x:v>B01-A01</x:v>
      </x:c>
      <x:c r="B2" t="str">
        <x:v>ICW-ICG UD</x:v>
      </x:c>
      <x:c r="C2" t="str">
        <x:v>Survey &amp; access</x:v>
      </x:c>
      <x:c r="D2" t="str">
        <x:v>locations</x:v>
      </x:c>
      <x:c r="E2" s="8"/>
      <x:c r="F2" s="8"/>
      <x:c r="G2" s="8"/>
      <x:c r="H2" t="str">
        <x:v>Survey</x:v>
      </x:c>
      <x:c r="I2" t="str">
        <x:f>IF(OR(E2="",F2="",F2&lt;=0),"",E2/F2)</x:f>
      </x:c>
      <x:c r="J2" s="8"/>
      <x:c r="K2" t="str">
        <x:f>IF(OR(I2="",J2=""),"",I2-J2)</x:f>
      </x:c>
      <x:c r="L2" s="8"/>
      <x:c r="M2" t="str">
        <x:f>IF(E2="","",MAX(0,E2-IF(L2="",0,L2)))</x:f>
      </x:c>
      <x:c r="N2" t="str">
        <x:v>Unverified</x:v>
      </x:c>
    </x:row>
    <x:row r="3">
      <x:c r="A3" t="str">
        <x:v>B01-A02</x:v>
      </x:c>
      <x:c r="B3" t="str">
        <x:v>ICW-ICG UD</x:v>
      </x:c>
      <x:c r="C3" t="str">
        <x:v>Temporary works</x:v>
      </x:c>
      <x:c r="D3" t="str">
        <x:v>assemblies</x:v>
      </x:c>
      <x:c r="E3" s="8"/>
      <x:c r="F3" s="8"/>
      <x:c r="G3" s="8"/>
      <x:c r="H3" t="str">
        <x:v>Structural</x:v>
      </x:c>
      <x:c r="I3" t="str">
        <x:f>IF(OR(E3="",F3="",F3&lt;=0),"",E3/F3)</x:f>
      </x:c>
      <x:c r="J3" s="8"/>
      <x:c r="K3" t="str">
        <x:f>IF(OR(I3="",J3=""),"",I3-J3)</x:f>
      </x:c>
      <x:c r="L3" s="8"/>
      <x:c r="M3" t="str">
        <x:f>IF(E3="","",MAX(0,E3-IF(L3="",0,L3)))</x:f>
      </x:c>
      <x:c r="N3" t="str">
        <x:v>Unverified</x:v>
      </x:c>
    </x:row>
    <x:row r="4">
      <x:c r="A4" t="str">
        <x:v>B01-A03</x:v>
      </x:c>
      <x:c r="B4" t="str">
        <x:v>ICW-ICG UD</x:v>
      </x:c>
      <x:c r="C4" t="str">
        <x:v>Shop fabrication</x:v>
      </x:c>
      <x:c r="D4" t="str">
        <x:v>MT</x:v>
      </x:c>
      <x:c r="E4" s="8"/>
      <x:c r="F4" s="8"/>
      <x:c r="G4" s="8"/>
      <x:c r="H4" t="str">
        <x:v>Fabrication</x:v>
      </x:c>
      <x:c r="I4" t="str">
        <x:f>IF(OR(E4="",F4="",F4&lt;=0),"",E4/F4)</x:f>
      </x:c>
      <x:c r="J4" s="8"/>
      <x:c r="K4" t="str">
        <x:f>IF(OR(I4="",J4=""),"",I4-J4)</x:f>
      </x:c>
      <x:c r="L4" s="8"/>
      <x:c r="M4" t="str">
        <x:f>IF(E4="","",MAX(0,E4-IF(L4="",0,L4)))</x:f>
      </x:c>
      <x:c r="N4" t="str">
        <x:v>Unverified</x:v>
      </x:c>
    </x:row>
    <x:row r="5">
      <x:c r="A5" t="str">
        <x:v>B01-A04</x:v>
      </x:c>
      <x:c r="B5" t="str">
        <x:v>ICW-ICG UD</x:v>
      </x:c>
      <x:c r="C5" t="str">
        <x:v>Offshore steel installation</x:v>
      </x:c>
      <x:c r="D5" t="str">
        <x:v>MT</x:v>
      </x:c>
      <x:c r="E5" s="8"/>
      <x:c r="F5" s="8"/>
      <x:c r="G5" s="8"/>
      <x:c r="H5" t="str">
        <x:v>Structural</x:v>
      </x:c>
      <x:c r="I5" t="str">
        <x:f>IF(OR(E5="",F5="",F5&lt;=0),"",E5/F5)</x:f>
      </x:c>
      <x:c r="J5" s="8"/>
      <x:c r="K5" t="str">
        <x:f>IF(OR(I5="",J5=""),"",I5-J5)</x:f>
      </x:c>
      <x:c r="L5" s="8"/>
      <x:c r="M5" t="str">
        <x:f>IF(E5="","",MAX(0,E5-IF(L5="",0,L5)))</x:f>
      </x:c>
      <x:c r="N5" t="str">
        <x:v>Unverified</x:v>
      </x:c>
    </x:row>
    <x:row r="6">
      <x:c r="A6" t="str">
        <x:v>B01-A05</x:v>
      </x:c>
      <x:c r="B6" t="str">
        <x:v>ICW-ICG UD</x:v>
      </x:c>
      <x:c r="C6" t="str">
        <x:v>Offshore weld/NDT</x:v>
      </x:c>
      <x:c r="D6" t="str">
        <x:v>weld-m</x:v>
      </x:c>
      <x:c r="E6" s="8"/>
      <x:c r="F6" s="8"/>
      <x:c r="G6" s="8"/>
      <x:c r="H6" t="str">
        <x:v>Welding</x:v>
      </x:c>
      <x:c r="I6" t="str">
        <x:f>IF(OR(E6="",F6="",F6&lt;=0),"",E6/F6)</x:f>
      </x:c>
      <x:c r="J6" s="8"/>
      <x:c r="K6" t="str">
        <x:f>IF(OR(I6="",J6=""),"",I6-J6)</x:f>
      </x:c>
      <x:c r="L6" s="8"/>
      <x:c r="M6" t="str">
        <x:f>IF(E6="","",MAX(0,E6-IF(L6="",0,L6)))</x:f>
      </x:c>
      <x:c r="N6" t="str">
        <x:v>Unverified</x:v>
      </x:c>
    </x:row>
    <x:row r="7">
      <x:c r="A7" t="str">
        <x:v>B01-A06</x:v>
      </x:c>
      <x:c r="B7" t="str">
        <x:v>ICW-ICG UD</x:v>
      </x:c>
      <x:c r="C7" t="str">
        <x:v>Demolition</x:v>
      </x:c>
      <x:c r="D7" t="str">
        <x:v>MT</x:v>
      </x:c>
      <x:c r="E7" s="8" t="n">
        <x:v>25</x:v>
      </x:c>
      <x:c r="F7" s="8"/>
      <x:c r="G7" s="8"/>
      <x:c r="H7" t="str">
        <x:v>Demolition</x:v>
      </x:c>
      <x:c r="I7" t="str">
        <x:f>IF(OR(E7="",F7="",F7&lt;=0),"",E7/F7)</x:f>
      </x:c>
      <x:c r="J7" s="8"/>
      <x:c r="K7" t="str">
        <x:f>IF(OR(I7="",J7=""),"",I7-J7)</x:f>
      </x:c>
      <x:c r="L7" s="8"/>
      <x:c r="M7" t="n">
        <x:f>IF(E7="","",MAX(0,E7-IF(L7="",0,L7)))</x:f>
        <x:v>25</x:v>
      </x:c>
      <x:c r="N7" t="str">
        <x:v>Unverified</x:v>
      </x:c>
    </x:row>
    <x:row r="8">
      <x:c r="A8" t="str">
        <x:v>B01-A07</x:v>
      </x:c>
      <x:c r="B8" t="str">
        <x:v>ICW-ICG UD</x:v>
      </x:c>
      <x:c r="C8" t="str">
        <x:v>Coating</x:v>
      </x:c>
      <x:c r="D8" t="str">
        <x:v>m2</x:v>
      </x:c>
      <x:c r="E8" s="8"/>
      <x:c r="F8" s="8"/>
      <x:c r="G8" s="8"/>
      <x:c r="H8" t="str">
        <x:v>Coating</x:v>
      </x:c>
      <x:c r="I8" t="str">
        <x:f>IF(OR(E8="",F8="",F8&lt;=0),"",E8/F8)</x:f>
      </x:c>
      <x:c r="J8" s="8"/>
      <x:c r="K8" t="str">
        <x:f>IF(OR(I8="",J8=""),"",I8-J8)</x:f>
      </x:c>
      <x:c r="L8" s="8"/>
      <x:c r="M8" t="str">
        <x:f>IF(E8="","",MAX(0,E8-IF(L8="",0,L8)))</x:f>
      </x:c>
      <x:c r="N8" t="str">
        <x:v>Unverified</x:v>
      </x:c>
    </x:row>
    <x:row r="9">
      <x:c r="A9" t="str">
        <x:v>B01-A08</x:v>
      </x:c>
      <x:c r="B9" t="str">
        <x:v>ICW-ICG UD</x:v>
      </x:c>
      <x:c r="C9" t="str">
        <x:v>Completion &amp; acceptance</x:v>
      </x:c>
      <x:c r="D9" t="str">
        <x:v>work packs</x:v>
      </x:c>
      <x:c r="E9" s="8"/>
      <x:c r="F9" s="8"/>
      <x:c r="G9" s="8"/>
      <x:c r="H9" t="str">
        <x:v>QA</x:v>
      </x:c>
      <x:c r="I9" t="str">
        <x:f>IF(OR(E9="",F9="",F9&lt;=0),"",E9/F9)</x:f>
      </x:c>
      <x:c r="J9" s="8"/>
      <x:c r="K9" t="str">
        <x:f>IF(OR(I9="",J9=""),"",I9-J9)</x:f>
      </x:c>
      <x:c r="L9" s="8"/>
      <x:c r="M9" t="str">
        <x:f>IF(E9="","",MAX(0,E9-IF(L9="",0,L9)))</x:f>
      </x:c>
      <x:c r="N9" t="str">
        <x:v>Unverified</x:v>
      </x:c>
    </x:row>
    <x:row r="10">
      <x:c r="A10" t="str">
        <x:v>B02-A01</x:v>
      </x:c>
      <x:c r="B10" t="str">
        <x:v>ICW-ICG LD</x:v>
      </x:c>
      <x:c r="C10" t="str">
        <x:v>Survey &amp; access</x:v>
      </x:c>
      <x:c r="D10" t="str">
        <x:v>locations</x:v>
      </x:c>
      <x:c r="E10" s="8"/>
      <x:c r="F10" s="8"/>
      <x:c r="G10" s="8"/>
      <x:c r="H10" t="str">
        <x:v>Survey</x:v>
      </x:c>
      <x:c r="I10" t="str">
        <x:f>IF(OR(E10="",F10="",F10&lt;=0),"",E10/F10)</x:f>
      </x:c>
      <x:c r="J10" s="8"/>
      <x:c r="K10" t="str">
        <x:f>IF(OR(I10="",J10=""),"",I10-J10)</x:f>
      </x:c>
      <x:c r="L10" s="8"/>
      <x:c r="M10" t="str">
        <x:f>IF(E10="","",MAX(0,E10-IF(L10="",0,L10)))</x:f>
      </x:c>
      <x:c r="N10" t="str">
        <x:v>Unverified</x:v>
      </x:c>
    </x:row>
    <x:row r="11">
      <x:c r="A11" t="str">
        <x:v>B02-A02</x:v>
      </x:c>
      <x:c r="B11" t="str">
        <x:v>ICW-ICG LD</x:v>
      </x:c>
      <x:c r="C11" t="str">
        <x:v>Temporary works</x:v>
      </x:c>
      <x:c r="D11" t="str">
        <x:v>assemblies</x:v>
      </x:c>
      <x:c r="E11" s="8"/>
      <x:c r="F11" s="8"/>
      <x:c r="G11" s="8"/>
      <x:c r="H11" t="str">
        <x:v>Structural</x:v>
      </x:c>
      <x:c r="I11" t="str">
        <x:f>IF(OR(E11="",F11="",F11&lt;=0),"",E11/F11)</x:f>
      </x:c>
      <x:c r="J11" s="8"/>
      <x:c r="K11" t="str">
        <x:f>IF(OR(I11="",J11=""),"",I11-J11)</x:f>
      </x:c>
      <x:c r="L11" s="8"/>
      <x:c r="M11" t="str">
        <x:f>IF(E11="","",MAX(0,E11-IF(L11="",0,L11)))</x:f>
      </x:c>
      <x:c r="N11" t="str">
        <x:v>Unverified</x:v>
      </x:c>
    </x:row>
    <x:row r="12">
      <x:c r="A12" t="str">
        <x:v>B02-A03</x:v>
      </x:c>
      <x:c r="B12" t="str">
        <x:v>ICW-ICG LD</x:v>
      </x:c>
      <x:c r="C12" t="str">
        <x:v>Shop fabrication</x:v>
      </x:c>
      <x:c r="D12" t="str">
        <x:v>MT</x:v>
      </x:c>
      <x:c r="E12" s="8"/>
      <x:c r="F12" s="8"/>
      <x:c r="G12" s="8"/>
      <x:c r="H12" t="str">
        <x:v>Fabrication</x:v>
      </x:c>
      <x:c r="I12" t="str">
        <x:f>IF(OR(E12="",F12="",F12&lt;=0),"",E12/F12)</x:f>
      </x:c>
      <x:c r="J12" s="8"/>
      <x:c r="K12" t="str">
        <x:f>IF(OR(I12="",J12=""),"",I12-J12)</x:f>
      </x:c>
      <x:c r="L12" s="8"/>
      <x:c r="M12" t="str">
        <x:f>IF(E12="","",MAX(0,E12-IF(L12="",0,L12)))</x:f>
      </x:c>
      <x:c r="N12" t="str">
        <x:v>Unverified</x:v>
      </x:c>
    </x:row>
    <x:row r="13">
      <x:c r="A13" t="str">
        <x:v>B02-A04</x:v>
      </x:c>
      <x:c r="B13" t="str">
        <x:v>ICW-ICG LD</x:v>
      </x:c>
      <x:c r="C13" t="str">
        <x:v>Offshore steel installation</x:v>
      </x:c>
      <x:c r="D13" t="str">
        <x:v>MT</x:v>
      </x:c>
      <x:c r="E13" s="8"/>
      <x:c r="F13" s="8"/>
      <x:c r="G13" s="8"/>
      <x:c r="H13" t="str">
        <x:v>Structural</x:v>
      </x:c>
      <x:c r="I13" t="str">
        <x:f>IF(OR(E13="",F13="",F13&lt;=0),"",E13/F13)</x:f>
      </x:c>
      <x:c r="J13" s="8"/>
      <x:c r="K13" t="str">
        <x:f>IF(OR(I13="",J13=""),"",I13-J13)</x:f>
      </x:c>
      <x:c r="L13" s="8"/>
      <x:c r="M13" t="str">
        <x:f>IF(E13="","",MAX(0,E13-IF(L13="",0,L13)))</x:f>
      </x:c>
      <x:c r="N13" t="str">
        <x:v>Unverified</x:v>
      </x:c>
    </x:row>
    <x:row r="14">
      <x:c r="A14" t="str">
        <x:v>B02-A05</x:v>
      </x:c>
      <x:c r="B14" t="str">
        <x:v>ICW-ICG LD</x:v>
      </x:c>
      <x:c r="C14" t="str">
        <x:v>Offshore weld/NDT</x:v>
      </x:c>
      <x:c r="D14" t="str">
        <x:v>weld-m</x:v>
      </x:c>
      <x:c r="E14" s="8"/>
      <x:c r="F14" s="8"/>
      <x:c r="G14" s="8"/>
      <x:c r="H14" t="str">
        <x:v>Welding</x:v>
      </x:c>
      <x:c r="I14" t="str">
        <x:f>IF(OR(E14="",F14="",F14&lt;=0),"",E14/F14)</x:f>
      </x:c>
      <x:c r="J14" s="8"/>
      <x:c r="K14" t="str">
        <x:f>IF(OR(I14="",J14=""),"",I14-J14)</x:f>
      </x:c>
      <x:c r="L14" s="8"/>
      <x:c r="M14" t="str">
        <x:f>IF(E14="","",MAX(0,E14-IF(L14="",0,L14)))</x:f>
      </x:c>
      <x:c r="N14" t="str">
        <x:v>Unverified</x:v>
      </x:c>
    </x:row>
    <x:row r="15">
      <x:c r="A15" t="str">
        <x:v>B02-A06</x:v>
      </x:c>
      <x:c r="B15" t="str">
        <x:v>ICW-ICG LD</x:v>
      </x:c>
      <x:c r="C15" t="str">
        <x:v>Demolition</x:v>
      </x:c>
      <x:c r="D15" t="str">
        <x:v>MT</x:v>
      </x:c>
      <x:c r="E15" s="8" t="n">
        <x:v>1</x:v>
      </x:c>
      <x:c r="F15" s="8"/>
      <x:c r="G15" s="8"/>
      <x:c r="H15" t="str">
        <x:v>Demolition</x:v>
      </x:c>
      <x:c r="I15" t="str">
        <x:f>IF(OR(E15="",F15="",F15&lt;=0),"",E15/F15)</x:f>
      </x:c>
      <x:c r="J15" s="8"/>
      <x:c r="K15" t="str">
        <x:f>IF(OR(I15="",J15=""),"",I15-J15)</x:f>
      </x:c>
      <x:c r="L15" s="8"/>
      <x:c r="M15" t="n">
        <x:f>IF(E15="","",MAX(0,E15-IF(L15="",0,L15)))</x:f>
        <x:v>1</x:v>
      </x:c>
      <x:c r="N15" t="str">
        <x:v>Unverified</x:v>
      </x:c>
    </x:row>
    <x:row r="16">
      <x:c r="A16" t="str">
        <x:v>B02-A07</x:v>
      </x:c>
      <x:c r="B16" t="str">
        <x:v>ICW-ICG LD</x:v>
      </x:c>
      <x:c r="C16" t="str">
        <x:v>Coating</x:v>
      </x:c>
      <x:c r="D16" t="str">
        <x:v>m2</x:v>
      </x:c>
      <x:c r="E16" s="8"/>
      <x:c r="F16" s="8"/>
      <x:c r="G16" s="8"/>
      <x:c r="H16" t="str">
        <x:v>Coating</x:v>
      </x:c>
      <x:c r="I16" t="str">
        <x:f>IF(OR(E16="",F16="",F16&lt;=0),"",E16/F16)</x:f>
      </x:c>
      <x:c r="J16" s="8"/>
      <x:c r="K16" t="str">
        <x:f>IF(OR(I16="",J16=""),"",I16-J16)</x:f>
      </x:c>
      <x:c r="L16" s="8"/>
      <x:c r="M16" t="str">
        <x:f>IF(E16="","",MAX(0,E16-IF(L16="",0,L16)))</x:f>
      </x:c>
      <x:c r="N16" t="str">
        <x:v>Unverified</x:v>
      </x:c>
    </x:row>
    <x:row r="17">
      <x:c r="A17" t="str">
        <x:v>B02-A08</x:v>
      </x:c>
      <x:c r="B17" t="str">
        <x:v>ICW-ICG LD</x:v>
      </x:c>
      <x:c r="C17" t="str">
        <x:v>Completion &amp; acceptance</x:v>
      </x:c>
      <x:c r="D17" t="str">
        <x:v>work packs</x:v>
      </x:c>
      <x:c r="E17" s="8"/>
      <x:c r="F17" s="8"/>
      <x:c r="G17" s="8"/>
      <x:c r="H17" t="str">
        <x:v>QA</x:v>
      </x:c>
      <x:c r="I17" t="str">
        <x:f>IF(OR(E17="",F17="",F17&lt;=0),"",E17/F17)</x:f>
      </x:c>
      <x:c r="J17" s="8"/>
      <x:c r="K17" t="str">
        <x:f>IF(OR(I17="",J17=""),"",I17-J17)</x:f>
      </x:c>
      <x:c r="L17" s="8"/>
      <x:c r="M17" t="str">
        <x:f>IF(E17="","",MAX(0,E17-IF(L17="",0,L17)))</x:f>
      </x:c>
      <x:c r="N17" t="str">
        <x:v>Unverified</x:v>
      </x:c>
    </x:row>
    <x:row r="18">
      <x:c r="A18" t="str">
        <x:v>B03-A01</x:v>
      </x:c>
      <x:c r="B18" t="str">
        <x:v>ICG-ICP UD</x:v>
      </x:c>
      <x:c r="C18" t="str">
        <x:v>Survey &amp; access</x:v>
      </x:c>
      <x:c r="D18" t="str">
        <x:v>locations</x:v>
      </x:c>
      <x:c r="E18" s="8"/>
      <x:c r="F18" s="8"/>
      <x:c r="G18" s="8"/>
      <x:c r="H18" t="str">
        <x:v>Survey</x:v>
      </x:c>
      <x:c r="I18" t="str">
        <x:f>IF(OR(E18="",F18="",F18&lt;=0),"",E18/F18)</x:f>
      </x:c>
      <x:c r="J18" s="8"/>
      <x:c r="K18" t="str">
        <x:f>IF(OR(I18="",J18=""),"",I18-J18)</x:f>
      </x:c>
      <x:c r="L18" s="8"/>
      <x:c r="M18" t="str">
        <x:f>IF(E18="","",MAX(0,E18-IF(L18="",0,L18)))</x:f>
      </x:c>
      <x:c r="N18" t="str">
        <x:v>Unverified</x:v>
      </x:c>
    </x:row>
    <x:row r="19">
      <x:c r="A19" t="str">
        <x:v>B03-A02</x:v>
      </x:c>
      <x:c r="B19" t="str">
        <x:v>ICG-ICP UD</x:v>
      </x:c>
      <x:c r="C19" t="str">
        <x:v>Temporary works</x:v>
      </x:c>
      <x:c r="D19" t="str">
        <x:v>assemblies</x:v>
      </x:c>
      <x:c r="E19" s="8"/>
      <x:c r="F19" s="8"/>
      <x:c r="G19" s="8"/>
      <x:c r="H19" t="str">
        <x:v>Structural</x:v>
      </x:c>
      <x:c r="I19" t="str">
        <x:f>IF(OR(E19="",F19="",F19&lt;=0),"",E19/F19)</x:f>
      </x:c>
      <x:c r="J19" s="8"/>
      <x:c r="K19" t="str">
        <x:f>IF(OR(I19="",J19=""),"",I19-J19)</x:f>
      </x:c>
      <x:c r="L19" s="8"/>
      <x:c r="M19" t="str">
        <x:f>IF(E19="","",MAX(0,E19-IF(L19="",0,L19)))</x:f>
      </x:c>
      <x:c r="N19" t="str">
        <x:v>Unverified</x:v>
      </x:c>
    </x:row>
    <x:row r="20">
      <x:c r="A20" t="str">
        <x:v>B03-A03</x:v>
      </x:c>
      <x:c r="B20" t="str">
        <x:v>ICG-ICP UD</x:v>
      </x:c>
      <x:c r="C20" t="str">
        <x:v>Shop fabrication</x:v>
      </x:c>
      <x:c r="D20" t="str">
        <x:v>MT</x:v>
      </x:c>
      <x:c r="E20" s="8"/>
      <x:c r="F20" s="8"/>
      <x:c r="G20" s="8"/>
      <x:c r="H20" t="str">
        <x:v>Fabrication</x:v>
      </x:c>
      <x:c r="I20" t="str">
        <x:f>IF(OR(E20="",F20="",F20&lt;=0),"",E20/F20)</x:f>
      </x:c>
      <x:c r="J20" s="8"/>
      <x:c r="K20" t="str">
        <x:f>IF(OR(I20="",J20=""),"",I20-J20)</x:f>
      </x:c>
      <x:c r="L20" s="8"/>
      <x:c r="M20" t="str">
        <x:f>IF(E20="","",MAX(0,E20-IF(L20="",0,L20)))</x:f>
      </x:c>
      <x:c r="N20" t="str">
        <x:v>Unverified</x:v>
      </x:c>
    </x:row>
    <x:row r="21">
      <x:c r="A21" t="str">
        <x:v>B03-A04</x:v>
      </x:c>
      <x:c r="B21" t="str">
        <x:v>ICG-ICP UD</x:v>
      </x:c>
      <x:c r="C21" t="str">
        <x:v>Offshore steel installation</x:v>
      </x:c>
      <x:c r="D21" t="str">
        <x:v>MT</x:v>
      </x:c>
      <x:c r="E21" s="8"/>
      <x:c r="F21" s="8"/>
      <x:c r="G21" s="8"/>
      <x:c r="H21" t="str">
        <x:v>Structural</x:v>
      </x:c>
      <x:c r="I21" t="str">
        <x:f>IF(OR(E21="",F21="",F21&lt;=0),"",E21/F21)</x:f>
      </x:c>
      <x:c r="J21" s="8"/>
      <x:c r="K21" t="str">
        <x:f>IF(OR(I21="",J21=""),"",I21-J21)</x:f>
      </x:c>
      <x:c r="L21" s="8"/>
      <x:c r="M21" t="str">
        <x:f>IF(E21="","",MAX(0,E21-IF(L21="",0,L21)))</x:f>
      </x:c>
      <x:c r="N21" t="str">
        <x:v>Unverified</x:v>
      </x:c>
    </x:row>
    <x:row r="22">
      <x:c r="A22" t="str">
        <x:v>B03-A05</x:v>
      </x:c>
      <x:c r="B22" t="str">
        <x:v>ICG-ICP UD</x:v>
      </x:c>
      <x:c r="C22" t="str">
        <x:v>Offshore weld/NDT</x:v>
      </x:c>
      <x:c r="D22" t="str">
        <x:v>weld-m</x:v>
      </x:c>
      <x:c r="E22" s="8"/>
      <x:c r="F22" s="8"/>
      <x:c r="G22" s="8"/>
      <x:c r="H22" t="str">
        <x:v>Welding</x:v>
      </x:c>
      <x:c r="I22" t="str">
        <x:f>IF(OR(E22="",F22="",F22&lt;=0),"",E22/F22)</x:f>
      </x:c>
      <x:c r="J22" s="8"/>
      <x:c r="K22" t="str">
        <x:f>IF(OR(I22="",J22=""),"",I22-J22)</x:f>
      </x:c>
      <x:c r="L22" s="8"/>
      <x:c r="M22" t="str">
        <x:f>IF(E22="","",MAX(0,E22-IF(L22="",0,L22)))</x:f>
      </x:c>
      <x:c r="N22" t="str">
        <x:v>Unverified</x:v>
      </x:c>
    </x:row>
    <x:row r="23">
      <x:c r="A23" t="str">
        <x:v>B03-A06</x:v>
      </x:c>
      <x:c r="B23" t="str">
        <x:v>ICG-ICP UD</x:v>
      </x:c>
      <x:c r="C23" t="str">
        <x:v>Demolition</x:v>
      </x:c>
      <x:c r="D23" t="str">
        <x:v>MT</x:v>
      </x:c>
      <x:c r="E23" s="8" t="n">
        <x:v>25</x:v>
      </x:c>
      <x:c r="F23" s="8"/>
      <x:c r="G23" s="8"/>
      <x:c r="H23" t="str">
        <x:v>Demolition</x:v>
      </x:c>
      <x:c r="I23" t="str">
        <x:f>IF(OR(E23="",F23="",F23&lt;=0),"",E23/F23)</x:f>
      </x:c>
      <x:c r="J23" s="8"/>
      <x:c r="K23" t="str">
        <x:f>IF(OR(I23="",J23=""),"",I23-J23)</x:f>
      </x:c>
      <x:c r="L23" s="8"/>
      <x:c r="M23" t="n">
        <x:f>IF(E23="","",MAX(0,E23-IF(L23="",0,L23)))</x:f>
        <x:v>25</x:v>
      </x:c>
      <x:c r="N23" t="str">
        <x:v>Unverified</x:v>
      </x:c>
    </x:row>
    <x:row r="24">
      <x:c r="A24" t="str">
        <x:v>B03-A07</x:v>
      </x:c>
      <x:c r="B24" t="str">
        <x:v>ICG-ICP UD</x:v>
      </x:c>
      <x:c r="C24" t="str">
        <x:v>Coating</x:v>
      </x:c>
      <x:c r="D24" t="str">
        <x:v>m2</x:v>
      </x:c>
      <x:c r="E24" s="8"/>
      <x:c r="F24" s="8"/>
      <x:c r="G24" s="8"/>
      <x:c r="H24" t="str">
        <x:v>Coating</x:v>
      </x:c>
      <x:c r="I24" t="str">
        <x:f>IF(OR(E24="",F24="",F24&lt;=0),"",E24/F24)</x:f>
      </x:c>
      <x:c r="J24" s="8"/>
      <x:c r="K24" t="str">
        <x:f>IF(OR(I24="",J24=""),"",I24-J24)</x:f>
      </x:c>
      <x:c r="L24" s="8"/>
      <x:c r="M24" t="str">
        <x:f>IF(E24="","",MAX(0,E24-IF(L24="",0,L24)))</x:f>
      </x:c>
      <x:c r="N24" t="str">
        <x:v>Unverified</x:v>
      </x:c>
    </x:row>
    <x:row r="25">
      <x:c r="A25" t="str">
        <x:v>B03-A08</x:v>
      </x:c>
      <x:c r="B25" t="str">
        <x:v>ICG-ICP UD</x:v>
      </x:c>
      <x:c r="C25" t="str">
        <x:v>Completion &amp; acceptance</x:v>
      </x:c>
      <x:c r="D25" t="str">
        <x:v>work packs</x:v>
      </x:c>
      <x:c r="E25" s="8"/>
      <x:c r="F25" s="8"/>
      <x:c r="G25" s="8"/>
      <x:c r="H25" t="str">
        <x:v>QA</x:v>
      </x:c>
      <x:c r="I25" t="str">
        <x:f>IF(OR(E25="",F25="",F25&lt;=0),"",E25/F25)</x:f>
      </x:c>
      <x:c r="J25" s="8"/>
      <x:c r="K25" t="str">
        <x:f>IF(OR(I25="",J25=""),"",I25-J25)</x:f>
      </x:c>
      <x:c r="L25" s="8"/>
      <x:c r="M25" t="str">
        <x:f>IF(E25="","",MAX(0,E25-IF(L25="",0,L25)))</x:f>
      </x:c>
      <x:c r="N25" t="str">
        <x:v>Unverified</x:v>
      </x:c>
    </x:row>
    <x:row r="26">
      <x:c r="A26" t="str">
        <x:v>B04-A01</x:v>
      </x:c>
      <x:c r="B26" t="str">
        <x:v>ICG-ICP LD</x:v>
      </x:c>
      <x:c r="C26" t="str">
        <x:v>Survey &amp; access</x:v>
      </x:c>
      <x:c r="D26" t="str">
        <x:v>locations</x:v>
      </x:c>
      <x:c r="E26" s="8"/>
      <x:c r="F26" s="8"/>
      <x:c r="G26" s="8"/>
      <x:c r="H26" t="str">
        <x:v>Survey</x:v>
      </x:c>
      <x:c r="I26" t="str">
        <x:f>IF(OR(E26="",F26="",F26&lt;=0),"",E26/F26)</x:f>
      </x:c>
      <x:c r="J26" s="8"/>
      <x:c r="K26" t="str">
        <x:f>IF(OR(I26="",J26=""),"",I26-J26)</x:f>
      </x:c>
      <x:c r="L26" s="8"/>
      <x:c r="M26" t="str">
        <x:f>IF(E26="","",MAX(0,E26-IF(L26="",0,L26)))</x:f>
      </x:c>
      <x:c r="N26" t="str">
        <x:v>Unverified</x:v>
      </x:c>
    </x:row>
    <x:row r="27">
      <x:c r="A27" t="str">
        <x:v>B04-A02</x:v>
      </x:c>
      <x:c r="B27" t="str">
        <x:v>ICG-ICP LD</x:v>
      </x:c>
      <x:c r="C27" t="str">
        <x:v>Temporary works</x:v>
      </x:c>
      <x:c r="D27" t="str">
        <x:v>assemblies</x:v>
      </x:c>
      <x:c r="E27" s="8"/>
      <x:c r="F27" s="8"/>
      <x:c r="G27" s="8"/>
      <x:c r="H27" t="str">
        <x:v>Structural</x:v>
      </x:c>
      <x:c r="I27" t="str">
        <x:f>IF(OR(E27="",F27="",F27&lt;=0),"",E27/F27)</x:f>
      </x:c>
      <x:c r="J27" s="8"/>
      <x:c r="K27" t="str">
        <x:f>IF(OR(I27="",J27=""),"",I27-J27)</x:f>
      </x:c>
      <x:c r="L27" s="8"/>
      <x:c r="M27" t="str">
        <x:f>IF(E27="","",MAX(0,E27-IF(L27="",0,L27)))</x:f>
      </x:c>
      <x:c r="N27" t="str">
        <x:v>Unverified</x:v>
      </x:c>
    </x:row>
    <x:row r="28">
      <x:c r="A28" t="str">
        <x:v>B04-A03</x:v>
      </x:c>
      <x:c r="B28" t="str">
        <x:v>ICG-ICP LD</x:v>
      </x:c>
      <x:c r="C28" t="str">
        <x:v>Shop fabrication</x:v>
      </x:c>
      <x:c r="D28" t="str">
        <x:v>MT</x:v>
      </x:c>
      <x:c r="E28" s="8"/>
      <x:c r="F28" s="8"/>
      <x:c r="G28" s="8"/>
      <x:c r="H28" t="str">
        <x:v>Fabrication</x:v>
      </x:c>
      <x:c r="I28" t="str">
        <x:f>IF(OR(E28="",F28="",F28&lt;=0),"",E28/F28)</x:f>
      </x:c>
      <x:c r="J28" s="8"/>
      <x:c r="K28" t="str">
        <x:f>IF(OR(I28="",J28=""),"",I28-J28)</x:f>
      </x:c>
      <x:c r="L28" s="8"/>
      <x:c r="M28" t="str">
        <x:f>IF(E28="","",MAX(0,E28-IF(L28="",0,L28)))</x:f>
      </x:c>
      <x:c r="N28" t="str">
        <x:v>Unverified</x:v>
      </x:c>
    </x:row>
    <x:row r="29">
      <x:c r="A29" t="str">
        <x:v>B04-A04</x:v>
      </x:c>
      <x:c r="B29" t="str">
        <x:v>ICG-ICP LD</x:v>
      </x:c>
      <x:c r="C29" t="str">
        <x:v>Offshore steel installation</x:v>
      </x:c>
      <x:c r="D29" t="str">
        <x:v>MT</x:v>
      </x:c>
      <x:c r="E29" s="8"/>
      <x:c r="F29" s="8"/>
      <x:c r="G29" s="8"/>
      <x:c r="H29" t="str">
        <x:v>Structural</x:v>
      </x:c>
      <x:c r="I29" t="str">
        <x:f>IF(OR(E29="",F29="",F29&lt;=0),"",E29/F29)</x:f>
      </x:c>
      <x:c r="J29" s="8"/>
      <x:c r="K29" t="str">
        <x:f>IF(OR(I29="",J29=""),"",I29-J29)</x:f>
      </x:c>
      <x:c r="L29" s="8"/>
      <x:c r="M29" t="str">
        <x:f>IF(E29="","",MAX(0,E29-IF(L29="",0,L29)))</x:f>
      </x:c>
      <x:c r="N29" t="str">
        <x:v>Unverified</x:v>
      </x:c>
    </x:row>
    <x:row r="30">
      <x:c r="A30" t="str">
        <x:v>B04-A05</x:v>
      </x:c>
      <x:c r="B30" t="str">
        <x:v>ICG-ICP LD</x:v>
      </x:c>
      <x:c r="C30" t="str">
        <x:v>Offshore weld/NDT</x:v>
      </x:c>
      <x:c r="D30" t="str">
        <x:v>weld-m</x:v>
      </x:c>
      <x:c r="E30" s="8"/>
      <x:c r="F30" s="8"/>
      <x:c r="G30" s="8"/>
      <x:c r="H30" t="str">
        <x:v>Welding</x:v>
      </x:c>
      <x:c r="I30" t="str">
        <x:f>IF(OR(E30="",F30="",F30&lt;=0),"",E30/F30)</x:f>
      </x:c>
      <x:c r="J30" s="8"/>
      <x:c r="K30" t="str">
        <x:f>IF(OR(I30="",J30=""),"",I30-J30)</x:f>
      </x:c>
      <x:c r="L30" s="8"/>
      <x:c r="M30" t="str">
        <x:f>IF(E30="","",MAX(0,E30-IF(L30="",0,L30)))</x:f>
      </x:c>
      <x:c r="N30" t="str">
        <x:v>Unverified</x:v>
      </x:c>
    </x:row>
    <x:row r="31">
      <x:c r="A31" t="str">
        <x:v>B04-A06</x:v>
      </x:c>
      <x:c r="B31" t="str">
        <x:v>ICG-ICP LD</x:v>
      </x:c>
      <x:c r="C31" t="str">
        <x:v>Demolition</x:v>
      </x:c>
      <x:c r="D31" t="str">
        <x:v>MT</x:v>
      </x:c>
      <x:c r="E31" s="8" t="n">
        <x:v>1</x:v>
      </x:c>
      <x:c r="F31" s="8"/>
      <x:c r="G31" s="8"/>
      <x:c r="H31" t="str">
        <x:v>Demolition</x:v>
      </x:c>
      <x:c r="I31" t="str">
        <x:f>IF(OR(E31="",F31="",F31&lt;=0),"",E31/F31)</x:f>
      </x:c>
      <x:c r="J31" s="8"/>
      <x:c r="K31" t="str">
        <x:f>IF(OR(I31="",J31=""),"",I31-J31)</x:f>
      </x:c>
      <x:c r="L31" s="8"/>
      <x:c r="M31" t="n">
        <x:f>IF(E31="","",MAX(0,E31-IF(L31="",0,L31)))</x:f>
        <x:v>1</x:v>
      </x:c>
      <x:c r="N31" t="str">
        <x:v>Unverified</x:v>
      </x:c>
    </x:row>
    <x:row r="32">
      <x:c r="A32" t="str">
        <x:v>B04-A07</x:v>
      </x:c>
      <x:c r="B32" t="str">
        <x:v>ICG-ICP LD</x:v>
      </x:c>
      <x:c r="C32" t="str">
        <x:v>Coating</x:v>
      </x:c>
      <x:c r="D32" t="str">
        <x:v>m2</x:v>
      </x:c>
      <x:c r="E32" s="8"/>
      <x:c r="F32" s="8"/>
      <x:c r="G32" s="8"/>
      <x:c r="H32" t="str">
        <x:v>Coating</x:v>
      </x:c>
      <x:c r="I32" t="str">
        <x:f>IF(OR(E32="",F32="",F32&lt;=0),"",E32/F32)</x:f>
      </x:c>
      <x:c r="J32" s="8"/>
      <x:c r="K32" t="str">
        <x:f>IF(OR(I32="",J32=""),"",I32-J32)</x:f>
      </x:c>
      <x:c r="L32" s="8"/>
      <x:c r="M32" t="str">
        <x:f>IF(E32="","",MAX(0,E32-IF(L32="",0,L32)))</x:f>
      </x:c>
      <x:c r="N32" t="str">
        <x:v>Unverified</x:v>
      </x:c>
    </x:row>
    <x:row r="33">
      <x:c r="A33" t="str">
        <x:v>B04-A08</x:v>
      </x:c>
      <x:c r="B33" t="str">
        <x:v>ICG-ICP LD</x:v>
      </x:c>
      <x:c r="C33" t="str">
        <x:v>Completion &amp; acceptance</x:v>
      </x:c>
      <x:c r="D33" t="str">
        <x:v>work packs</x:v>
      </x:c>
      <x:c r="E33" s="8"/>
      <x:c r="F33" s="8"/>
      <x:c r="G33" s="8"/>
      <x:c r="H33" t="str">
        <x:v>QA</x:v>
      </x:c>
      <x:c r="I33" t="str">
        <x:f>IF(OR(E33="",F33="",F33&lt;=0),"",E33/F33)</x:f>
      </x:c>
      <x:c r="J33" s="8"/>
      <x:c r="K33" t="str">
        <x:f>IF(OR(I33="",J33=""),"",I33-J33)</x:f>
      </x:c>
      <x:c r="L33" s="8"/>
      <x:c r="M33" t="str">
        <x:f>IF(E33="","",MAX(0,E33-IF(L33="",0,L33)))</x:f>
      </x:c>
      <x:c r="N33" t="str">
        <x:v>Unverified</x:v>
      </x:c>
    </x:row>
    <x:row r="34">
      <x:c r="A34" t="str">
        <x:v>B05-A01</x:v>
      </x:c>
      <x:c r="B34" t="str">
        <x:v>BHS-SLQ</x:v>
      </x:c>
      <x:c r="C34" t="str">
        <x:v>Survey &amp; access</x:v>
      </x:c>
      <x:c r="D34" t="str">
        <x:v>locations</x:v>
      </x:c>
      <x:c r="E34" s="8"/>
      <x:c r="F34" s="8"/>
      <x:c r="G34" s="8"/>
      <x:c r="H34" t="str">
        <x:v>Survey</x:v>
      </x:c>
      <x:c r="I34" t="str">
        <x:f>IF(OR(E34="",F34="",F34&lt;=0),"",E34/F34)</x:f>
      </x:c>
      <x:c r="J34" s="8"/>
      <x:c r="K34" t="str">
        <x:f>IF(OR(I34="",J34=""),"",I34-J34)</x:f>
      </x:c>
      <x:c r="L34" s="8"/>
      <x:c r="M34" t="str">
        <x:f>IF(E34="","",MAX(0,E34-IF(L34="",0,L34)))</x:f>
      </x:c>
      <x:c r="N34" t="str">
        <x:v>Unverified</x:v>
      </x:c>
    </x:row>
    <x:row r="35">
      <x:c r="A35" t="str">
        <x:v>B05-A02</x:v>
      </x:c>
      <x:c r="B35" t="str">
        <x:v>BHS-SLQ</x:v>
      </x:c>
      <x:c r="C35" t="str">
        <x:v>Temporary works</x:v>
      </x:c>
      <x:c r="D35" t="str">
        <x:v>assemblies</x:v>
      </x:c>
      <x:c r="E35" s="8"/>
      <x:c r="F35" s="8"/>
      <x:c r="G35" s="8"/>
      <x:c r="H35" t="str">
        <x:v>Structural</x:v>
      </x:c>
      <x:c r="I35" t="str">
        <x:f>IF(OR(E35="",F35="",F35&lt;=0),"",E35/F35)</x:f>
      </x:c>
      <x:c r="J35" s="8"/>
      <x:c r="K35" t="str">
        <x:f>IF(OR(I35="",J35=""),"",I35-J35)</x:f>
      </x:c>
      <x:c r="L35" s="8"/>
      <x:c r="M35" t="str">
        <x:f>IF(E35="","",MAX(0,E35-IF(L35="",0,L35)))</x:f>
      </x:c>
      <x:c r="N35" t="str">
        <x:v>Unverified</x:v>
      </x:c>
    </x:row>
    <x:row r="36">
      <x:c r="A36" t="str">
        <x:v>B05-A03</x:v>
      </x:c>
      <x:c r="B36" t="str">
        <x:v>BHS-SLQ</x:v>
      </x:c>
      <x:c r="C36" t="str">
        <x:v>Shop fabrication</x:v>
      </x:c>
      <x:c r="D36" t="str">
        <x:v>MT</x:v>
      </x:c>
      <x:c r="E36" s="8"/>
      <x:c r="F36" s="8"/>
      <x:c r="G36" s="8"/>
      <x:c r="H36" t="str">
        <x:v>Fabrication</x:v>
      </x:c>
      <x:c r="I36" t="str">
        <x:f>IF(OR(E36="",F36="",F36&lt;=0),"",E36/F36)</x:f>
      </x:c>
      <x:c r="J36" s="8"/>
      <x:c r="K36" t="str">
        <x:f>IF(OR(I36="",J36=""),"",I36-J36)</x:f>
      </x:c>
      <x:c r="L36" s="8"/>
      <x:c r="M36" t="str">
        <x:f>IF(E36="","",MAX(0,E36-IF(L36="",0,L36)))</x:f>
      </x:c>
      <x:c r="N36" t="str">
        <x:v>Unverified</x:v>
      </x:c>
    </x:row>
    <x:row r="37">
      <x:c r="A37" t="str">
        <x:v>B05-A04</x:v>
      </x:c>
      <x:c r="B37" t="str">
        <x:v>BHS-SLQ</x:v>
      </x:c>
      <x:c r="C37" t="str">
        <x:v>Offshore steel installation</x:v>
      </x:c>
      <x:c r="D37" t="str">
        <x:v>MT</x:v>
      </x:c>
      <x:c r="E37" s="8"/>
      <x:c r="F37" s="8"/>
      <x:c r="G37" s="8"/>
      <x:c r="H37" t="str">
        <x:v>Structural</x:v>
      </x:c>
      <x:c r="I37" t="str">
        <x:f>IF(OR(E37="",F37="",F37&lt;=0),"",E37/F37)</x:f>
      </x:c>
      <x:c r="J37" s="8"/>
      <x:c r="K37" t="str">
        <x:f>IF(OR(I37="",J37=""),"",I37-J37)</x:f>
      </x:c>
      <x:c r="L37" s="8"/>
      <x:c r="M37" t="str">
        <x:f>IF(E37="","",MAX(0,E37-IF(L37="",0,L37)))</x:f>
      </x:c>
      <x:c r="N37" t="str">
        <x:v>Unverified</x:v>
      </x:c>
    </x:row>
    <x:row r="38">
      <x:c r="A38" t="str">
        <x:v>B05-A05</x:v>
      </x:c>
      <x:c r="B38" t="str">
        <x:v>BHS-SLQ</x:v>
      </x:c>
      <x:c r="C38" t="str">
        <x:v>Offshore weld/NDT</x:v>
      </x:c>
      <x:c r="D38" t="str">
        <x:v>weld-m</x:v>
      </x:c>
      <x:c r="E38" s="8"/>
      <x:c r="F38" s="8"/>
      <x:c r="G38" s="8"/>
      <x:c r="H38" t="str">
        <x:v>Welding</x:v>
      </x:c>
      <x:c r="I38" t="str">
        <x:f>IF(OR(E38="",F38="",F38&lt;=0),"",E38/F38)</x:f>
      </x:c>
      <x:c r="J38" s="8"/>
      <x:c r="K38" t="str">
        <x:f>IF(OR(I38="",J38=""),"",I38-J38)</x:f>
      </x:c>
      <x:c r="L38" s="8"/>
      <x:c r="M38" t="str">
        <x:f>IF(E38="","",MAX(0,E38-IF(L38="",0,L38)))</x:f>
      </x:c>
      <x:c r="N38" t="str">
        <x:v>Unverified</x:v>
      </x:c>
    </x:row>
    <x:row r="39">
      <x:c r="A39" t="str">
        <x:v>B05-A06</x:v>
      </x:c>
      <x:c r="B39" t="str">
        <x:v>BHS-SLQ</x:v>
      </x:c>
      <x:c r="C39" t="str">
        <x:v>Demolition</x:v>
      </x:c>
      <x:c r="D39" t="str">
        <x:v>MT</x:v>
      </x:c>
      <x:c r="E39" s="8" t="n">
        <x:v>210</x:v>
      </x:c>
      <x:c r="F39" s="8"/>
      <x:c r="G39" s="8"/>
      <x:c r="H39" t="str">
        <x:v>Demolition</x:v>
      </x:c>
      <x:c r="I39" t="str">
        <x:f>IF(OR(E39="",F39="",F39&lt;=0),"",E39/F39)</x:f>
      </x:c>
      <x:c r="J39" s="8"/>
      <x:c r="K39" t="str">
        <x:f>IF(OR(I39="",J39=""),"",I39-J39)</x:f>
      </x:c>
      <x:c r="L39" s="8"/>
      <x:c r="M39" t="n">
        <x:f>IF(E39="","",MAX(0,E39-IF(L39="",0,L39)))</x:f>
        <x:v>210</x:v>
      </x:c>
      <x:c r="N39" t="str">
        <x:v>Unverified</x:v>
      </x:c>
    </x:row>
    <x:row r="40">
      <x:c r="A40" t="str">
        <x:v>B05-A07</x:v>
      </x:c>
      <x:c r="B40" t="str">
        <x:v>BHS-SLQ</x:v>
      </x:c>
      <x:c r="C40" t="str">
        <x:v>Coating</x:v>
      </x:c>
      <x:c r="D40" t="str">
        <x:v>m2</x:v>
      </x:c>
      <x:c r="E40" s="8"/>
      <x:c r="F40" s="8"/>
      <x:c r="G40" s="8"/>
      <x:c r="H40" t="str">
        <x:v>Coating</x:v>
      </x:c>
      <x:c r="I40" t="str">
        <x:f>IF(OR(E40="",F40="",F40&lt;=0),"",E40/F40)</x:f>
      </x:c>
      <x:c r="J40" s="8"/>
      <x:c r="K40" t="str">
        <x:f>IF(OR(I40="",J40=""),"",I40-J40)</x:f>
      </x:c>
      <x:c r="L40" s="8"/>
      <x:c r="M40" t="str">
        <x:f>IF(E40="","",MAX(0,E40-IF(L40="",0,L40)))</x:f>
      </x:c>
      <x:c r="N40" t="str">
        <x:v>Unverified</x:v>
      </x:c>
    </x:row>
    <x:row r="41">
      <x:c r="A41" t="str">
        <x:v>B05-A08</x:v>
      </x:c>
      <x:c r="B41" t="str">
        <x:v>BHS-SLQ</x:v>
      </x:c>
      <x:c r="C41" t="str">
        <x:v>Completion &amp; acceptance</x:v>
      </x:c>
      <x:c r="D41" t="str">
        <x:v>work packs</x:v>
      </x:c>
      <x:c r="E41" s="8"/>
      <x:c r="F41" s="8"/>
      <x:c r="G41" s="8"/>
      <x:c r="H41" t="str">
        <x:v>QA</x:v>
      </x:c>
      <x:c r="I41" t="str">
        <x:f>IF(OR(E41="",F41="",F41&lt;=0),"",E41/F41)</x:f>
      </x:c>
      <x:c r="J41" s="8"/>
      <x:c r="K41" t="str">
        <x:f>IF(OR(I41="",J41=""),"",I41-J41)</x:f>
      </x:c>
      <x:c r="L41" s="8"/>
      <x:c r="M41" t="str">
        <x:f>IF(E41="","",MAX(0,E41-IF(L41="",0,L41)))</x:f>
      </x:c>
      <x:c r="N41" t="str">
        <x:v>Unverified</x:v>
      </x:c>
    </x:row>
    <x:row r="42">
      <x:c r="A42" t="str">
        <x:v>B06-A01</x:v>
      </x:c>
      <x:c r="B42" t="str">
        <x:v>SLQ-WIS</x:v>
      </x:c>
      <x:c r="C42" t="str">
        <x:v>Survey &amp; access</x:v>
      </x:c>
      <x:c r="D42" t="str">
        <x:v>locations</x:v>
      </x:c>
      <x:c r="E42" s="8"/>
      <x:c r="F42" s="8"/>
      <x:c r="G42" s="8"/>
      <x:c r="H42" t="str">
        <x:v>Survey</x:v>
      </x:c>
      <x:c r="I42" t="str">
        <x:f>IF(OR(E42="",F42="",F42&lt;=0),"",E42/F42)</x:f>
      </x:c>
      <x:c r="J42" s="8"/>
      <x:c r="K42" t="str">
        <x:f>IF(OR(I42="",J42=""),"",I42-J42)</x:f>
      </x:c>
      <x:c r="L42" s="8"/>
      <x:c r="M42" t="str">
        <x:f>IF(E42="","",MAX(0,E42-IF(L42="",0,L42)))</x:f>
      </x:c>
      <x:c r="N42" t="str">
        <x:v>Unverified</x:v>
      </x:c>
    </x:row>
    <x:row r="43">
      <x:c r="A43" t="str">
        <x:v>B06-A02</x:v>
      </x:c>
      <x:c r="B43" t="str">
        <x:v>SLQ-WIS</x:v>
      </x:c>
      <x:c r="C43" t="str">
        <x:v>Temporary works</x:v>
      </x:c>
      <x:c r="D43" t="str">
        <x:v>assemblies</x:v>
      </x:c>
      <x:c r="E43" s="8"/>
      <x:c r="F43" s="8"/>
      <x:c r="G43" s="8"/>
      <x:c r="H43" t="str">
        <x:v>Structural</x:v>
      </x:c>
      <x:c r="I43" t="str">
        <x:f>IF(OR(E43="",F43="",F43&lt;=0),"",E43/F43)</x:f>
      </x:c>
      <x:c r="J43" s="8"/>
      <x:c r="K43" t="str">
        <x:f>IF(OR(I43="",J43=""),"",I43-J43)</x:f>
      </x:c>
      <x:c r="L43" s="8"/>
      <x:c r="M43" t="str">
        <x:f>IF(E43="","",MAX(0,E43-IF(L43="",0,L43)))</x:f>
      </x:c>
      <x:c r="N43" t="str">
        <x:v>Unverified</x:v>
      </x:c>
    </x:row>
    <x:row r="44">
      <x:c r="A44" t="str">
        <x:v>B06-A03</x:v>
      </x:c>
      <x:c r="B44" t="str">
        <x:v>SLQ-WIS</x:v>
      </x:c>
      <x:c r="C44" t="str">
        <x:v>Shop fabrication</x:v>
      </x:c>
      <x:c r="D44" t="str">
        <x:v>MT</x:v>
      </x:c>
      <x:c r="E44" s="8"/>
      <x:c r="F44" s="8"/>
      <x:c r="G44" s="8"/>
      <x:c r="H44" t="str">
        <x:v>Fabrication</x:v>
      </x:c>
      <x:c r="I44" t="str">
        <x:f>IF(OR(E44="",F44="",F44&lt;=0),"",E44/F44)</x:f>
      </x:c>
      <x:c r="J44" s="8"/>
      <x:c r="K44" t="str">
        <x:f>IF(OR(I44="",J44=""),"",I44-J44)</x:f>
      </x:c>
      <x:c r="L44" s="8"/>
      <x:c r="M44" t="str">
        <x:f>IF(E44="","",MAX(0,E44-IF(L44="",0,L44)))</x:f>
      </x:c>
      <x:c r="N44" t="str">
        <x:v>Unverified</x:v>
      </x:c>
    </x:row>
    <x:row r="45">
      <x:c r="A45" t="str">
        <x:v>B06-A04</x:v>
      </x:c>
      <x:c r="B45" t="str">
        <x:v>SLQ-WIS</x:v>
      </x:c>
      <x:c r="C45" t="str">
        <x:v>Offshore steel installation</x:v>
      </x:c>
      <x:c r="D45" t="str">
        <x:v>MT</x:v>
      </x:c>
      <x:c r="E45" s="8"/>
      <x:c r="F45" s="8"/>
      <x:c r="G45" s="8"/>
      <x:c r="H45" t="str">
        <x:v>Structural</x:v>
      </x:c>
      <x:c r="I45" t="str">
        <x:f>IF(OR(E45="",F45="",F45&lt;=0),"",E45/F45)</x:f>
      </x:c>
      <x:c r="J45" s="8"/>
      <x:c r="K45" t="str">
        <x:f>IF(OR(I45="",J45=""),"",I45-J45)</x:f>
      </x:c>
      <x:c r="L45" s="8"/>
      <x:c r="M45" t="str">
        <x:f>IF(E45="","",MAX(0,E45-IF(L45="",0,L45)))</x:f>
      </x:c>
      <x:c r="N45" t="str">
        <x:v>Unverified</x:v>
      </x:c>
    </x:row>
    <x:row r="46">
      <x:c r="A46" t="str">
        <x:v>B06-A05</x:v>
      </x:c>
      <x:c r="B46" t="str">
        <x:v>SLQ-WIS</x:v>
      </x:c>
      <x:c r="C46" t="str">
        <x:v>Offshore weld/NDT</x:v>
      </x:c>
      <x:c r="D46" t="str">
        <x:v>weld-m</x:v>
      </x:c>
      <x:c r="E46" s="8"/>
      <x:c r="F46" s="8"/>
      <x:c r="G46" s="8"/>
      <x:c r="H46" t="str">
        <x:v>Welding</x:v>
      </x:c>
      <x:c r="I46" t="str">
        <x:f>IF(OR(E46="",F46="",F46&lt;=0),"",E46/F46)</x:f>
      </x:c>
      <x:c r="J46" s="8"/>
      <x:c r="K46" t="str">
        <x:f>IF(OR(I46="",J46=""),"",I46-J46)</x:f>
      </x:c>
      <x:c r="L46" s="8"/>
      <x:c r="M46" t="str">
        <x:f>IF(E46="","",MAX(0,E46-IF(L46="",0,L46)))</x:f>
      </x:c>
      <x:c r="N46" t="str">
        <x:v>Unverified</x:v>
      </x:c>
    </x:row>
    <x:row r="47">
      <x:c r="A47" t="str">
        <x:v>B06-A06</x:v>
      </x:c>
      <x:c r="B47" t="str">
        <x:v>SLQ-WIS</x:v>
      </x:c>
      <x:c r="C47" t="str">
        <x:v>Demolition</x:v>
      </x:c>
      <x:c r="D47" t="str">
        <x:v>MT</x:v>
      </x:c>
      <x:c r="E47" s="8" t="n">
        <x:v>15</x:v>
      </x:c>
      <x:c r="F47" s="8"/>
      <x:c r="G47" s="8"/>
      <x:c r="H47" t="str">
        <x:v>Demolition</x:v>
      </x:c>
      <x:c r="I47" t="str">
        <x:f>IF(OR(E47="",F47="",F47&lt;=0),"",E47/F47)</x:f>
      </x:c>
      <x:c r="J47" s="8"/>
      <x:c r="K47" t="str">
        <x:f>IF(OR(I47="",J47=""),"",I47-J47)</x:f>
      </x:c>
      <x:c r="L47" s="8"/>
      <x:c r="M47" t="n">
        <x:f>IF(E47="","",MAX(0,E47-IF(L47="",0,L47)))</x:f>
        <x:v>15</x:v>
      </x:c>
      <x:c r="N47" t="str">
        <x:v>Unverified</x:v>
      </x:c>
    </x:row>
    <x:row r="48">
      <x:c r="A48" t="str">
        <x:v>B06-A07</x:v>
      </x:c>
      <x:c r="B48" t="str">
        <x:v>SLQ-WIS</x:v>
      </x:c>
      <x:c r="C48" t="str">
        <x:v>Coating</x:v>
      </x:c>
      <x:c r="D48" t="str">
        <x:v>m2</x:v>
      </x:c>
      <x:c r="E48" s="8"/>
      <x:c r="F48" s="8"/>
      <x:c r="G48" s="8"/>
      <x:c r="H48" t="str">
        <x:v>Coating</x:v>
      </x:c>
      <x:c r="I48" t="str">
        <x:f>IF(OR(E48="",F48="",F48&lt;=0),"",E48/F48)</x:f>
      </x:c>
      <x:c r="J48" s="8"/>
      <x:c r="K48" t="str">
        <x:f>IF(OR(I48="",J48=""),"",I48-J48)</x:f>
      </x:c>
      <x:c r="L48" s="8"/>
      <x:c r="M48" t="str">
        <x:f>IF(E48="","",MAX(0,E48-IF(L48="",0,L48)))</x:f>
      </x:c>
      <x:c r="N48" t="str">
        <x:v>Unverified</x:v>
      </x:c>
    </x:row>
    <x:row r="49">
      <x:c r="A49" t="str">
        <x:v>B06-A08</x:v>
      </x:c>
      <x:c r="B49" t="str">
        <x:v>SLQ-WIS</x:v>
      </x:c>
      <x:c r="C49" t="str">
        <x:v>Completion &amp; acceptance</x:v>
      </x:c>
      <x:c r="D49" t="str">
        <x:v>work packs</x:v>
      </x:c>
      <x:c r="E49" s="8"/>
      <x:c r="F49" s="8"/>
      <x:c r="G49" s="8"/>
      <x:c r="H49" t="str">
        <x:v>QA</x:v>
      </x:c>
      <x:c r="I49" t="str">
        <x:f>IF(OR(E49="",F49="",F49&lt;=0),"",E49/F49)</x:f>
      </x:c>
      <x:c r="J49" s="8"/>
      <x:c r="K49" t="str">
        <x:f>IF(OR(I49="",J49=""),"",I49-J49)</x:f>
      </x:c>
      <x:c r="L49" s="8"/>
      <x:c r="M49" t="str">
        <x:f>IF(E49="","",MAX(0,E49-IF(L49="",0,L49)))</x:f>
      </x:c>
      <x:c r="N49" t="str">
        <x:v>Unverified</x:v>
      </x:c>
    </x:row>
    <x:row r="50">
      <x:c r="A50" t="str">
        <x:v>B07-A01</x:v>
      </x:c>
      <x:c r="B50" t="str">
        <x:v>NQO-NQD</x:v>
      </x:c>
      <x:c r="C50" t="str">
        <x:v>Survey &amp; access</x:v>
      </x:c>
      <x:c r="D50" t="str">
        <x:v>locations</x:v>
      </x:c>
      <x:c r="E50" s="8"/>
      <x:c r="F50" s="8"/>
      <x:c r="G50" s="8"/>
      <x:c r="H50" t="str">
        <x:v>Survey</x:v>
      </x:c>
      <x:c r="I50" t="str">
        <x:f>IF(OR(E50="",F50="",F50&lt;=0),"",E50/F50)</x:f>
      </x:c>
      <x:c r="J50" s="8"/>
      <x:c r="K50" t="str">
        <x:f>IF(OR(I50="",J50=""),"",I50-J50)</x:f>
      </x:c>
      <x:c r="L50" s="8"/>
      <x:c r="M50" t="str">
        <x:f>IF(E50="","",MAX(0,E50-IF(L50="",0,L50)))</x:f>
      </x:c>
      <x:c r="N50" t="str">
        <x:v>Unverified</x:v>
      </x:c>
    </x:row>
    <x:row r="51">
      <x:c r="A51" t="str">
        <x:v>B07-A02</x:v>
      </x:c>
      <x:c r="B51" t="str">
        <x:v>NQO-NQD</x:v>
      </x:c>
      <x:c r="C51" t="str">
        <x:v>Temporary works</x:v>
      </x:c>
      <x:c r="D51" t="str">
        <x:v>assemblies</x:v>
      </x:c>
      <x:c r="E51" s="8"/>
      <x:c r="F51" s="8"/>
      <x:c r="G51" s="8"/>
      <x:c r="H51" t="str">
        <x:v>Structural</x:v>
      </x:c>
      <x:c r="I51" t="str">
        <x:f>IF(OR(E51="",F51="",F51&lt;=0),"",E51/F51)</x:f>
      </x:c>
      <x:c r="J51" s="8"/>
      <x:c r="K51" t="str">
        <x:f>IF(OR(I51="",J51=""),"",I51-J51)</x:f>
      </x:c>
      <x:c r="L51" s="8"/>
      <x:c r="M51" t="str">
        <x:f>IF(E51="","",MAX(0,E51-IF(L51="",0,L51)))</x:f>
      </x:c>
      <x:c r="N51" t="str">
        <x:v>Unverified</x:v>
      </x:c>
    </x:row>
    <x:row r="52">
      <x:c r="A52" t="str">
        <x:v>B07-A03</x:v>
      </x:c>
      <x:c r="B52" t="str">
        <x:v>NQO-NQD</x:v>
      </x:c>
      <x:c r="C52" t="str">
        <x:v>Shop fabrication</x:v>
      </x:c>
      <x:c r="D52" t="str">
        <x:v>MT</x:v>
      </x:c>
      <x:c r="E52" s="8"/>
      <x:c r="F52" s="8"/>
      <x:c r="G52" s="8"/>
      <x:c r="H52" t="str">
        <x:v>Fabrication</x:v>
      </x:c>
      <x:c r="I52" t="str">
        <x:f>IF(OR(E52="",F52="",F52&lt;=0),"",E52/F52)</x:f>
      </x:c>
      <x:c r="J52" s="8"/>
      <x:c r="K52" t="str">
        <x:f>IF(OR(I52="",J52=""),"",I52-J52)</x:f>
      </x:c>
      <x:c r="L52" s="8"/>
      <x:c r="M52" t="str">
        <x:f>IF(E52="","",MAX(0,E52-IF(L52="",0,L52)))</x:f>
      </x:c>
      <x:c r="N52" t="str">
        <x:v>Unverified</x:v>
      </x:c>
    </x:row>
    <x:row r="53">
      <x:c r="A53" t="str">
        <x:v>B07-A04</x:v>
      </x:c>
      <x:c r="B53" t="str">
        <x:v>NQO-NQD</x:v>
      </x:c>
      <x:c r="C53" t="str">
        <x:v>Offshore steel installation</x:v>
      </x:c>
      <x:c r="D53" t="str">
        <x:v>MT</x:v>
      </x:c>
      <x:c r="E53" s="8"/>
      <x:c r="F53" s="8"/>
      <x:c r="G53" s="8"/>
      <x:c r="H53" t="str">
        <x:v>Structural</x:v>
      </x:c>
      <x:c r="I53" t="str">
        <x:f>IF(OR(E53="",F53="",F53&lt;=0),"",E53/F53)</x:f>
      </x:c>
      <x:c r="J53" s="8"/>
      <x:c r="K53" t="str">
        <x:f>IF(OR(I53="",J53=""),"",I53-J53)</x:f>
      </x:c>
      <x:c r="L53" s="8"/>
      <x:c r="M53" t="str">
        <x:f>IF(E53="","",MAX(0,E53-IF(L53="",0,L53)))</x:f>
      </x:c>
      <x:c r="N53" t="str">
        <x:v>Unverified</x:v>
      </x:c>
    </x:row>
    <x:row r="54">
      <x:c r="A54" t="str">
        <x:v>B07-A05</x:v>
      </x:c>
      <x:c r="B54" t="str">
        <x:v>NQO-NQD</x:v>
      </x:c>
      <x:c r="C54" t="str">
        <x:v>Offshore weld/NDT</x:v>
      </x:c>
      <x:c r="D54" t="str">
        <x:v>weld-m</x:v>
      </x:c>
      <x:c r="E54" s="8"/>
      <x:c r="F54" s="8"/>
      <x:c r="G54" s="8"/>
      <x:c r="H54" t="str">
        <x:v>Welding</x:v>
      </x:c>
      <x:c r="I54" t="str">
        <x:f>IF(OR(E54="",F54="",F54&lt;=0),"",E54/F54)</x:f>
      </x:c>
      <x:c r="J54" s="8"/>
      <x:c r="K54" t="str">
        <x:f>IF(OR(I54="",J54=""),"",I54-J54)</x:f>
      </x:c>
      <x:c r="L54" s="8"/>
      <x:c r="M54" t="str">
        <x:f>IF(E54="","",MAX(0,E54-IF(L54="",0,L54)))</x:f>
      </x:c>
      <x:c r="N54" t="str">
        <x:v>Unverified</x:v>
      </x:c>
    </x:row>
    <x:row r="55">
      <x:c r="A55" t="str">
        <x:v>B07-A06</x:v>
      </x:c>
      <x:c r="B55" t="str">
        <x:v>NQO-NQD</x:v>
      </x:c>
      <x:c r="C55" t="str">
        <x:v>Demolition</x:v>
      </x:c>
      <x:c r="D55" t="str">
        <x:v>MT</x:v>
      </x:c>
      <x:c r="E55" s="8" t="n">
        <x:v>25</x:v>
      </x:c>
      <x:c r="F55" s="8"/>
      <x:c r="G55" s="8"/>
      <x:c r="H55" t="str">
        <x:v>Demolition</x:v>
      </x:c>
      <x:c r="I55" t="str">
        <x:f>IF(OR(E55="",F55="",F55&lt;=0),"",E55/F55)</x:f>
      </x:c>
      <x:c r="J55" s="8"/>
      <x:c r="K55" t="str">
        <x:f>IF(OR(I55="",J55=""),"",I55-J55)</x:f>
      </x:c>
      <x:c r="L55" s="8"/>
      <x:c r="M55" t="n">
        <x:f>IF(E55="","",MAX(0,E55-IF(L55="",0,L55)))</x:f>
        <x:v>25</x:v>
      </x:c>
      <x:c r="N55" t="str">
        <x:v>Unverified</x:v>
      </x:c>
    </x:row>
    <x:row r="56">
      <x:c r="A56" t="str">
        <x:v>B07-A07</x:v>
      </x:c>
      <x:c r="B56" t="str">
        <x:v>NQO-NQD</x:v>
      </x:c>
      <x:c r="C56" t="str">
        <x:v>Coating</x:v>
      </x:c>
      <x:c r="D56" t="str">
        <x:v>m2</x:v>
      </x:c>
      <x:c r="E56" s="8"/>
      <x:c r="F56" s="8"/>
      <x:c r="G56" s="8"/>
      <x:c r="H56" t="str">
        <x:v>Coating</x:v>
      </x:c>
      <x:c r="I56" t="str">
        <x:f>IF(OR(E56="",F56="",F56&lt;=0),"",E56/F56)</x:f>
      </x:c>
      <x:c r="J56" s="8"/>
      <x:c r="K56" t="str">
        <x:f>IF(OR(I56="",J56=""),"",I56-J56)</x:f>
      </x:c>
      <x:c r="L56" s="8"/>
      <x:c r="M56" t="str">
        <x:f>IF(E56="","",MAX(0,E56-IF(L56="",0,L56)))</x:f>
      </x:c>
      <x:c r="N56" t="str">
        <x:v>Unverified</x:v>
      </x:c>
    </x:row>
    <x:row r="57">
      <x:c r="A57" t="str">
        <x:v>B07-A08</x:v>
      </x:c>
      <x:c r="B57" t="str">
        <x:v>NQO-NQD</x:v>
      </x:c>
      <x:c r="C57" t="str">
        <x:v>Completion &amp; acceptance</x:v>
      </x:c>
      <x:c r="D57" t="str">
        <x:v>work packs</x:v>
      </x:c>
      <x:c r="E57" s="8"/>
      <x:c r="F57" s="8"/>
      <x:c r="G57" s="8"/>
      <x:c r="H57" t="str">
        <x:v>QA</x:v>
      </x:c>
      <x:c r="I57" t="str">
        <x:f>IF(OR(E57="",F57="",F57&lt;=0),"",E57/F57)</x:f>
      </x:c>
      <x:c r="J57" s="8"/>
      <x:c r="K57" t="str">
        <x:f>IF(OR(I57="",J57=""),"",I57-J57)</x:f>
      </x:c>
      <x:c r="L57" s="8"/>
      <x:c r="M57" t="str">
        <x:f>IF(E57="","",MAX(0,E57-IF(L57="",0,L57)))</x:f>
      </x:c>
      <x:c r="N57" t="str">
        <x:v>Unverified</x:v>
      </x:c>
    </x:row>
    <x:row r="58">
      <x:c r="A58" t="str">
        <x:v>B08-A01</x:v>
      </x:c>
      <x:c r="B58" t="str">
        <x:v>WIN-NC</x:v>
      </x:c>
      <x:c r="C58" t="str">
        <x:v>Survey &amp; access</x:v>
      </x:c>
      <x:c r="D58" t="str">
        <x:v>locations</x:v>
      </x:c>
      <x:c r="E58" s="8"/>
      <x:c r="F58" s="8"/>
      <x:c r="G58" s="8"/>
      <x:c r="H58" t="str">
        <x:v>Survey</x:v>
      </x:c>
      <x:c r="I58" t="str">
        <x:f>IF(OR(E58="",F58="",F58&lt;=0),"",E58/F58)</x:f>
      </x:c>
      <x:c r="J58" s="8"/>
      <x:c r="K58" t="str">
        <x:f>IF(OR(I58="",J58=""),"",I58-J58)</x:f>
      </x:c>
      <x:c r="L58" s="8"/>
      <x:c r="M58" t="str">
        <x:f>IF(E58="","",MAX(0,E58-IF(L58="",0,L58)))</x:f>
      </x:c>
      <x:c r="N58" t="str">
        <x:v>Unverified</x:v>
      </x:c>
    </x:row>
    <x:row r="59">
      <x:c r="A59" t="str">
        <x:v>B08-A02</x:v>
      </x:c>
      <x:c r="B59" t="str">
        <x:v>WIN-NC</x:v>
      </x:c>
      <x:c r="C59" t="str">
        <x:v>Temporary works</x:v>
      </x:c>
      <x:c r="D59" t="str">
        <x:v>assemblies</x:v>
      </x:c>
      <x:c r="E59" s="8"/>
      <x:c r="F59" s="8"/>
      <x:c r="G59" s="8"/>
      <x:c r="H59" t="str">
        <x:v>Structural</x:v>
      </x:c>
      <x:c r="I59" t="str">
        <x:f>IF(OR(E59="",F59="",F59&lt;=0),"",E59/F59)</x:f>
      </x:c>
      <x:c r="J59" s="8"/>
      <x:c r="K59" t="str">
        <x:f>IF(OR(I59="",J59=""),"",I59-J59)</x:f>
      </x:c>
      <x:c r="L59" s="8"/>
      <x:c r="M59" t="str">
        <x:f>IF(E59="","",MAX(0,E59-IF(L59="",0,L59)))</x:f>
      </x:c>
      <x:c r="N59" t="str">
        <x:v>Unverified</x:v>
      </x:c>
    </x:row>
    <x:row r="60">
      <x:c r="A60" t="str">
        <x:v>B08-A03</x:v>
      </x:c>
      <x:c r="B60" t="str">
        <x:v>WIN-NC</x:v>
      </x:c>
      <x:c r="C60" t="str">
        <x:v>Shop fabrication</x:v>
      </x:c>
      <x:c r="D60" t="str">
        <x:v>MT</x:v>
      </x:c>
      <x:c r="E60" s="8"/>
      <x:c r="F60" s="8"/>
      <x:c r="G60" s="8"/>
      <x:c r="H60" t="str">
        <x:v>Fabrication</x:v>
      </x:c>
      <x:c r="I60" t="str">
        <x:f>IF(OR(E60="",F60="",F60&lt;=0),"",E60/F60)</x:f>
      </x:c>
      <x:c r="J60" s="8"/>
      <x:c r="K60" t="str">
        <x:f>IF(OR(I60="",J60=""),"",I60-J60)</x:f>
      </x:c>
      <x:c r="L60" s="8"/>
      <x:c r="M60" t="str">
        <x:f>IF(E60="","",MAX(0,E60-IF(L60="",0,L60)))</x:f>
      </x:c>
      <x:c r="N60" t="str">
        <x:v>Unverified</x:v>
      </x:c>
    </x:row>
    <x:row r="61">
      <x:c r="A61" t="str">
        <x:v>B08-A04</x:v>
      </x:c>
      <x:c r="B61" t="str">
        <x:v>WIN-NC</x:v>
      </x:c>
      <x:c r="C61" t="str">
        <x:v>Offshore steel installation</x:v>
      </x:c>
      <x:c r="D61" t="str">
        <x:v>MT</x:v>
      </x:c>
      <x:c r="E61" s="8"/>
      <x:c r="F61" s="8"/>
      <x:c r="G61" s="8"/>
      <x:c r="H61" t="str">
        <x:v>Structural</x:v>
      </x:c>
      <x:c r="I61" t="str">
        <x:f>IF(OR(E61="",F61="",F61&lt;=0),"",E61/F61)</x:f>
      </x:c>
      <x:c r="J61" s="8"/>
      <x:c r="K61" t="str">
        <x:f>IF(OR(I61="",J61=""),"",I61-J61)</x:f>
      </x:c>
      <x:c r="L61" s="8"/>
      <x:c r="M61" t="str">
        <x:f>IF(E61="","",MAX(0,E61-IF(L61="",0,L61)))</x:f>
      </x:c>
      <x:c r="N61" t="str">
        <x:v>Unverified</x:v>
      </x:c>
    </x:row>
    <x:row r="62">
      <x:c r="A62" t="str">
        <x:v>B08-A05</x:v>
      </x:c>
      <x:c r="B62" t="str">
        <x:v>WIN-NC</x:v>
      </x:c>
      <x:c r="C62" t="str">
        <x:v>Offshore weld/NDT</x:v>
      </x:c>
      <x:c r="D62" t="str">
        <x:v>weld-m</x:v>
      </x:c>
      <x:c r="E62" s="8"/>
      <x:c r="F62" s="8"/>
      <x:c r="G62" s="8"/>
      <x:c r="H62" t="str">
        <x:v>Welding</x:v>
      </x:c>
      <x:c r="I62" t="str">
        <x:f>IF(OR(E62="",F62="",F62&lt;=0),"",E62/F62)</x:f>
      </x:c>
      <x:c r="J62" s="8"/>
      <x:c r="K62" t="str">
        <x:f>IF(OR(I62="",J62=""),"",I62-J62)</x:f>
      </x:c>
      <x:c r="L62" s="8"/>
      <x:c r="M62" t="str">
        <x:f>IF(E62="","",MAX(0,E62-IF(L62="",0,L62)))</x:f>
      </x:c>
      <x:c r="N62" t="str">
        <x:v>Unverified</x:v>
      </x:c>
    </x:row>
    <x:row r="63">
      <x:c r="A63" t="str">
        <x:v>B08-A06</x:v>
      </x:c>
      <x:c r="B63" t="str">
        <x:v>WIN-NC</x:v>
      </x:c>
      <x:c r="C63" t="str">
        <x:v>Demolition</x:v>
      </x:c>
      <x:c r="D63" t="str">
        <x:v>MT</x:v>
      </x:c>
      <x:c r="E63" s="8" t="n">
        <x:v>10</x:v>
      </x:c>
      <x:c r="F63" s="8"/>
      <x:c r="G63" s="8"/>
      <x:c r="H63" t="str">
        <x:v>Demolition</x:v>
      </x:c>
      <x:c r="I63" t="str">
        <x:f>IF(OR(E63="",F63="",F63&lt;=0),"",E63/F63)</x:f>
      </x:c>
      <x:c r="J63" s="8"/>
      <x:c r="K63" t="str">
        <x:f>IF(OR(I63="",J63=""),"",I63-J63)</x:f>
      </x:c>
      <x:c r="L63" s="8"/>
      <x:c r="M63" t="n">
        <x:f>IF(E63="","",MAX(0,E63-IF(L63="",0,L63)))</x:f>
        <x:v>10</x:v>
      </x:c>
      <x:c r="N63" t="str">
        <x:v>Unverified</x:v>
      </x:c>
    </x:row>
    <x:row r="64">
      <x:c r="A64" t="str">
        <x:v>B08-A07</x:v>
      </x:c>
      <x:c r="B64" t="str">
        <x:v>WIN-NC</x:v>
      </x:c>
      <x:c r="C64" t="str">
        <x:v>Coating</x:v>
      </x:c>
      <x:c r="D64" t="str">
        <x:v>m2</x:v>
      </x:c>
      <x:c r="E64" s="8"/>
      <x:c r="F64" s="8"/>
      <x:c r="G64" s="8"/>
      <x:c r="H64" t="str">
        <x:v>Coating</x:v>
      </x:c>
      <x:c r="I64" t="str">
        <x:f>IF(OR(E64="",F64="",F64&lt;=0),"",E64/F64)</x:f>
      </x:c>
      <x:c r="J64" s="8"/>
      <x:c r="K64" t="str">
        <x:f>IF(OR(I64="",J64=""),"",I64-J64)</x:f>
      </x:c>
      <x:c r="L64" s="8"/>
      <x:c r="M64" t="str">
        <x:f>IF(E64="","",MAX(0,E64-IF(L64="",0,L64)))</x:f>
      </x:c>
      <x:c r="N64" t="str">
        <x:v>Unverified</x:v>
      </x:c>
    </x:row>
    <x:row r="65">
      <x:c r="A65" t="str">
        <x:v>B08-A08</x:v>
      </x:c>
      <x:c r="B65" t="str">
        <x:v>WIN-NC</x:v>
      </x:c>
      <x:c r="C65" t="str">
        <x:v>Completion &amp; acceptance</x:v>
      </x:c>
      <x:c r="D65" t="str">
        <x:v>work packs</x:v>
      </x:c>
      <x:c r="E65" s="8"/>
      <x:c r="F65" s="8"/>
      <x:c r="G65" s="8"/>
      <x:c r="H65" t="str">
        <x:v>QA</x:v>
      </x:c>
      <x:c r="I65" t="str">
        <x:f>IF(OR(E65="",F65="",F65&lt;=0),"",E65/F65)</x:f>
      </x:c>
      <x:c r="J65" s="8"/>
      <x:c r="K65" t="str">
        <x:f>IF(OR(I65="",J65=""),"",I65-J65)</x:f>
      </x:c>
      <x:c r="L65" s="8"/>
      <x:c r="M65" t="str">
        <x:f>IF(E65="","",MAX(0,E65-IF(L65="",0,L65)))</x:f>
      </x:c>
      <x:c r="N65" t="str">
        <x:v>Unverified</x:v>
      </x:c>
    </x:row>
    <x:row r="66">
      <x:c r="A66" t="str">
        <x:v>B09-A01</x:v>
      </x:c>
      <x:c r="B66" t="str">
        <x:v>SCA-SC1</x:v>
      </x:c>
      <x:c r="C66" t="str">
        <x:v>Survey &amp; access</x:v>
      </x:c>
      <x:c r="D66" t="str">
        <x:v>locations</x:v>
      </x:c>
      <x:c r="E66" s="8"/>
      <x:c r="F66" s="8"/>
      <x:c r="G66" s="8"/>
      <x:c r="H66" t="str">
        <x:v>Survey</x:v>
      </x:c>
      <x:c r="I66" t="str">
        <x:f>IF(OR(E66="",F66="",F66&lt;=0),"",E66/F66)</x:f>
      </x:c>
      <x:c r="J66" s="8"/>
      <x:c r="K66" t="str">
        <x:f>IF(OR(I66="",J66=""),"",I66-J66)</x:f>
      </x:c>
      <x:c r="L66" s="8"/>
      <x:c r="M66" t="str">
        <x:f>IF(E66="","",MAX(0,E66-IF(L66="",0,L66)))</x:f>
      </x:c>
      <x:c r="N66" t="str">
        <x:v>Unverified</x:v>
      </x:c>
    </x:row>
    <x:row r="67">
      <x:c r="A67" t="str">
        <x:v>B09-A02</x:v>
      </x:c>
      <x:c r="B67" t="str">
        <x:v>SCA-SC1</x:v>
      </x:c>
      <x:c r="C67" t="str">
        <x:v>Temporary works</x:v>
      </x:c>
      <x:c r="D67" t="str">
        <x:v>assemblies</x:v>
      </x:c>
      <x:c r="E67" s="8"/>
      <x:c r="F67" s="8"/>
      <x:c r="G67" s="8"/>
      <x:c r="H67" t="str">
        <x:v>Structural</x:v>
      </x:c>
      <x:c r="I67" t="str">
        <x:f>IF(OR(E67="",F67="",F67&lt;=0),"",E67/F67)</x:f>
      </x:c>
      <x:c r="J67" s="8"/>
      <x:c r="K67" t="str">
        <x:f>IF(OR(I67="",J67=""),"",I67-J67)</x:f>
      </x:c>
      <x:c r="L67" s="8"/>
      <x:c r="M67" t="str">
        <x:f>IF(E67="","",MAX(0,E67-IF(L67="",0,L67)))</x:f>
      </x:c>
      <x:c r="N67" t="str">
        <x:v>Unverified</x:v>
      </x:c>
    </x:row>
    <x:row r="68">
      <x:c r="A68" t="str">
        <x:v>B09-A03</x:v>
      </x:c>
      <x:c r="B68" t="str">
        <x:v>SCA-SC1</x:v>
      </x:c>
      <x:c r="C68" t="str">
        <x:v>Shop fabrication</x:v>
      </x:c>
      <x:c r="D68" t="str">
        <x:v>MT</x:v>
      </x:c>
      <x:c r="E68" s="8"/>
      <x:c r="F68" s="8"/>
      <x:c r="G68" s="8"/>
      <x:c r="H68" t="str">
        <x:v>Fabrication</x:v>
      </x:c>
      <x:c r="I68" t="str">
        <x:f>IF(OR(E68="",F68="",F68&lt;=0),"",E68/F68)</x:f>
      </x:c>
      <x:c r="J68" s="8"/>
      <x:c r="K68" t="str">
        <x:f>IF(OR(I68="",J68=""),"",I68-J68)</x:f>
      </x:c>
      <x:c r="L68" s="8"/>
      <x:c r="M68" t="str">
        <x:f>IF(E68="","",MAX(0,E68-IF(L68="",0,L68)))</x:f>
      </x:c>
      <x:c r="N68" t="str">
        <x:v>Unverified</x:v>
      </x:c>
    </x:row>
    <x:row r="69">
      <x:c r="A69" t="str">
        <x:v>B09-A04</x:v>
      </x:c>
      <x:c r="B69" t="str">
        <x:v>SCA-SC1</x:v>
      </x:c>
      <x:c r="C69" t="str">
        <x:v>Offshore steel installation</x:v>
      </x:c>
      <x:c r="D69" t="str">
        <x:v>MT</x:v>
      </x:c>
      <x:c r="E69" s="8"/>
      <x:c r="F69" s="8"/>
      <x:c r="G69" s="8"/>
      <x:c r="H69" t="str">
        <x:v>Structural</x:v>
      </x:c>
      <x:c r="I69" t="str">
        <x:f>IF(OR(E69="",F69="",F69&lt;=0),"",E69/F69)</x:f>
      </x:c>
      <x:c r="J69" s="8"/>
      <x:c r="K69" t="str">
        <x:f>IF(OR(I69="",J69=""),"",I69-J69)</x:f>
      </x:c>
      <x:c r="L69" s="8"/>
      <x:c r="M69" t="str">
        <x:f>IF(E69="","",MAX(0,E69-IF(L69="",0,L69)))</x:f>
      </x:c>
      <x:c r="N69" t="str">
        <x:v>Unverified</x:v>
      </x:c>
    </x:row>
    <x:row r="70">
      <x:c r="A70" t="str">
        <x:v>B09-A05</x:v>
      </x:c>
      <x:c r="B70" t="str">
        <x:v>SCA-SC1</x:v>
      </x:c>
      <x:c r="C70" t="str">
        <x:v>Offshore weld/NDT</x:v>
      </x:c>
      <x:c r="D70" t="str">
        <x:v>weld-m</x:v>
      </x:c>
      <x:c r="E70" s="8"/>
      <x:c r="F70" s="8"/>
      <x:c r="G70" s="8"/>
      <x:c r="H70" t="str">
        <x:v>Welding</x:v>
      </x:c>
      <x:c r="I70" t="str">
        <x:f>IF(OR(E70="",F70="",F70&lt;=0),"",E70/F70)</x:f>
      </x:c>
      <x:c r="J70" s="8"/>
      <x:c r="K70" t="str">
        <x:f>IF(OR(I70="",J70=""),"",I70-J70)</x:f>
      </x:c>
      <x:c r="L70" s="8"/>
      <x:c r="M70" t="str">
        <x:f>IF(E70="","",MAX(0,E70-IF(L70="",0,L70)))</x:f>
      </x:c>
      <x:c r="N70" t="str">
        <x:v>Unverified</x:v>
      </x:c>
    </x:row>
    <x:row r="71">
      <x:c r="A71" t="str">
        <x:v>B09-A06</x:v>
      </x:c>
      <x:c r="B71" t="str">
        <x:v>SCA-SC1</x:v>
      </x:c>
      <x:c r="C71" t="str">
        <x:v>Demolition</x:v>
      </x:c>
      <x:c r="D71" t="str">
        <x:v>MT</x:v>
      </x:c>
      <x:c r="E71" s="8" t="n">
        <x:v>15</x:v>
      </x:c>
      <x:c r="F71" s="8"/>
      <x:c r="G71" s="8"/>
      <x:c r="H71" t="str">
        <x:v>Demolition</x:v>
      </x:c>
      <x:c r="I71" t="str">
        <x:f>IF(OR(E71="",F71="",F71&lt;=0),"",E71/F71)</x:f>
      </x:c>
      <x:c r="J71" s="8"/>
      <x:c r="K71" t="str">
        <x:f>IF(OR(I71="",J71=""),"",I71-J71)</x:f>
      </x:c>
      <x:c r="L71" s="8"/>
      <x:c r="M71" t="n">
        <x:f>IF(E71="","",MAX(0,E71-IF(L71="",0,L71)))</x:f>
        <x:v>15</x:v>
      </x:c>
      <x:c r="N71" t="str">
        <x:v>Unverified</x:v>
      </x:c>
    </x:row>
    <x:row r="72">
      <x:c r="A72" t="str">
        <x:v>B09-A07</x:v>
      </x:c>
      <x:c r="B72" t="str">
        <x:v>SCA-SC1</x:v>
      </x:c>
      <x:c r="C72" t="str">
        <x:v>Coating</x:v>
      </x:c>
      <x:c r="D72" t="str">
        <x:v>m2</x:v>
      </x:c>
      <x:c r="E72" s="8"/>
      <x:c r="F72" s="8"/>
      <x:c r="G72" s="8"/>
      <x:c r="H72" t="str">
        <x:v>Coating</x:v>
      </x:c>
      <x:c r="I72" t="str">
        <x:f>IF(OR(E72="",F72="",F72&lt;=0),"",E72/F72)</x:f>
      </x:c>
      <x:c r="J72" s="8"/>
      <x:c r="K72" t="str">
        <x:f>IF(OR(I72="",J72=""),"",I72-J72)</x:f>
      </x:c>
      <x:c r="L72" s="8"/>
      <x:c r="M72" t="str">
        <x:f>IF(E72="","",MAX(0,E72-IF(L72="",0,L72)))</x:f>
      </x:c>
      <x:c r="N72" t="str">
        <x:v>Unverified</x:v>
      </x:c>
    </x:row>
    <x:row r="73">
      <x:c r="A73" t="str">
        <x:v>B09-A08</x:v>
      </x:c>
      <x:c r="B73" t="str">
        <x:v>SCA-SC1</x:v>
      </x:c>
      <x:c r="C73" t="str">
        <x:v>Completion &amp; acceptance</x:v>
      </x:c>
      <x:c r="D73" t="str">
        <x:v>work packs</x:v>
      </x:c>
      <x:c r="E73" s="8"/>
      <x:c r="F73" s="8"/>
      <x:c r="G73" s="8"/>
      <x:c r="H73" t="str">
        <x:v>QA</x:v>
      </x:c>
      <x:c r="I73" t="str">
        <x:f>IF(OR(E73="",F73="",F73&lt;=0),"",E73/F73)</x:f>
      </x:c>
      <x:c r="J73" s="8"/>
      <x:c r="K73" t="str">
        <x:f>IF(OR(I73="",J73=""),"",I73-J73)</x:f>
      </x:c>
      <x:c r="L73" s="8"/>
      <x:c r="M73" t="str">
        <x:f>IF(E73="","",MAX(0,E73-IF(L73="",0,L73)))</x:f>
      </x:c>
      <x:c r="N73" t="str">
        <x:v>Unverified</x:v>
      </x:c>
    </x:row>
    <x:row r="74">
      <x:c r="A74" t="str">
        <x:v>B10-A01</x:v>
      </x:c>
      <x:c r="B74" t="str">
        <x:v>SCA-SCF</x:v>
      </x:c>
      <x:c r="C74" t="str">
        <x:v>Survey &amp; access</x:v>
      </x:c>
      <x:c r="D74" t="str">
        <x:v>locations</x:v>
      </x:c>
      <x:c r="E74" s="8"/>
      <x:c r="F74" s="8"/>
      <x:c r="G74" s="8"/>
      <x:c r="H74" t="str">
        <x:v>Survey</x:v>
      </x:c>
      <x:c r="I74" t="str">
        <x:f>IF(OR(E74="",F74="",F74&lt;=0),"",E74/F74)</x:f>
      </x:c>
      <x:c r="J74" s="8"/>
      <x:c r="K74" t="str">
        <x:f>IF(OR(I74="",J74=""),"",I74-J74)</x:f>
      </x:c>
      <x:c r="L74" s="8"/>
      <x:c r="M74" t="str">
        <x:f>IF(E74="","",MAX(0,E74-IF(L74="",0,L74)))</x:f>
      </x:c>
      <x:c r="N74" t="str">
        <x:v>Unverified</x:v>
      </x:c>
    </x:row>
    <x:row r="75">
      <x:c r="A75" t="str">
        <x:v>B10-A02</x:v>
      </x:c>
      <x:c r="B75" t="str">
        <x:v>SCA-SCF</x:v>
      </x:c>
      <x:c r="C75" t="str">
        <x:v>Temporary works</x:v>
      </x:c>
      <x:c r="D75" t="str">
        <x:v>assemblies</x:v>
      </x:c>
      <x:c r="E75" s="8"/>
      <x:c r="F75" s="8"/>
      <x:c r="G75" s="8"/>
      <x:c r="H75" t="str">
        <x:v>Structural</x:v>
      </x:c>
      <x:c r="I75" t="str">
        <x:f>IF(OR(E75="",F75="",F75&lt;=0),"",E75/F75)</x:f>
      </x:c>
      <x:c r="J75" s="8"/>
      <x:c r="K75" t="str">
        <x:f>IF(OR(I75="",J75=""),"",I75-J75)</x:f>
      </x:c>
      <x:c r="L75" s="8"/>
      <x:c r="M75" t="str">
        <x:f>IF(E75="","",MAX(0,E75-IF(L75="",0,L75)))</x:f>
      </x:c>
      <x:c r="N75" t="str">
        <x:v>Unverified</x:v>
      </x:c>
    </x:row>
    <x:row r="76">
      <x:c r="A76" t="str">
        <x:v>B10-A03</x:v>
      </x:c>
      <x:c r="B76" t="str">
        <x:v>SCA-SCF</x:v>
      </x:c>
      <x:c r="C76" t="str">
        <x:v>Shop fabrication</x:v>
      </x:c>
      <x:c r="D76" t="str">
        <x:v>MT</x:v>
      </x:c>
      <x:c r="E76" s="8"/>
      <x:c r="F76" s="8"/>
      <x:c r="G76" s="8"/>
      <x:c r="H76" t="str">
        <x:v>Fabrication</x:v>
      </x:c>
      <x:c r="I76" t="str">
        <x:f>IF(OR(E76="",F76="",F76&lt;=0),"",E76/F76)</x:f>
      </x:c>
      <x:c r="J76" s="8"/>
      <x:c r="K76" t="str">
        <x:f>IF(OR(I76="",J76=""),"",I76-J76)</x:f>
      </x:c>
      <x:c r="L76" s="8"/>
      <x:c r="M76" t="str">
        <x:f>IF(E76="","",MAX(0,E76-IF(L76="",0,L76)))</x:f>
      </x:c>
      <x:c r="N76" t="str">
        <x:v>Unverified</x:v>
      </x:c>
    </x:row>
    <x:row r="77">
      <x:c r="A77" t="str">
        <x:v>B10-A04</x:v>
      </x:c>
      <x:c r="B77" t="str">
        <x:v>SCA-SCF</x:v>
      </x:c>
      <x:c r="C77" t="str">
        <x:v>Offshore steel installation</x:v>
      </x:c>
      <x:c r="D77" t="str">
        <x:v>MT</x:v>
      </x:c>
      <x:c r="E77" s="8"/>
      <x:c r="F77" s="8"/>
      <x:c r="G77" s="8"/>
      <x:c r="H77" t="str">
        <x:v>Structural</x:v>
      </x:c>
      <x:c r="I77" t="str">
        <x:f>IF(OR(E77="",F77="",F77&lt;=0),"",E77/F77)</x:f>
      </x:c>
      <x:c r="J77" s="8"/>
      <x:c r="K77" t="str">
        <x:f>IF(OR(I77="",J77=""),"",I77-J77)</x:f>
      </x:c>
      <x:c r="L77" s="8"/>
      <x:c r="M77" t="str">
        <x:f>IF(E77="","",MAX(0,E77-IF(L77="",0,L77)))</x:f>
      </x:c>
      <x:c r="N77" t="str">
        <x:v>Unverified</x:v>
      </x:c>
    </x:row>
    <x:row r="78">
      <x:c r="A78" t="str">
        <x:v>B10-A05</x:v>
      </x:c>
      <x:c r="B78" t="str">
        <x:v>SCA-SCF</x:v>
      </x:c>
      <x:c r="C78" t="str">
        <x:v>Offshore weld/NDT</x:v>
      </x:c>
      <x:c r="D78" t="str">
        <x:v>weld-m</x:v>
      </x:c>
      <x:c r="E78" s="8"/>
      <x:c r="F78" s="8"/>
      <x:c r="G78" s="8"/>
      <x:c r="H78" t="str">
        <x:v>Welding</x:v>
      </x:c>
      <x:c r="I78" t="str">
        <x:f>IF(OR(E78="",F78="",F78&lt;=0),"",E78/F78)</x:f>
      </x:c>
      <x:c r="J78" s="8"/>
      <x:c r="K78" t="str">
        <x:f>IF(OR(I78="",J78=""),"",I78-J78)</x:f>
      </x:c>
      <x:c r="L78" s="8"/>
      <x:c r="M78" t="str">
        <x:f>IF(E78="","",MAX(0,E78-IF(L78="",0,L78)))</x:f>
      </x:c>
      <x:c r="N78" t="str">
        <x:v>Unverified</x:v>
      </x:c>
    </x:row>
    <x:row r="79">
      <x:c r="A79" t="str">
        <x:v>B10-A06</x:v>
      </x:c>
      <x:c r="B79" t="str">
        <x:v>SCA-SCF</x:v>
      </x:c>
      <x:c r="C79" t="str">
        <x:v>Demolition</x:v>
      </x:c>
      <x:c r="D79" t="str">
        <x:v>MT</x:v>
      </x:c>
      <x:c r="E79" s="8" t="n">
        <x:v>30</x:v>
      </x:c>
      <x:c r="F79" s="8"/>
      <x:c r="G79" s="8"/>
      <x:c r="H79" t="str">
        <x:v>Demolition</x:v>
      </x:c>
      <x:c r="I79" t="str">
        <x:f>IF(OR(E79="",F79="",F79&lt;=0),"",E79/F79)</x:f>
      </x:c>
      <x:c r="J79" s="8"/>
      <x:c r="K79" t="str">
        <x:f>IF(OR(I79="",J79=""),"",I79-J79)</x:f>
      </x:c>
      <x:c r="L79" s="8"/>
      <x:c r="M79" t="n">
        <x:f>IF(E79="","",MAX(0,E79-IF(L79="",0,L79)))</x:f>
        <x:v>30</x:v>
      </x:c>
      <x:c r="N79" t="str">
        <x:v>Unverified</x:v>
      </x:c>
    </x:row>
    <x:row r="80">
      <x:c r="A80" t="str">
        <x:v>B10-A07</x:v>
      </x:c>
      <x:c r="B80" t="str">
        <x:v>SCA-SCF</x:v>
      </x:c>
      <x:c r="C80" t="str">
        <x:v>Coating</x:v>
      </x:c>
      <x:c r="D80" t="str">
        <x:v>m2</x:v>
      </x:c>
      <x:c r="E80" s="8"/>
      <x:c r="F80" s="8"/>
      <x:c r="G80" s="8"/>
      <x:c r="H80" t="str">
        <x:v>Coating</x:v>
      </x:c>
      <x:c r="I80" t="str">
        <x:f>IF(OR(E80="",F80="",F80&lt;=0),"",E80/F80)</x:f>
      </x:c>
      <x:c r="J80" s="8"/>
      <x:c r="K80" t="str">
        <x:f>IF(OR(I80="",J80=""),"",I80-J80)</x:f>
      </x:c>
      <x:c r="L80" s="8"/>
      <x:c r="M80" t="str">
        <x:f>IF(E80="","",MAX(0,E80-IF(L80="",0,L80)))</x:f>
      </x:c>
      <x:c r="N80" t="str">
        <x:v>Unverified</x:v>
      </x:c>
    </x:row>
    <x:row r="81">
      <x:c r="A81" t="str">
        <x:v>B10-A08</x:v>
      </x:c>
      <x:c r="B81" t="str">
        <x:v>SCA-SCF</x:v>
      </x:c>
      <x:c r="C81" t="str">
        <x:v>Completion &amp; acceptance</x:v>
      </x:c>
      <x:c r="D81" t="str">
        <x:v>work packs</x:v>
      </x:c>
      <x:c r="E81" s="8"/>
      <x:c r="F81" s="8"/>
      <x:c r="G81" s="8"/>
      <x:c r="H81" t="str">
        <x:v>QA</x:v>
      </x:c>
      <x:c r="I81" t="str">
        <x:f>IF(OR(E81="",F81="",F81&lt;=0),"",E81/F81)</x:f>
      </x:c>
      <x:c r="J81" s="8"/>
      <x:c r="K81" t="str">
        <x:f>IF(OR(I81="",J81=""),"",I81-J81)</x:f>
      </x:c>
      <x:c r="L81" s="8"/>
      <x:c r="M81" t="str">
        <x:f>IF(E81="","",MAX(0,E81-IF(L81="",0,L81)))</x:f>
      </x:c>
      <x:c r="N81" t="str">
        <x:v>Unverified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30" customHeight="1">
      <x:c r="A1" s="4" t="str">
        <x:v>Bridge</x:v>
      </x:c>
      <x:c r="B1" s="4" t="str">
        <x:v>Module / removal ID</x:v>
      </x:c>
      <x:c r="C1" s="4" t="str">
        <x:v>Engineered lift weight MT</x:v>
      </x:c>
      <x:c r="D1" s="4" t="str">
        <x:v>COG verified Y/N</x:v>
      </x:c>
      <x:c r="E1" s="4" t="str">
        <x:v>Lift plan approved Y/N</x:v>
      </x:c>
      <x:c r="F1" s="4" t="str">
        <x:v>Vessel assigned</x:v>
      </x:c>
      <x:c r="G1" s="4" t="str">
        <x:v>Productive lift-days</x:v>
      </x:c>
      <x:c r="H1" s="4" t="str">
        <x:v>Transit/standby days</x:v>
      </x:c>
      <x:c r="I1" s="4" t="str">
        <x:v>Total chargeable days</x:v>
      </x:c>
      <x:c r="J1" s="4" t="str">
        <x:v>Release status</x:v>
      </x:c>
    </x:row>
    <x:row r="2">
      <x:c r="A2" t="str">
        <x:v>ICW-ICG UD</x:v>
      </x:c>
      <x:c r="B2" s="8"/>
      <x:c r="C2" s="8"/>
      <x:c r="D2" s="8"/>
      <x:c r="E2" s="8"/>
      <x:c r="F2" s="8"/>
      <x:c r="G2" s="8"/>
      <x:c r="H2" s="8"/>
      <x:c r="I2" t="str">
        <x:f>IF(AND(G2="",H2=""),"",SUM(G2:H2))</x:f>
      </x:c>
      <x:c r="J2" t="str">
        <x:v>Unverified</x:v>
      </x:c>
    </x:row>
    <x:row r="3">
      <x:c r="A3" t="str">
        <x:v>ICW-ICG LD</x:v>
      </x:c>
      <x:c r="B3" s="8"/>
      <x:c r="C3" s="8"/>
      <x:c r="D3" s="8"/>
      <x:c r="E3" s="8"/>
      <x:c r="F3" s="8"/>
      <x:c r="G3" s="8"/>
      <x:c r="H3" s="8"/>
      <x:c r="I3" t="str">
        <x:f>IF(AND(G3="",H3=""),"",SUM(G3:H3))</x:f>
      </x:c>
      <x:c r="J3" t="str">
        <x:v>Unverified</x:v>
      </x:c>
    </x:row>
    <x:row r="4">
      <x:c r="A4" t="str">
        <x:v>ICG-ICP UD</x:v>
      </x:c>
      <x:c r="B4" s="8"/>
      <x:c r="C4" s="8"/>
      <x:c r="D4" s="8"/>
      <x:c r="E4" s="8"/>
      <x:c r="F4" s="8"/>
      <x:c r="G4" s="8"/>
      <x:c r="H4" s="8"/>
      <x:c r="I4" t="str">
        <x:f>IF(AND(G4="",H4=""),"",SUM(G4:H4))</x:f>
      </x:c>
      <x:c r="J4" t="str">
        <x:v>Unverified</x:v>
      </x:c>
    </x:row>
    <x:row r="5">
      <x:c r="A5" t="str">
        <x:v>ICG-ICP LD</x:v>
      </x:c>
      <x:c r="B5" s="8"/>
      <x:c r="C5" s="8"/>
      <x:c r="D5" s="8"/>
      <x:c r="E5" s="8"/>
      <x:c r="F5" s="8"/>
      <x:c r="G5" s="8"/>
      <x:c r="H5" s="8"/>
      <x:c r="I5" t="str">
        <x:f>IF(AND(G5="",H5=""),"",SUM(G5:H5))</x:f>
      </x:c>
      <x:c r="J5" t="str">
        <x:v>Unverified</x:v>
      </x:c>
    </x:row>
    <x:row r="6">
      <x:c r="A6" t="str">
        <x:v>BHS-SLQ</x:v>
      </x:c>
      <x:c r="B6" s="8"/>
      <x:c r="C6" s="8"/>
      <x:c r="D6" s="8"/>
      <x:c r="E6" s="8"/>
      <x:c r="F6" s="8"/>
      <x:c r="G6" s="8"/>
      <x:c r="H6" s="8"/>
      <x:c r="I6" t="str">
        <x:f>IF(AND(G6="",H6=""),"",SUM(G6:H6))</x:f>
      </x:c>
      <x:c r="J6" t="str">
        <x:v>Unverified</x:v>
      </x:c>
    </x:row>
    <x:row r="7">
      <x:c r="A7" t="str">
        <x:v>SLQ-WIS</x:v>
      </x:c>
      <x:c r="B7" s="8"/>
      <x:c r="C7" s="8"/>
      <x:c r="D7" s="8"/>
      <x:c r="E7" s="8"/>
      <x:c r="F7" s="8"/>
      <x:c r="G7" s="8"/>
      <x:c r="H7" s="8"/>
      <x:c r="I7" t="str">
        <x:f>IF(AND(G7="",H7=""),"",SUM(G7:H7))</x:f>
      </x:c>
      <x:c r="J7" t="str">
        <x:v>Unverified</x:v>
      </x:c>
    </x:row>
    <x:row r="8">
      <x:c r="A8" t="str">
        <x:v>NQO-NQD</x:v>
      </x:c>
      <x:c r="B8" s="8"/>
      <x:c r="C8" s="8"/>
      <x:c r="D8" s="8"/>
      <x:c r="E8" s="8"/>
      <x:c r="F8" s="8"/>
      <x:c r="G8" s="8"/>
      <x:c r="H8" s="8"/>
      <x:c r="I8" t="str">
        <x:f>IF(AND(G8="",H8=""),"",SUM(G8:H8))</x:f>
      </x:c>
      <x:c r="J8" t="str">
        <x:v>Unverified</x:v>
      </x:c>
    </x:row>
    <x:row r="9">
      <x:c r="A9" t="str">
        <x:v>WIN-NC</x:v>
      </x:c>
      <x:c r="B9" s="8"/>
      <x:c r="C9" s="8"/>
      <x:c r="D9" s="8"/>
      <x:c r="E9" s="8"/>
      <x:c r="F9" s="8"/>
      <x:c r="G9" s="8"/>
      <x:c r="H9" s="8"/>
      <x:c r="I9" t="str">
        <x:f>IF(AND(G9="",H9=""),"",SUM(G9:H9))</x:f>
      </x:c>
      <x:c r="J9" t="str">
        <x:v>Unverified</x:v>
      </x:c>
    </x:row>
    <x:row r="10">
      <x:c r="A10" t="str">
        <x:v>SCA-SC1</x:v>
      </x:c>
      <x:c r="B10" s="8"/>
      <x:c r="C10" s="8"/>
      <x:c r="D10" s="8"/>
      <x:c r="E10" s="8"/>
      <x:c r="F10" s="8"/>
      <x:c r="G10" s="8"/>
      <x:c r="H10" s="8"/>
      <x:c r="I10" t="str">
        <x:f>IF(AND(G10="",H10=""),"",SUM(G10:H10))</x:f>
      </x:c>
      <x:c r="J10" t="str">
        <x:v>Unverified</x:v>
      </x:c>
    </x:row>
    <x:row r="11">
      <x:c r="A11" t="str">
        <x:v>SCA-SCF</x:v>
      </x:c>
      <x:c r="B11" s="8"/>
      <x:c r="C11" s="8"/>
      <x:c r="D11" s="8"/>
      <x:c r="E11" s="8"/>
      <x:c r="F11" s="8"/>
      <x:c r="G11" s="8"/>
      <x:c r="H11" s="8"/>
      <x:c r="I11" t="str">
        <x:f>IF(AND(G11="",H11=""),"",SUM(G11:H11))</x:f>
      </x:c>
      <x:c r="J11" t="str">
        <x:v>Unverified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30" customHeight="1">
      <x:c r="A1" s="4" t="str">
        <x:v>Week</x:v>
      </x:c>
      <x:c r="B1" s="4" t="str">
        <x:v>Engineering persons</x:v>
      </x:c>
      <x:c r="C1" s="4" t="str">
        <x:v>Fabrication crews</x:v>
      </x:c>
      <x:c r="D1" s="4" t="str">
        <x:v>Offshore crew A</x:v>
      </x:c>
      <x:c r="E1" s="4" t="str">
        <x:v>Offshore crew B</x:v>
      </x:c>
      <x:c r="F1" s="4" t="str">
        <x:v>Installation crew</x:v>
      </x:c>
      <x:c r="G1" s="4" t="str">
        <x:v>Marine spread days</x:v>
      </x:c>
      <x:c r="H1" s="4" t="str">
        <x:v>QA persons</x:v>
      </x:c>
      <x:c r="I1" s="4" t="str">
        <x:v>Planned accepted MT</x:v>
      </x:c>
      <x:c r="J1" s="4" t="str">
        <x:v>Actual accepted MT</x:v>
      </x:c>
    </x:row>
    <x:row r="2">
      <x:c r="A2" t="n">
        <x:v>1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t="n">
        <x:v>2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4">
      <x:c r="A4" t="n">
        <x:v>3</x:v>
      </x:c>
      <x:c r="B4" s="8"/>
      <x:c r="C4" s="8"/>
      <x:c r="D4" s="8"/>
      <x:c r="E4" s="8"/>
      <x:c r="F4" s="8"/>
      <x:c r="G4" s="8"/>
      <x:c r="H4" s="8"/>
      <x:c r="I4" s="8"/>
      <x:c r="J4" s="8"/>
    </x:row>
    <x:row r="5">
      <x:c r="A5" t="n">
        <x:v>4</x:v>
      </x:c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A6" t="n">
        <x:v>5</x:v>
      </x:c>
      <x:c r="B6" s="8"/>
      <x:c r="C6" s="8"/>
      <x:c r="D6" s="8"/>
      <x:c r="E6" s="8"/>
      <x:c r="F6" s="8"/>
      <x:c r="G6" s="8"/>
      <x:c r="H6" s="8"/>
      <x:c r="I6" s="8"/>
      <x:c r="J6" s="8"/>
    </x:row>
    <x:row r="7">
      <x:c r="A7" t="n">
        <x:v>6</x:v>
      </x:c>
      <x:c r="B7" s="8"/>
      <x:c r="C7" s="8"/>
      <x:c r="D7" s="8"/>
      <x:c r="E7" s="8"/>
      <x:c r="F7" s="8"/>
      <x:c r="G7" s="8"/>
      <x:c r="H7" s="8"/>
      <x:c r="I7" s="8"/>
      <x:c r="J7" s="8"/>
    </x:row>
    <x:row r="8">
      <x:c r="A8" t="n">
        <x:v>7</x:v>
      </x:c>
      <x:c r="B8" s="8"/>
      <x:c r="C8" s="8"/>
      <x:c r="D8" s="8"/>
      <x:c r="E8" s="8"/>
      <x:c r="F8" s="8"/>
      <x:c r="G8" s="8"/>
      <x:c r="H8" s="8"/>
      <x:c r="I8" s="8"/>
      <x:c r="J8" s="8"/>
    </x:row>
    <x:row r="9">
      <x:c r="A9" t="n">
        <x:v>8</x:v>
      </x:c>
      <x:c r="B9" s="8"/>
      <x:c r="C9" s="8"/>
      <x:c r="D9" s="8"/>
      <x:c r="E9" s="8"/>
      <x:c r="F9" s="8"/>
      <x:c r="G9" s="8"/>
      <x:c r="H9" s="8"/>
      <x:c r="I9" s="8"/>
      <x:c r="J9" s="8"/>
    </x:row>
    <x:row r="10">
      <x:c r="A10" t="n">
        <x:v>9</x:v>
      </x:c>
      <x:c r="B10" s="8"/>
      <x:c r="C10" s="8"/>
      <x:c r="D10" s="8"/>
      <x:c r="E10" s="8"/>
      <x:c r="F10" s="8"/>
      <x:c r="G10" s="8"/>
      <x:c r="H10" s="8"/>
      <x:c r="I10" s="8"/>
      <x:c r="J10" s="8"/>
    </x:row>
    <x:row r="11">
      <x:c r="A11" t="n">
        <x:v>10</x:v>
      </x:c>
      <x:c r="B11" s="8"/>
      <x:c r="C11" s="8"/>
      <x:c r="D11" s="8"/>
      <x:c r="E11" s="8"/>
      <x:c r="F11" s="8"/>
      <x:c r="G11" s="8"/>
      <x:c r="H11" s="8"/>
      <x:c r="I11" s="8"/>
      <x:c r="J11" s="8"/>
    </x:row>
    <x:row r="12">
      <x:c r="A12" t="n">
        <x:v>11</x:v>
      </x:c>
      <x:c r="B12" s="8"/>
      <x:c r="C12" s="8"/>
      <x:c r="D12" s="8"/>
      <x:c r="E12" s="8"/>
      <x:c r="F12" s="8"/>
      <x:c r="G12" s="8"/>
      <x:c r="H12" s="8"/>
      <x:c r="I12" s="8"/>
      <x:c r="J12" s="8"/>
    </x:row>
    <x:row r="13">
      <x:c r="A13" t="n">
        <x:v>12</x:v>
      </x:c>
      <x:c r="B13" s="8"/>
      <x:c r="C13" s="8"/>
      <x:c r="D13" s="8"/>
      <x:c r="E13" s="8"/>
      <x:c r="F13" s="8"/>
      <x:c r="G13" s="8"/>
      <x:c r="H13" s="8"/>
      <x:c r="I13" s="8"/>
      <x:c r="J13" s="8"/>
    </x:row>
    <x:row r="14">
      <x:c r="A14" t="n">
        <x:v>13</x:v>
      </x:c>
      <x:c r="B14" s="8"/>
      <x:c r="C14" s="8"/>
      <x:c r="D14" s="8"/>
      <x:c r="E14" s="8"/>
      <x:c r="F14" s="8"/>
      <x:c r="G14" s="8"/>
      <x:c r="H14" s="8"/>
      <x:c r="I14" s="8"/>
      <x:c r="J14" s="8"/>
    </x:row>
    <x:row r="15">
      <x:c r="A15" t="n">
        <x:v>14</x:v>
      </x:c>
      <x:c r="B15" s="8"/>
      <x:c r="C15" s="8"/>
      <x:c r="D15" s="8"/>
      <x:c r="E15" s="8"/>
      <x:c r="F15" s="8"/>
      <x:c r="G15" s="8"/>
      <x:c r="H15" s="8"/>
      <x:c r="I15" s="8"/>
      <x:c r="J15" s="8"/>
    </x:row>
    <x:row r="16">
      <x:c r="A16" t="n">
        <x:v>15</x:v>
      </x:c>
      <x:c r="B16" s="8"/>
      <x:c r="C16" s="8"/>
      <x:c r="D16" s="8"/>
      <x:c r="E16" s="8"/>
      <x:c r="F16" s="8"/>
      <x:c r="G16" s="8"/>
      <x:c r="H16" s="8"/>
      <x:c r="I16" s="8"/>
      <x:c r="J16" s="8"/>
    </x:row>
    <x:row r="17">
      <x:c r="A17" t="n">
        <x:v>16</x:v>
      </x:c>
      <x:c r="B17" s="8"/>
      <x:c r="C17" s="8"/>
      <x:c r="D17" s="8"/>
      <x:c r="E17" s="8"/>
      <x:c r="F17" s="8"/>
      <x:c r="G17" s="8"/>
      <x:c r="H17" s="8"/>
      <x:c r="I17" s="8"/>
      <x:c r="J17" s="8"/>
    </x:row>
    <x:row r="18">
      <x:c r="A18" t="n">
        <x:v>17</x:v>
      </x:c>
      <x:c r="B18" s="8"/>
      <x:c r="C18" s="8"/>
      <x:c r="D18" s="8"/>
      <x:c r="E18" s="8"/>
      <x:c r="F18" s="8"/>
      <x:c r="G18" s="8"/>
      <x:c r="H18" s="8"/>
      <x:c r="I18" s="8"/>
      <x:c r="J18" s="8"/>
    </x:row>
    <x:row r="19">
      <x:c r="A19" t="n">
        <x:v>18</x:v>
      </x:c>
      <x:c r="B19" s="8"/>
      <x:c r="C19" s="8"/>
      <x:c r="D19" s="8"/>
      <x:c r="E19" s="8"/>
      <x:c r="F19" s="8"/>
      <x:c r="G19" s="8"/>
      <x:c r="H19" s="8"/>
      <x:c r="I19" s="8"/>
      <x:c r="J19" s="8"/>
    </x:row>
    <x:row r="20">
      <x:c r="A20" t="n">
        <x:v>19</x:v>
      </x:c>
      <x:c r="B20" s="8"/>
      <x:c r="C20" s="8"/>
      <x:c r="D20" s="8"/>
      <x:c r="E20" s="8"/>
      <x:c r="F20" s="8"/>
      <x:c r="G20" s="8"/>
      <x:c r="H20" s="8"/>
      <x:c r="I20" s="8"/>
      <x:c r="J20" s="8"/>
    </x:row>
    <x:row r="21">
      <x:c r="A21" t="n">
        <x:v>20</x:v>
      </x:c>
      <x:c r="B21" s="8"/>
      <x:c r="C21" s="8"/>
      <x:c r="D21" s="8"/>
      <x:c r="E21" s="8"/>
      <x:c r="F21" s="8"/>
      <x:c r="G21" s="8"/>
      <x:c r="H21" s="8"/>
      <x:c r="I21" s="8"/>
      <x:c r="J21" s="8"/>
    </x:row>
    <x:row r="22">
      <x:c r="A22" t="n">
        <x:v>21</x:v>
      </x:c>
      <x:c r="B22" s="8"/>
      <x:c r="C22" s="8"/>
      <x:c r="D22" s="8"/>
      <x:c r="E22" s="8"/>
      <x:c r="F22" s="8"/>
      <x:c r="G22" s="8"/>
      <x:c r="H22" s="8"/>
      <x:c r="I22" s="8"/>
      <x:c r="J22" s="8"/>
    </x:row>
    <x:row r="23">
      <x:c r="A23" t="n">
        <x:v>22</x:v>
      </x:c>
      <x:c r="B23" s="8"/>
      <x:c r="C23" s="8"/>
      <x:c r="D23" s="8"/>
      <x:c r="E23" s="8"/>
      <x:c r="F23" s="8"/>
      <x:c r="G23" s="8"/>
      <x:c r="H23" s="8"/>
      <x:c r="I23" s="8"/>
      <x:c r="J23" s="8"/>
    </x:row>
    <x:row r="24">
      <x:c r="A24" t="n">
        <x:v>23</x:v>
      </x:c>
      <x:c r="B24" s="8"/>
      <x:c r="C24" s="8"/>
      <x:c r="D24" s="8"/>
      <x:c r="E24" s="8"/>
      <x:c r="F24" s="8"/>
      <x:c r="G24" s="8"/>
      <x:c r="H24" s="8"/>
      <x:c r="I24" s="8"/>
      <x:c r="J24" s="8"/>
    </x:row>
    <x:row r="25">
      <x:c r="A25" t="n">
        <x:v>24</x:v>
      </x:c>
      <x:c r="B25" s="8"/>
      <x:c r="C25" s="8"/>
      <x:c r="D25" s="8"/>
      <x:c r="E25" s="8"/>
      <x:c r="F25" s="8"/>
      <x:c r="G25" s="8"/>
      <x:c r="H25" s="8"/>
      <x:c r="I25" s="8"/>
      <x:c r="J25" s="8"/>
    </x:row>
    <x:row r="26">
      <x:c r="A26" t="n">
        <x:v>25</x:v>
      </x:c>
      <x:c r="B26" s="8"/>
      <x:c r="C26" s="8"/>
      <x:c r="D26" s="8"/>
      <x:c r="E26" s="8"/>
      <x:c r="F26" s="8"/>
      <x:c r="G26" s="8"/>
      <x:c r="H26" s="8"/>
      <x:c r="I26" s="8"/>
      <x:c r="J26" s="8"/>
    </x:row>
    <x:row r="27">
      <x:c r="A27" t="n">
        <x:v>26</x:v>
      </x:c>
      <x:c r="B27" s="8"/>
      <x:c r="C27" s="8"/>
      <x:c r="D27" s="8"/>
      <x:c r="E27" s="8"/>
      <x:c r="F27" s="8"/>
      <x:c r="G27" s="8"/>
      <x:c r="H27" s="8"/>
      <x:c r="I27" s="8"/>
      <x:c r="J27" s="8"/>
    </x:row>
    <x:row r="28">
      <x:c r="A28" t="n">
        <x:v>27</x:v>
      </x:c>
      <x:c r="B28" s="8"/>
      <x:c r="C28" s="8"/>
      <x:c r="D28" s="8"/>
      <x:c r="E28" s="8"/>
      <x:c r="F28" s="8"/>
      <x:c r="G28" s="8"/>
      <x:c r="H28" s="8"/>
      <x:c r="I28" s="8"/>
      <x:c r="J28" s="8"/>
    </x:row>
    <x:row r="29">
      <x:c r="A29" t="n">
        <x:v>28</x:v>
      </x:c>
      <x:c r="B29" s="8"/>
      <x:c r="C29" s="8"/>
      <x:c r="D29" s="8"/>
      <x:c r="E29" s="8"/>
      <x:c r="F29" s="8"/>
      <x:c r="G29" s="8"/>
      <x:c r="H29" s="8"/>
      <x:c r="I29" s="8"/>
      <x:c r="J29" s="8"/>
    </x:row>
    <x:row r="30">
      <x:c r="A30" t="n">
        <x:v>29</x:v>
      </x:c>
      <x:c r="B30" s="8"/>
      <x:c r="C30" s="8"/>
      <x:c r="D30" s="8"/>
      <x:c r="E30" s="8"/>
      <x:c r="F30" s="8"/>
      <x:c r="G30" s="8"/>
      <x:c r="H30" s="8"/>
      <x:c r="I30" s="8"/>
      <x:c r="J30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0" customHeight="1">
      <x:c r="A1" s="4" t="str">
        <x:v>Gate ID</x:v>
      </x:c>
      <x:c r="B1" s="4" t="str">
        <x:v>Evidence required</x:v>
      </x:c>
      <x:c r="C1" s="4" t="str">
        <x:v>Owner</x:v>
      </x:c>
      <x:c r="D1" s="4" t="str">
        <x:v>Mandatory before</x:v>
      </x:c>
      <x:c r="E1" s="4" t="str">
        <x:v>Package</x:v>
      </x:c>
      <x:c r="F1" s="4" t="str">
        <x:v>Evidence ref</x:v>
      </x:c>
      <x:c r="G1" s="4" t="str">
        <x:v>Approved Y/N</x:v>
      </x:c>
      <x:c r="H1" s="4" t="str">
        <x:v>Approval date</x:v>
      </x:c>
      <x:c r="I1" s="4" t="str">
        <x:v>Open action</x:v>
      </x:c>
    </x:row>
    <x:row r="2">
      <x:c r="A2" t="str">
        <x:v>Q01</x:v>
      </x:c>
      <x:c r="B2" t="str">
        <x:v>AFC drawing and approved structural analysis</x:v>
      </x:c>
      <x:c r="C2" t="str">
        <x:v>Engineering</x:v>
      </x:c>
      <x:c r="D2" t="str">
        <x:v>Before fabrication</x:v>
      </x:c>
      <x:c r="E2" s="8"/>
      <x:c r="F2" s="8"/>
      <x:c r="G2" s="8"/>
      <x:c r="H2" s="8"/>
      <x:c r="I2" s="8"/>
    </x:row>
    <x:row r="3">
      <x:c r="A3" t="str">
        <x:v>Q02</x:v>
      </x:c>
      <x:c r="B3" t="str">
        <x:v>Material traceability / receiving inspection</x:v>
      </x:c>
      <x:c r="C3" t="str">
        <x:v>QA</x:v>
      </x:c>
      <x:c r="D3" t="str">
        <x:v>Before fabrication</x:v>
      </x:c>
      <x:c r="E3" s="8"/>
      <x:c r="F3" s="8"/>
      <x:c r="G3" s="8"/>
      <x:c r="H3" s="8"/>
      <x:c r="I3" s="8"/>
    </x:row>
    <x:row r="4">
      <x:c r="A4" t="str">
        <x:v>Q03</x:v>
      </x:c>
      <x:c r="B4" t="str">
        <x:v>Approved WPS/PQR and welder qualifications</x:v>
      </x:c>
      <x:c r="C4" t="str">
        <x:v>QA</x:v>
      </x:c>
      <x:c r="D4" t="str">
        <x:v>Before welding</x:v>
      </x:c>
      <x:c r="E4" s="8"/>
      <x:c r="F4" s="8"/>
      <x:c r="G4" s="8"/>
      <x:c r="H4" s="8"/>
      <x:c r="I4" s="8"/>
    </x:row>
    <x:row r="5">
      <x:c r="A5" t="str">
        <x:v>Q04</x:v>
      </x:c>
      <x:c r="B5" t="str">
        <x:v>Fabrication dimensional / NDT / coating release</x:v>
      </x:c>
      <x:c r="C5" t="str">
        <x:v>QA</x:v>
      </x:c>
      <x:c r="D5" t="str">
        <x:v>Before loadout</x:v>
      </x:c>
      <x:c r="E5" s="8"/>
      <x:c r="F5" s="8"/>
      <x:c r="G5" s="8"/>
      <x:c r="H5" s="8"/>
      <x:c r="I5" s="8"/>
    </x:row>
    <x:row r="6">
      <x:c r="A6" t="str">
        <x:v>Q05</x:v>
      </x:c>
      <x:c r="B6" t="str">
        <x:v>Verified module weights, COG and rigging design</x:v>
      </x:c>
      <x:c r="C6" t="str">
        <x:v>Lifting engineer</x:v>
      </x:c>
      <x:c r="D6" t="str">
        <x:v>Before lift</x:v>
      </x:c>
      <x:c r="E6" s="8"/>
      <x:c r="F6" s="8"/>
      <x:c r="G6" s="8"/>
      <x:c r="H6" s="8"/>
      <x:c r="I6" s="8"/>
    </x:row>
    <x:row r="7">
      <x:c r="A7" t="str">
        <x:v>Q06</x:v>
      </x:c>
      <x:c r="B7" t="str">
        <x:v>Vessel and crane suitability / marine assurance</x:v>
      </x:c>
      <x:c r="C7" t="str">
        <x:v>Marine manager</x:v>
      </x:c>
      <x:c r="D7" t="str">
        <x:v>Before lift</x:v>
      </x:c>
      <x:c r="E7" s="8"/>
      <x:c r="F7" s="8"/>
      <x:c r="G7" s="8"/>
      <x:c r="H7" s="8"/>
      <x:c r="I7" s="8"/>
    </x:row>
    <x:row r="8">
      <x:c r="A8" t="str">
        <x:v>Q07</x:v>
      </x:c>
      <x:c r="B8" t="str">
        <x:v>Platform isolations, PTW, SIMOPS and access</x:v>
      </x:c>
      <x:c r="C8" t="str">
        <x:v>ONGC / offshore</x:v>
      </x:c>
      <x:c r="D8" t="str">
        <x:v>Before offshore work</x:v>
      </x:c>
      <x:c r="E8" s="8"/>
      <x:c r="F8" s="8"/>
      <x:c r="G8" s="8"/>
      <x:c r="H8" s="8"/>
      <x:c r="I8" s="8"/>
    </x:row>
    <x:row r="9">
      <x:c r="A9" t="str">
        <x:v>Q08</x:v>
      </x:c>
      <x:c r="B9" t="str">
        <x:v>Temporary stability and demolition engineering</x:v>
      </x:c>
      <x:c r="C9" t="str">
        <x:v>Structural engineer</x:v>
      </x:c>
      <x:c r="D9" t="str">
        <x:v>Before removal</x:v>
      </x:c>
      <x:c r="E9" s="8"/>
      <x:c r="F9" s="8"/>
      <x:c r="G9" s="8"/>
      <x:c r="H9" s="8"/>
      <x:c r="I9" s="8"/>
    </x:row>
    <x:row r="10">
      <x:c r="A10" t="str">
        <x:v>Q09</x:v>
      </x:c>
      <x:c r="B10" t="str">
        <x:v>Services transferred and functionally tested</x:v>
      </x:c>
      <x:c r="C10" t="str">
        <x:v>ONGC / E&amp;I</x:v>
      </x:c>
      <x:c r="D10" t="str">
        <x:v>Before old bridge removal</x:v>
      </x:c>
      <x:c r="E10" s="8"/>
      <x:c r="F10" s="8"/>
      <x:c r="G10" s="8"/>
      <x:c r="H10" s="8"/>
      <x:c r="I10" s="8"/>
    </x:row>
    <x:row r="11">
      <x:c r="A11" t="str">
        <x:v>Q10</x:v>
      </x:c>
      <x:c r="B11" t="str">
        <x:v>Final inspections and dossier acceptance</x:v>
      </x:c>
      <x:c r="C11" t="str">
        <x:v>QA / ONGC</x:v>
      </x:c>
      <x:c r="D11" t="str">
        <x:v>Before handover</x:v>
      </x:c>
      <x:c r="E11" s="8"/>
      <x:c r="F11" s="8"/>
      <x:c r="G11" s="8"/>
      <x:c r="H11" s="8"/>
      <x:c r="I11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0" customHeight="1">
      <x:c r="A1" s="4" t="str">
        <x:v>Risk ID</x:v>
      </x:c>
      <x:c r="B1" s="4" t="str">
        <x:v>Description</x:v>
      </x:c>
      <x:c r="C1" s="4" t="str">
        <x:v>Severity</x:v>
      </x:c>
      <x:c r="D1" s="4" t="str">
        <x:v>Owner</x:v>
      </x:c>
      <x:c r="E1" s="4" t="str">
        <x:v>Required mitigation</x:v>
      </x:c>
      <x:c r="F1" s="4" t="str">
        <x:v>Close date</x:v>
      </x:c>
    </x:row>
    <x:row r="2">
      <x:c r="A2" t="str">
        <x:v>R01</x:v>
      </x:c>
      <x:c r="B2" t="str">
        <x:v>BHS-SLQ utility transfer and demolition dependency</x:v>
      </x:c>
      <x:c r="C2" t="str">
        <x:v>High</x:v>
      </x:c>
      <x:c r="D2" t="str">
        <x:v>Replacement manager</x:v>
      </x:c>
      <x:c r="E2" t="str">
        <x:v>Engineer transfer and removal sequence</x:v>
      </x:c>
      <x:c r="F2"/>
    </x:row>
    <x:row r="3">
      <x:c r="A3" t="str">
        <x:v>R02</x:v>
      </x:c>
      <x:c r="B3" t="str">
        <x:v>Heavy-lift vessel shared across packages</x:v>
      </x:c>
      <x:c r="C3" t="str">
        <x:v>High</x:v>
      </x:c>
      <x:c r="D3" t="str">
        <x:v>Marine manager</x:v>
      </x:c>
      <x:c r="E3" t="str">
        <x:v>Conditional vessel windows and alternative</x:v>
      </x:c>
      <x:c r="F3"/>
    </x:row>
    <x:row r="4">
      <x:c r="A4" t="str">
        <x:v>R03</x:v>
      </x:c>
      <x:c r="B4" t="str">
        <x:v>Monsoon and SCC treatment unverified</x:v>
      </x:c>
      <x:c r="C4" t="str">
        <x:v>High</x:v>
      </x:c>
      <x:c r="D4" t="str">
        <x:v>Contracts manager</x:v>
      </x:c>
      <x:c r="E4" t="str">
        <x:v>Validate SCC and offshore operating windows</x:v>
      </x:c>
      <x:c r="F4"/>
    </x:row>
    <x:row r="5">
      <x:c r="A5" t="str">
        <x:v>R04</x:v>
      </x:c>
      <x:c r="B5" t="str">
        <x:v>MTO printed vs rows 1 MT discrepancy</x:v>
      </x:c>
      <x:c r="C5" t="str">
        <x:v>Medium</x:v>
      </x:c>
      <x:c r="D5" t="str">
        <x:v>Engineering manager</x:v>
      </x:c>
      <x:c r="E5" t="str">
        <x:v>Original take-off reconciliation</x:v>
      </x:c>
      <x:c r="F5"/>
    </x:row>
    <x:row r="6">
      <x:c r="A6" t="str">
        <x:v>R05</x:v>
      </x:c>
      <x:c r="B6" t="str">
        <x:v>Offshore productivity unverified</x:v>
      </x:c>
      <x:c r="C6" t="str">
        <x:v>High</x:v>
      </x:c>
      <x:c r="D6" t="str">
        <x:v>Construction manager</x:v>
      </x:c>
      <x:c r="E6" t="str">
        <x:v>Pilot work packs and historical data</x:v>
      </x:c>
      <x:c r="F6"/>
    </x:row>
    <x:row r="7">
      <x:c r="A7" t="str">
        <x:v>R06</x:v>
      </x:c>
      <x:c r="B7" t="str">
        <x:v>Other Shivansh vessel commitments</x:v>
      </x:c>
      <x:c r="C7" t="str">
        <x:v>High</x:v>
      </x:c>
      <x:c r="D7" t="str">
        <x:v>Project director</x:v>
      </x:c>
      <x:c r="E7" t="str">
        <x:v>Fleet-wide allocation audit</x:v>
      </x:c>
      <x:c r="F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customHeight="1">
      <x:c r="A1" s="4" t="str">
        <x:v>Metric</x:v>
      </x:c>
      <x:c r="B1" s="4" t="str">
        <x:v>Formula / basis</x:v>
      </x:c>
      <x:c r="C1" s="4" t="str">
        <x:v>Value</x:v>
      </x:c>
      <x:c r="D1" s="4" t="str">
        <x:v>Interpretation</x:v>
      </x:c>
    </x:row>
    <x:row r="2">
      <x:c r="A2" t="str">
        <x:v>Transcribed structural steel MT</x:v>
      </x:c>
      <x:c r="B2" t="str">
        <x:v>Sum ten bridge rows</x:v>
      </x:c>
      <x:c r="C2" t="n">
        <x:f>'Bridge Baseline'!B12</x:f>
        <x:v>1141</x:v>
      </x:c>
      <x:c r="D2" t="str">
        <x:v>Provisional</x:v>
      </x:c>
    </x:row>
    <x:row r="3">
      <x:c r="A3" t="str">
        <x:v>Printed structural steel MT</x:v>
      </x:c>
      <x:c r="B3" t="str">
        <x:v>Tender printed summary</x:v>
      </x:c>
      <x:c r="C3" t="n">
        <x:v>1142</x:v>
      </x:c>
      <x:c r="D3" t="str">
        <x:v>Subject to original MTO</x:v>
      </x:c>
    </x:row>
    <x:row r="4">
      <x:c r="A4" t="str">
        <x:v>Quantity variance MT</x:v>
      </x:c>
      <x:c r="B4" t="str">
        <x:v>Printed less row sum</x:v>
      </x:c>
      <x:c r="C4" t="n">
        <x:f>C3-C2</x:f>
        <x:v>1</x:v>
      </x:c>
      <x:c r="D4" t="str">
        <x:v>Must reconcile</x:v>
      </x:c>
    </x:row>
    <x:row r="5">
      <x:c r="A5" t="str">
        <x:v>Demolition MT</x:v>
      </x:c>
      <x:c r="B5" t="str">
        <x:v>Sum ten bridge rows</x:v>
      </x:c>
      <x:c r="C5" t="n">
        <x:f>'Bridge Baseline'!C12</x:f>
        <x:v>357</x:v>
      </x:c>
      <x:c r="D5" t="str">
        <x:v>Provisional</x:v>
      </x:c>
    </x:row>
    <x:row r="6">
      <x:c r="A6" t="str">
        <x:v>Workpacks</x:v>
      </x:c>
      <x:c r="B6" t="str">
        <x:v>10 packages x 8 task categories</x:v>
      </x:c>
      <x:c r="C6" t="n">
        <x:v>80</x:v>
      </x:c>
      <x:c r="D6" t="str">
        <x:v>Quantities to be populated</x:v>
      </x:c>
    </x:row>
    <x:row r="7">
      <x:c r="A7" t="str">
        <x:v>Priced resource commitments</x:v>
      </x:c>
      <x:c r="B7" t="str">
        <x:v>Commercial offers</x:v>
      </x:c>
      <x:c r="C7"/>
      <x:c r="D7" t="str">
        <x:v>Not yet provided</x:v>
      </x:c>
    </x:row>
    <x:row r="8">
      <x:c r="A8" t="str">
        <x:v>Day 360 feasibility</x:v>
      </x:c>
      <x:c r="B8" t="str">
        <x:v>Resource levelled CPM</x:v>
      </x:c>
      <x:c r="C8"/>
      <x:c r="D8" t="str">
        <x:v>Not established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55" hidden="0" customWidth="1"/>
  </x:cols>
  <x:sheetData>
    <x:row r="1" ht="30" customHeight="1">
      <x:c r="A1" s="4" t="str">
        <x:v>Topic</x:v>
      </x:c>
      <x:c r="B1" s="4" t="str">
        <x:v>Guidance</x:v>
      </x:c>
    </x:row>
    <x:row r="2">
      <x:c r="A2" t="str">
        <x:v>Status</x:v>
      </x:c>
      <x:c r="B2" t="str">
        <x:v>Pre-award planning model, not an executable or approved schedule</x:v>
      </x:c>
    </x:row>
    <x:row r="3">
      <x:c r="A3" t="str">
        <x:v>Provisional start</x:v>
      </x:c>
      <x:c r="B3" t="str">
        <x:v>1 November 2026, subject to award and SCC commencement</x:v>
      </x:c>
    </x:row>
    <x:row r="4">
      <x:c r="A4" t="str">
        <x:v>Structural quantity</x:v>
      </x:c>
      <x:c r="B4" t="str">
        <x:v>1,141 MT bridge rows vs 1,142 MT printed summary; resolve discrepancy</x:v>
      </x:c>
    </x:row>
    <x:row r="5">
      <x:c r="A5" t="str">
        <x:v>Data entry</x:v>
      </x:c>
      <x:c r="B5" t="str">
        <x:v>Yellow cells require measured quantities, productivity, crew capacity, and evidence</x:v>
      </x:c>
    </x:row>
    <x:row r="6">
      <x:c r="A6" t="str">
        <x:v>Crew-days</x:v>
      </x:c>
      <x:c r="B6" t="str">
        <x:v>Quantity / accepted units per crew-day; excludes non-productive allowances</x:v>
      </x:c>
    </x:row>
    <x:row r="7">
      <x:c r="A7" t="str">
        <x:v>Safety</x:v>
      </x:c>
      <x:c r="B7" t="str">
        <x:v>No lifting, demolition or structural modification without approved qualified engineering and ONGC release</x:v>
      </x:c>
    </x:row>
    <x:row r="8">
      <x:c r="A8" t="str">
        <x:v>Marine</x:v>
      </x:c>
      <x:c r="B8" t="str">
        <x:v>Vessel days and crane selection require module weights, COG, radii, rigging and marine assurance</x:v>
      </x:c>
    </x:row>
    <x:row r="9">
      <x:c r="A9" t="str">
        <x:v>Productivity reference</x:v>
      </x:c>
      <x:c r="B9" t="str">
        <x:v>AACE 22R-01 direct labor productivity measurement; work sampling</x:v>
      </x:c>
    </x:row>
    <x:row r="10">
      <x:c r="A10" t="str">
        <x:v>Workpack reference</x:v>
      </x:c>
      <x:c r="B10" t="str">
        <x:v>AACE 125R-23 work package control accounts</x:v>
      </x:c>
    </x:row>
    <x:row r="11">
      <x:c r="A11" t="str">
        <x:v>Lifting reference</x:v>
      </x:c>
      <x:c r="B11" t="str">
        <x:v>IMCA LR006 lifting operations and offshore dismantlement</x:v>
      </x:c>
    </x:row>
    <x:row r="12">
      <x:c r="A12" t="str">
        <x:v>Next action</x:v>
      </x:c>
      <x:c r="B12" t="str">
        <x:v>Populate measured workpacks and run resource-constrained Primavera CPM</x:v>
      </x:c>
    </x:row>
  </x:sheetData>
  <x:pageMargins left="0.7" right="0.7" top="0.75" bottom="0.75" header="0.3" footer="0.3"/>
</x:worksheet>
</file>