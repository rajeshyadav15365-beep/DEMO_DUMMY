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53d350b7a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Dashboard" sheetId="1" r:id="R9e42ebb1d34144da"/>
    <x:sheet xmlns:r="http://schemas.openxmlformats.org/officeDocument/2006/relationships" name="Execution Register" sheetId="2" r:id="Reb698f6df5164afd"/>
    <x:sheet xmlns:r="http://schemas.openxmlformats.org/officeDocument/2006/relationships" name="Bridge MTO" sheetId="3" r:id="R825d0d4e148242c9"/>
    <x:sheet xmlns:r="http://schemas.openxmlformats.org/officeDocument/2006/relationships" name="Weekly Cash" sheetId="4" r:id="R626387835908412d"/>
    <x:sheet xmlns:r="http://schemas.openxmlformats.org/officeDocument/2006/relationships" name="Release Gates" sheetId="5" r:id="R0cd1a8b312a34155"/>
    <x:sheet xmlns:r="http://schemas.openxmlformats.org/officeDocument/2006/relationships" name="Basis &amp; Instructions" sheetId="6" r:id="Rb095959f044e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986d79de540b0" /><Relationship Type="http://schemas.openxmlformats.org/officeDocument/2006/relationships/theme" Target="/xl/theme/theme1.xml" Id="Rdf406e60628549c5" /><Relationship Type="http://schemas.openxmlformats.org/officeDocument/2006/relationships/sharedStrings" Target="/xl/sharedStrings.xml" Id="Rf6a190d5cd1b48bb" /><Relationship Type="http://schemas.openxmlformats.org/officeDocument/2006/relationships/worksheet" Target="/xl/worksheets/sheet1.xml" Id="R9e42ebb1d34144da" /><Relationship Type="http://schemas.openxmlformats.org/officeDocument/2006/relationships/worksheet" Target="/xl/worksheets/sheet2.xml" Id="Reb698f6df5164afd" /><Relationship Type="http://schemas.openxmlformats.org/officeDocument/2006/relationships/worksheet" Target="/xl/worksheets/sheet3.xml" Id="R825d0d4e148242c9" /><Relationship Type="http://schemas.openxmlformats.org/officeDocument/2006/relationships/worksheet" Target="/xl/worksheets/sheet4.xml" Id="R626387835908412d" /><Relationship Type="http://schemas.openxmlformats.org/officeDocument/2006/relationships/worksheet" Target="/xl/worksheets/sheet5.xml" Id="R0cd1a8b312a34155" /><Relationship Type="http://schemas.openxmlformats.org/officeDocument/2006/relationships/worksheet" Target="/xl/worksheets/sheet6.xml" Id="Rb095959f044e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7" hidden="0" customWidth="1"/>
  </x:cols>
  <x:sheetData>
    <x:row r="1">
      <x:c r="A1" s="6" t="str">
        <x:v>SHIVANSH | BRRP STAGE 27 | INTEGRATED EPC CONTROL</x:v>
      </x:c>
      <x:c r="B1" s="6"/>
      <x:c r="C1" s="6"/>
    </x:row>
    <x:row r="2">
      <x:c r="A2" t="str">
        <x:v>PRE-AWARD SCENARIO — NOT AN APPROVED CONTRACT OR RESOURCE-LEVELLED BASELINE</x:v>
      </x:c>
      <x:c r="B2"/>
      <x:c r="C2"/>
    </x:row>
    <x:row r="3">
      <x:c r="A3" t="str">
        <x:v>Metric</x:v>
      </x:c>
      <x:c r="B3" t="str">
        <x:v>Value</x:v>
      </x:c>
      <x:c r="C3" t="str">
        <x:v>Interpretation</x:v>
      </x:c>
    </x:row>
    <x:row r="4">
      <x:c r="A4" t="str">
        <x:v>Bridge packages</x:v>
      </x:c>
      <x:c r="B4" t="n">
        <x:v>10</x:v>
      </x:c>
      <x:c r="C4" t="str">
        <x:v>10 work packages</x:v>
      </x:c>
    </x:row>
    <x:row r="5">
      <x:c r="A5" t="str">
        <x:v>Bridge-row steel MT</x:v>
      </x:c>
      <x:c r="B5" t="n">
        <x:v>1141</x:v>
      </x:c>
      <x:c r="C5" t="str">
        <x:v>From earlier project MTO transcription</x:v>
      </x:c>
    </x:row>
    <x:row r="6">
      <x:c r="A6" t="str">
        <x:v>Printed summary MT</x:v>
      </x:c>
      <x:c r="B6" t="n">
        <x:v>1142</x:v>
      </x:c>
      <x:c r="C6" t="str">
        <x:v>Open 1 MT reconciliation</x:v>
      </x:c>
    </x:row>
    <x:row r="7">
      <x:c r="A7" t="str">
        <x:v>Demolition MT</x:v>
      </x:c>
      <x:c r="B7" t="n">
        <x:v>357</x:v>
      </x:c>
      <x:c r="C7" t="str">
        <x:v>From earlier project summary</x:v>
      </x:c>
    </x:row>
    <x:row r="8">
      <x:c r="A8" t="str">
        <x:v>Planned commencement</x:v>
      </x:c>
      <x:c r="B8" t="str">
        <x:v>2026-11-01</x:v>
      </x:c>
      <x:c r="C8" t="str">
        <x:v>Conditional award assumption</x:v>
      </x:c>
    </x:row>
    <x:row r="9">
      <x:c r="A9" t="str">
        <x:v>Contract days</x:v>
      </x:c>
      <x:c r="B9" t="n">
        <x:v>360</x:v>
      </x:c>
      <x:c r="C9" t="str">
        <x:v>Subject to SCC</x:v>
      </x:c>
    </x:row>
    <x:row r="10">
      <x:c r="A10" t="str">
        <x:v>Accepted progress %</x:v>
      </x:c>
      <x:c r="B10" s="2" t="n">
        <x:f>IFERROR(SUM('Execution Register'!L2:L61)/SUM('Execution Register'!K2:K61),0)</x:f>
        <x:v>0</x:v>
      </x:c>
      <x:c r="C10" t="str">
        <x:v>Weighted by activity budget when populated</x:v>
      </x:c>
    </x:row>
    <x:row r="11">
      <x:c r="A11" t="str">
        <x:v>Total activity budget INR</x:v>
      </x:c>
      <x:c r="B11" t="n">
        <x:f>SUM('Execution Register'!K2:K61)</x:f>
        <x:v>0</x:v>
      </x:c>
      <x:c r="C11" t="str">
        <x:v>Requires actual cost input</x:v>
      </x:c>
    </x:row>
    <x:row r="12">
      <x:c r="A12" t="str">
        <x:v>Earned value INR</x:v>
      </x:c>
      <x:c r="B12" t="n">
        <x:f>SUM('Execution Register'!L2:L61)</x:f>
        <x:v>0</x:v>
      </x:c>
      <x:c r="C12" t="str">
        <x:v>Accepted completion only</x:v>
      </x:c>
    </x:row>
    <x:row r="13">
      <x:c r="A13" t="str">
        <x:v>Actual cost INR</x:v>
      </x:c>
      <x:c r="B13" t="n">
        <x:f>SUM('Execution Register'!M2:M61)</x:f>
        <x:v>0</x:v>
      </x:c>
      <x:c r="C13" t="str">
        <x:v>Actual booked expenditure</x:v>
      </x:c>
    </x:row>
    <x:row r="14">
      <x:c r="A14" t="str">
        <x:v>Cost variance INR</x:v>
      </x:c>
      <x:c r="B14" t="n">
        <x:f>B12-B13</x:f>
        <x:v>0</x:v>
      </x:c>
      <x:c r="C14" t="str">
        <x:v>EV minus AC</x:v>
      </x:c>
    </x:row>
    <x:row r="15">
      <x:c r="A15" t="str">
        <x:v>Open hold gates</x:v>
      </x:c>
      <x:c r="B15" t="n">
        <x:f>COUNTIF('Execution Register'!N2:N61,"HOLD")</x:f>
        <x:v>60</x:v>
      </x:c>
      <x:c r="C15" t="str">
        <x:v>Release required before execution</x:v>
      </x:c>
    </x:row>
    <x:row r="16">
      <x:c r="A16" t="str">
        <x:v>Open missing rates</x:v>
      </x:c>
      <x:c r="B16" t="n">
        <x:f>COUNTIF('Execution Register'!K2:K61,0)</x:f>
        <x:v>60</x:v>
      </x:c>
      <x:c r="C16" t="str">
        <x:v>Do not treat zero as free</x:v>
      </x:c>
    </x:row>
    <x:row r="17">
      <x:c r="A17" t="str">
        <x:v>Cash flow peak deficit INR</x:v>
      </x:c>
      <x:c r="B17" t="n">
        <x:f>MAX('Weekly Cash'!H2:H53)</x:f>
        <x:v>0</x:v>
      </x:c>
      <x:c r="C17" t="str">
        <x:v>Illustrative until receipts entered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>
      <x:c r="A1" s="6" t="str">
        <x:v>Activity ID</x:v>
      </x:c>
      <x:c r="B1" s="6" t="str">
        <x:v>Bridge</x:v>
      </x:c>
      <x:c r="C1" s="6" t="str">
        <x:v>Campaign</x:v>
      </x:c>
      <x:c r="D1" s="6" t="str">
        <x:v>Stage</x:v>
      </x:c>
      <x:c r="E1" s="6" t="str">
        <x:v>Owner</x:v>
      </x:c>
      <x:c r="F1" s="6" t="str">
        <x:v>Planned start</x:v>
      </x:c>
      <x:c r="G1" s="6" t="str">
        <x:v>Planned finish</x:v>
      </x:c>
      <x:c r="H1" s="6" t="str">
        <x:v>Actual finish</x:v>
      </x:c>
      <x:c r="I1" s="6" t="str">
        <x:v>Accepted qty</x:v>
      </x:c>
      <x:c r="J1" s="6" t="str">
        <x:v>Unit</x:v>
      </x:c>
      <x:c r="K1" s="6" t="str">
        <x:v>Budget INR</x:v>
      </x:c>
      <x:c r="L1" s="6" t="str">
        <x:v>Earned value INR</x:v>
      </x:c>
      <x:c r="M1" s="6" t="str">
        <x:v>Actual cost INR</x:v>
      </x:c>
      <x:c r="N1" s="6" t="str">
        <x:v>Gate</x:v>
      </x:c>
      <x:c r="O1" s="6" t="str">
        <x:v>Blocking constraint</x:v>
      </x:c>
      <x:c r="P1" s="6" t="str">
        <x:v>Resource / vessel</x:v>
      </x:c>
      <x:c r="Q1" s="6" t="str">
        <x:v>Evidence / ITP reference</x:v>
      </x:c>
      <x:c r="R1" s="6" t="str">
        <x:v>Remarks</x:v>
      </x:c>
    </x:row>
    <x:row r="2">
      <x:c r="A2" t="str">
        <x:v>BR01-01</x:v>
      </x:c>
      <x:c r="B2" t="str">
        <x:v>ICW-ICG UD</x:v>
      </x:c>
      <x:c r="C2" t="str">
        <x:v>Strengthening A</x:v>
      </x:c>
      <x:c r="D2" t="str">
        <x:v>Survey &amp; design</x:v>
      </x:c>
      <x:c r="E2" t="str">
        <x:v>Engineering</x:v>
      </x:c>
      <x:c r="F2"/>
      <x:c r="G2"/>
      <x:c r="H2"/>
      <x:c r="I2" t="n">
        <x:v>0</x:v>
      </x:c>
      <x:c r="J2" t="str">
        <x:v>lot</x:v>
      </x:c>
      <x:c r="K2" t="n">
        <x:v>0</x:v>
      </x:c>
      <x:c r="L2" t="n">
        <x:f>IFERROR(K2*MIN(1,I2/IF(J2="MT",IF(D2="Demolition &amp; handover",VLOOKUP(B2,'Bridge MTO'!A:D,3,FALSE),VLOOKUP(B2,'Bridge MTO'!A:D,2,FALSE)),1)),0)</x:f>
        <x:v>0</x:v>
      </x:c>
      <x:c r="M2" t="n">
        <x:v>0</x:v>
      </x:c>
      <x:c r="N2" t="str">
        <x:v>HOLD</x:v>
      </x:c>
      <x:c r="O2" t="str">
        <x:v>Await approved engineering/resources</x:v>
      </x:c>
      <x:c r="P2"/>
      <x:c r="Q2"/>
      <x:c r="R2" t="str">
        <x:v>Planning quantity: 1 lot; not accepted quantity</x:v>
      </x:c>
    </x:row>
    <x:row r="3">
      <x:c r="A3" t="str">
        <x:v>BR01-02</x:v>
      </x:c>
      <x:c r="B3" t="str">
        <x:v>ICW-ICG UD</x:v>
      </x:c>
      <x:c r="C3" t="str">
        <x:v>Strengthening A</x:v>
      </x:c>
      <x:c r="D3" t="str">
        <x:v>Procurement &amp; delivery</x:v>
      </x:c>
      <x:c r="E3" t="str">
        <x:v>Procurement</x:v>
      </x:c>
      <x:c r="F3"/>
      <x:c r="G3"/>
      <x:c r="H3"/>
      <x:c r="I3" t="n">
        <x:v>0</x:v>
      </x:c>
      <x:c r="J3" t="str">
        <x:v>lot</x:v>
      </x:c>
      <x:c r="K3" t="n">
        <x:v>0</x:v>
      </x:c>
      <x:c r="L3" t="n">
        <x:f>IFERROR(K3*MIN(1,I3/IF(J3="MT",IF(D3="Demolition &amp; handover",VLOOKUP(B3,'Bridge MTO'!A:D,3,FALSE),VLOOKUP(B3,'Bridge MTO'!A:D,2,FALSE)),1)),0)</x:f>
        <x:v>0</x:v>
      </x:c>
      <x:c r="M3" t="n">
        <x:v>0</x:v>
      </x:c>
      <x:c r="N3" t="str">
        <x:v>HOLD</x:v>
      </x:c>
      <x:c r="O3" t="str">
        <x:v>Await approved engineering/resources</x:v>
      </x:c>
      <x:c r="P3"/>
      <x:c r="Q3"/>
      <x:c r="R3" t="str">
        <x:v>Planning quantity: 1 lot; not accepted quantity</x:v>
      </x:c>
    </x:row>
    <x:row r="4">
      <x:c r="A4" t="str">
        <x:v>BR01-03</x:v>
      </x:c>
      <x:c r="B4" t="str">
        <x:v>ICW-ICG UD</x:v>
      </x:c>
      <x:c r="C4" t="str">
        <x:v>Strengthening A</x:v>
      </x:c>
      <x:c r="D4" t="str">
        <x:v>Shop fabrication &amp; QA</x:v>
      </x:c>
      <x:c r="E4" t="str">
        <x:v>Fabrication</x:v>
      </x:c>
      <x:c r="F4"/>
      <x:c r="G4"/>
      <x:c r="H4"/>
      <x:c r="I4" t="n">
        <x:v>0</x:v>
      </x:c>
      <x:c r="J4" t="str">
        <x:v>MT</x:v>
      </x:c>
      <x:c r="K4" t="n">
        <x:v>0</x:v>
      </x:c>
      <x:c r="L4" t="n">
        <x:f>IFERROR(K4*MIN(1,I4/IF(J4="MT",IF(D4="Demolition &amp; handover",VLOOKUP(B4,'Bridge MTO'!A:D,3,FALSE),VLOOKUP(B4,'Bridge MTO'!A:D,2,FALSE)),1)),0)</x:f>
        <x:v>0</x:v>
      </x:c>
      <x:c r="M4" t="n">
        <x:v>0</x:v>
      </x:c>
      <x:c r="N4" t="str">
        <x:v>HOLD</x:v>
      </x:c>
      <x:c r="O4" t="str">
        <x:v>Await approved engineering/resources</x:v>
      </x:c>
      <x:c r="P4"/>
      <x:c r="Q4"/>
      <x:c r="R4" t="str">
        <x:v>Planning quantity: 49 MT; not accepted quantity</x:v>
      </x:c>
    </x:row>
    <x:row r="5">
      <x:c r="A5" t="str">
        <x:v>BR01-04</x:v>
      </x:c>
      <x:c r="B5" t="str">
        <x:v>ICW-ICG UD</x:v>
      </x:c>
      <x:c r="C5" t="str">
        <x:v>Strengthening A</x:v>
      </x:c>
      <x:c r="D5" t="str">
        <x:v>Marine readiness &amp; lift</x:v>
      </x:c>
      <x:c r="E5" t="str">
        <x:v>Marine</x:v>
      </x:c>
      <x:c r="F5"/>
      <x:c r="G5"/>
      <x:c r="H5"/>
      <x:c r="I5" t="n">
        <x:v>0</x:v>
      </x:c>
      <x:c r="J5" t="str">
        <x:v>lot</x:v>
      </x:c>
      <x:c r="K5" t="n">
        <x:v>0</x:v>
      </x:c>
      <x:c r="L5" t="n">
        <x:f>IFERROR(K5*MIN(1,I5/IF(J5="MT",IF(D5="Demolition &amp; handover",VLOOKUP(B5,'Bridge MTO'!A:D,3,FALSE),VLOOKUP(B5,'Bridge MTO'!A:D,2,FALSE)),1)),0)</x:f>
        <x:v>0</x:v>
      </x:c>
      <x:c r="M5" t="n">
        <x:v>0</x:v>
      </x:c>
      <x:c r="N5" t="str">
        <x:v>HOLD</x:v>
      </x:c>
      <x:c r="O5" t="str">
        <x:v>Await approved engineering/resources</x:v>
      </x:c>
      <x:c r="P5"/>
      <x:c r="Q5"/>
      <x:c r="R5" t="str">
        <x:v>Planning quantity: 1 lot; not accepted quantity</x:v>
      </x:c>
    </x:row>
    <x:row r="6">
      <x:c r="A6" t="str">
        <x:v>BR01-05</x:v>
      </x:c>
      <x:c r="B6" t="str">
        <x:v>ICW-ICG UD</x:v>
      </x:c>
      <x:c r="C6" t="str">
        <x:v>Strengthening A</x:v>
      </x:c>
      <x:c r="D6" t="str">
        <x:v>Offshore installation &amp; QA</x:v>
      </x:c>
      <x:c r="E6" t="str">
        <x:v>Offshore</x:v>
      </x:c>
      <x:c r="F6"/>
      <x:c r="G6"/>
      <x:c r="H6"/>
      <x:c r="I6" t="n">
        <x:v>0</x:v>
      </x:c>
      <x:c r="J6" t="str">
        <x:v>MT</x:v>
      </x:c>
      <x:c r="K6" t="n">
        <x:v>0</x:v>
      </x:c>
      <x:c r="L6" t="n">
        <x:f>IFERROR(K6*MIN(1,I6/IF(J6="MT",IF(D6="Demolition &amp; handover",VLOOKUP(B6,'Bridge MTO'!A:D,3,FALSE),VLOOKUP(B6,'Bridge MTO'!A:D,2,FALSE)),1)),0)</x:f>
        <x:v>0</x:v>
      </x:c>
      <x:c r="M6" t="n">
        <x:v>0</x:v>
      </x:c>
      <x:c r="N6" t="str">
        <x:v>HOLD</x:v>
      </x:c>
      <x:c r="O6" t="str">
        <x:v>Await approved engineering/resources</x:v>
      </x:c>
      <x:c r="P6"/>
      <x:c r="Q6"/>
      <x:c r="R6" t="str">
        <x:v>Planning quantity: 49 MT; not accepted quantity</x:v>
      </x:c>
    </x:row>
    <x:row r="7">
      <x:c r="A7" t="str">
        <x:v>BR01-06</x:v>
      </x:c>
      <x:c r="B7" t="str">
        <x:v>ICW-ICG UD</x:v>
      </x:c>
      <x:c r="C7" t="str">
        <x:v>Strengthening A</x:v>
      </x:c>
      <x:c r="D7" t="str">
        <x:v>Demolition &amp; handover</x:v>
      </x:c>
      <x:c r="E7" t="str">
        <x:v>Completion</x:v>
      </x:c>
      <x:c r="F7"/>
      <x:c r="G7"/>
      <x:c r="H7"/>
      <x:c r="I7" t="n">
        <x:v>0</x:v>
      </x:c>
      <x:c r="J7" t="str">
        <x:v>MT</x:v>
      </x:c>
      <x:c r="K7" t="n">
        <x:v>0</x:v>
      </x:c>
      <x:c r="L7" t="n">
        <x:f>IFERROR(K7*MIN(1,I7/IF(J7="MT",IF(D7="Demolition &amp; handover",VLOOKUP(B7,'Bridge MTO'!A:D,3,FALSE),VLOOKUP(B7,'Bridge MTO'!A:D,2,FALSE)),1)),0)</x:f>
        <x:v>0</x:v>
      </x:c>
      <x:c r="M7" t="n">
        <x:v>0</x:v>
      </x:c>
      <x:c r="N7" t="str">
        <x:v>HOLD</x:v>
      </x:c>
      <x:c r="O7" t="str">
        <x:v>Await approved engineering/resources</x:v>
      </x:c>
      <x:c r="P7"/>
      <x:c r="Q7"/>
      <x:c r="R7" t="str">
        <x:v>Planning quantity: 25 MT; not accepted quantity</x:v>
      </x:c>
    </x:row>
    <x:row r="8">
      <x:c r="A8" t="str">
        <x:v>BR02-01</x:v>
      </x:c>
      <x:c r="B8" t="str">
        <x:v>ICW-ICG LD</x:v>
      </x:c>
      <x:c r="C8" t="str">
        <x:v>New bridge</x:v>
      </x:c>
      <x:c r="D8" t="str">
        <x:v>Survey &amp; design</x:v>
      </x:c>
      <x:c r="E8" t="str">
        <x:v>Engineering</x:v>
      </x:c>
      <x:c r="F8"/>
      <x:c r="G8"/>
      <x:c r="H8"/>
      <x:c r="I8" t="n">
        <x:v>0</x:v>
      </x:c>
      <x:c r="J8" t="str">
        <x:v>lot</x:v>
      </x:c>
      <x:c r="K8" t="n">
        <x:v>0</x:v>
      </x:c>
      <x:c r="L8" t="n">
        <x:f>IFERROR(K8*MIN(1,I8/IF(J8="MT",IF(D8="Demolition &amp; handover",VLOOKUP(B8,'Bridge MTO'!A:D,3,FALSE),VLOOKUP(B8,'Bridge MTO'!A:D,2,FALSE)),1)),0)</x:f>
        <x:v>0</x:v>
      </x:c>
      <x:c r="M8" t="n">
        <x:v>0</x:v>
      </x:c>
      <x:c r="N8" t="str">
        <x:v>HOLD</x:v>
      </x:c>
      <x:c r="O8" t="str">
        <x:v>Await approved engineering/resources</x:v>
      </x:c>
      <x:c r="P8"/>
      <x:c r="Q8"/>
      <x:c r="R8" t="str">
        <x:v>Planning quantity: 1 lot; not accepted quantity</x:v>
      </x:c>
    </x:row>
    <x:row r="9">
      <x:c r="A9" t="str">
        <x:v>BR02-02</x:v>
      </x:c>
      <x:c r="B9" t="str">
        <x:v>ICW-ICG LD</x:v>
      </x:c>
      <x:c r="C9" t="str">
        <x:v>New bridge</x:v>
      </x:c>
      <x:c r="D9" t="str">
        <x:v>Procurement &amp; delivery</x:v>
      </x:c>
      <x:c r="E9" t="str">
        <x:v>Procurement</x:v>
      </x:c>
      <x:c r="F9"/>
      <x:c r="G9"/>
      <x:c r="H9"/>
      <x:c r="I9" t="n">
        <x:v>0</x:v>
      </x:c>
      <x:c r="J9" t="str">
        <x:v>lot</x:v>
      </x:c>
      <x:c r="K9" t="n">
        <x:v>0</x:v>
      </x:c>
      <x:c r="L9" t="n">
        <x:f>IFERROR(K9*MIN(1,I9/IF(J9="MT",IF(D9="Demolition &amp; handover",VLOOKUP(B9,'Bridge MTO'!A:D,3,FALSE),VLOOKUP(B9,'Bridge MTO'!A:D,2,FALSE)),1)),0)</x:f>
        <x:v>0</x:v>
      </x:c>
      <x:c r="M9" t="n">
        <x:v>0</x:v>
      </x:c>
      <x:c r="N9" t="str">
        <x:v>HOLD</x:v>
      </x:c>
      <x:c r="O9" t="str">
        <x:v>Await approved engineering/resources</x:v>
      </x:c>
      <x:c r="P9"/>
      <x:c r="Q9"/>
      <x:c r="R9" t="str">
        <x:v>Planning quantity: 1 lot; not accepted quantity</x:v>
      </x:c>
    </x:row>
    <x:row r="10">
      <x:c r="A10" t="str">
        <x:v>BR02-03</x:v>
      </x:c>
      <x:c r="B10" t="str">
        <x:v>ICW-ICG LD</x:v>
      </x:c>
      <x:c r="C10" t="str">
        <x:v>New bridge</x:v>
      </x:c>
      <x:c r="D10" t="str">
        <x:v>Shop fabrication &amp; QA</x:v>
      </x:c>
      <x:c r="E10" t="str">
        <x:v>Fabrication</x:v>
      </x:c>
      <x:c r="F10"/>
      <x:c r="G10"/>
      <x:c r="H10"/>
      <x:c r="I10" t="n">
        <x:v>0</x:v>
      </x:c>
      <x:c r="J10" t="str">
        <x:v>MT</x:v>
      </x:c>
      <x:c r="K10" t="n">
        <x:v>0</x:v>
      </x:c>
      <x:c r="L10" t="n">
        <x:f>IFERROR(K10*MIN(1,I10/IF(J10="MT",IF(D10="Demolition &amp; handover",VLOOKUP(B10,'Bridge MTO'!A:D,3,FALSE),VLOOKUP(B10,'Bridge MTO'!A:D,2,FALSE)),1)),0)</x:f>
        <x:v>0</x:v>
      </x:c>
      <x:c r="M10" t="n">
        <x:v>0</x:v>
      </x:c>
      <x:c r="N10" t="str">
        <x:v>HOLD</x:v>
      </x:c>
      <x:c r="O10" t="str">
        <x:v>Await approved engineering/resources</x:v>
      </x:c>
      <x:c r="P10"/>
      <x:c r="Q10"/>
      <x:c r="R10" t="str">
        <x:v>Planning quantity: 122 MT; not accepted quantity</x:v>
      </x:c>
    </x:row>
    <x:row r="11">
      <x:c r="A11" t="str">
        <x:v>BR02-04</x:v>
      </x:c>
      <x:c r="B11" t="str">
        <x:v>ICW-ICG LD</x:v>
      </x:c>
      <x:c r="C11" t="str">
        <x:v>New bridge</x:v>
      </x:c>
      <x:c r="D11" t="str">
        <x:v>Marine readiness &amp; lift</x:v>
      </x:c>
      <x:c r="E11" t="str">
        <x:v>Marine</x:v>
      </x:c>
      <x:c r="F11"/>
      <x:c r="G11"/>
      <x:c r="H11"/>
      <x:c r="I11" t="n">
        <x:v>0</x:v>
      </x:c>
      <x:c r="J11" t="str">
        <x:v>lot</x:v>
      </x:c>
      <x:c r="K11" t="n">
        <x:v>0</x:v>
      </x:c>
      <x:c r="L11" t="n">
        <x:f>IFERROR(K11*MIN(1,I11/IF(J11="MT",IF(D11="Demolition &amp; handover",VLOOKUP(B11,'Bridge MTO'!A:D,3,FALSE),VLOOKUP(B11,'Bridge MTO'!A:D,2,FALSE)),1)),0)</x:f>
        <x:v>0</x:v>
      </x:c>
      <x:c r="M11" t="n">
        <x:v>0</x:v>
      </x:c>
      <x:c r="N11" t="str">
        <x:v>HOLD</x:v>
      </x:c>
      <x:c r="O11" t="str">
        <x:v>Await approved engineering/resources</x:v>
      </x:c>
      <x:c r="P11"/>
      <x:c r="Q11"/>
      <x:c r="R11" t="str">
        <x:v>Planning quantity: 1 lot; not accepted quantity</x:v>
      </x:c>
    </x:row>
    <x:row r="12">
      <x:c r="A12" t="str">
        <x:v>BR02-05</x:v>
      </x:c>
      <x:c r="B12" t="str">
        <x:v>ICW-ICG LD</x:v>
      </x:c>
      <x:c r="C12" t="str">
        <x:v>New bridge</x:v>
      </x:c>
      <x:c r="D12" t="str">
        <x:v>Offshore installation &amp; QA</x:v>
      </x:c>
      <x:c r="E12" t="str">
        <x:v>Offshore</x:v>
      </x:c>
      <x:c r="F12"/>
      <x:c r="G12"/>
      <x:c r="H12"/>
      <x:c r="I12" t="n">
        <x:v>0</x:v>
      </x:c>
      <x:c r="J12" t="str">
        <x:v>MT</x:v>
      </x:c>
      <x:c r="K12" t="n">
        <x:v>0</x:v>
      </x:c>
      <x:c r="L12" t="n">
        <x:f>IFERROR(K12*MIN(1,I12/IF(J12="MT",IF(D12="Demolition &amp; handover",VLOOKUP(B12,'Bridge MTO'!A:D,3,FALSE),VLOOKUP(B12,'Bridge MTO'!A:D,2,FALSE)),1)),0)</x:f>
        <x:v>0</x:v>
      </x:c>
      <x:c r="M12" t="n">
        <x:v>0</x:v>
      </x:c>
      <x:c r="N12" t="str">
        <x:v>HOLD</x:v>
      </x:c>
      <x:c r="O12" t="str">
        <x:v>Await approved engineering/resources</x:v>
      </x:c>
      <x:c r="P12"/>
      <x:c r="Q12"/>
      <x:c r="R12" t="str">
        <x:v>Planning quantity: 122 MT; not accepted quantity</x:v>
      </x:c>
    </x:row>
    <x:row r="13">
      <x:c r="A13" t="str">
        <x:v>BR02-06</x:v>
      </x:c>
      <x:c r="B13" t="str">
        <x:v>ICW-ICG LD</x:v>
      </x:c>
      <x:c r="C13" t="str">
        <x:v>New bridge</x:v>
      </x:c>
      <x:c r="D13" t="str">
        <x:v>Demolition &amp; handover</x:v>
      </x:c>
      <x:c r="E13" t="str">
        <x:v>Completion</x:v>
      </x:c>
      <x:c r="F13"/>
      <x:c r="G13"/>
      <x:c r="H13"/>
      <x:c r="I13" t="n">
        <x:v>0</x:v>
      </x:c>
      <x:c r="J13" t="str">
        <x:v>MT</x:v>
      </x:c>
      <x:c r="K13" t="n">
        <x:v>0</x:v>
      </x:c>
      <x:c r="L13" t="n">
        <x:f>IFERROR(K13*MIN(1,I13/IF(J13="MT",IF(D13="Demolition &amp; handover",VLOOKUP(B13,'Bridge MTO'!A:D,3,FALSE),VLOOKUP(B13,'Bridge MTO'!A:D,2,FALSE)),1)),0)</x:f>
        <x:v>0</x:v>
      </x:c>
      <x:c r="M13" t="n">
        <x:v>0</x:v>
      </x:c>
      <x:c r="N13" t="str">
        <x:v>HOLD</x:v>
      </x:c>
      <x:c r="O13" t="str">
        <x:v>Await approved engineering/resources</x:v>
      </x:c>
      <x:c r="P13"/>
      <x:c r="Q13"/>
      <x:c r="R13" t="str">
        <x:v>Planning quantity: 1 MT; not accepted quantity</x:v>
      </x:c>
    </x:row>
    <x:row r="14">
      <x:c r="A14" t="str">
        <x:v>BR03-01</x:v>
      </x:c>
      <x:c r="B14" t="str">
        <x:v>ICG-ICP UD</x:v>
      </x:c>
      <x:c r="C14" t="str">
        <x:v>Strengthening A</x:v>
      </x:c>
      <x:c r="D14" t="str">
        <x:v>Survey &amp; design</x:v>
      </x:c>
      <x:c r="E14" t="str">
        <x:v>Engineering</x:v>
      </x:c>
      <x:c r="F14"/>
      <x:c r="G14"/>
      <x:c r="H14"/>
      <x:c r="I14" t="n">
        <x:v>0</x:v>
      </x:c>
      <x:c r="J14" t="str">
        <x:v>lot</x:v>
      </x:c>
      <x:c r="K14" t="n">
        <x:v>0</x:v>
      </x:c>
      <x:c r="L14" t="n">
        <x:f>IFERROR(K14*MIN(1,I14/IF(J14="MT",IF(D14="Demolition &amp; handover",VLOOKUP(B14,'Bridge MTO'!A:D,3,FALSE),VLOOKUP(B14,'Bridge MTO'!A:D,2,FALSE)),1)),0)</x:f>
        <x:v>0</x:v>
      </x:c>
      <x:c r="M14" t="n">
        <x:v>0</x:v>
      </x:c>
      <x:c r="N14" t="str">
        <x:v>HOLD</x:v>
      </x:c>
      <x:c r="O14" t="str">
        <x:v>Await approved engineering/resources</x:v>
      </x:c>
      <x:c r="P14"/>
      <x:c r="Q14"/>
      <x:c r="R14" t="str">
        <x:v>Planning quantity: 1 lot; not accepted quantity</x:v>
      </x:c>
    </x:row>
    <x:row r="15">
      <x:c r="A15" t="str">
        <x:v>BR03-02</x:v>
      </x:c>
      <x:c r="B15" t="str">
        <x:v>ICG-ICP UD</x:v>
      </x:c>
      <x:c r="C15" t="str">
        <x:v>Strengthening A</x:v>
      </x:c>
      <x:c r="D15" t="str">
        <x:v>Procurement &amp; delivery</x:v>
      </x:c>
      <x:c r="E15" t="str">
        <x:v>Procurement</x:v>
      </x:c>
      <x:c r="F15"/>
      <x:c r="G15"/>
      <x:c r="H15"/>
      <x:c r="I15" t="n">
        <x:v>0</x:v>
      </x:c>
      <x:c r="J15" t="str">
        <x:v>lot</x:v>
      </x:c>
      <x:c r="K15" t="n">
        <x:v>0</x:v>
      </x:c>
      <x:c r="L15" t="n">
        <x:f>IFERROR(K15*MIN(1,I15/IF(J15="MT",IF(D15="Demolition &amp; handover",VLOOKUP(B15,'Bridge MTO'!A:D,3,FALSE),VLOOKUP(B15,'Bridge MTO'!A:D,2,FALSE)),1)),0)</x:f>
        <x:v>0</x:v>
      </x:c>
      <x:c r="M15" t="n">
        <x:v>0</x:v>
      </x:c>
      <x:c r="N15" t="str">
        <x:v>HOLD</x:v>
      </x:c>
      <x:c r="O15" t="str">
        <x:v>Await approved engineering/resources</x:v>
      </x:c>
      <x:c r="P15"/>
      <x:c r="Q15"/>
      <x:c r="R15" t="str">
        <x:v>Planning quantity: 1 lot; not accepted quantity</x:v>
      </x:c>
    </x:row>
    <x:row r="16">
      <x:c r="A16" t="str">
        <x:v>BR03-03</x:v>
      </x:c>
      <x:c r="B16" t="str">
        <x:v>ICG-ICP UD</x:v>
      </x:c>
      <x:c r="C16" t="str">
        <x:v>Strengthening A</x:v>
      </x:c>
      <x:c r="D16" t="str">
        <x:v>Shop fabrication &amp; QA</x:v>
      </x:c>
      <x:c r="E16" t="str">
        <x:v>Fabrication</x:v>
      </x:c>
      <x:c r="F16"/>
      <x:c r="G16"/>
      <x:c r="H16"/>
      <x:c r="I16" t="n">
        <x:v>0</x:v>
      </x:c>
      <x:c r="J16" t="str">
        <x:v>MT</x:v>
      </x:c>
      <x:c r="K16" t="n">
        <x:v>0</x:v>
      </x:c>
      <x:c r="L16" t="n">
        <x:f>IFERROR(K16*MIN(1,I16/IF(J16="MT",IF(D16="Demolition &amp; handover",VLOOKUP(B16,'Bridge MTO'!A:D,3,FALSE),VLOOKUP(B16,'Bridge MTO'!A:D,2,FALSE)),1)),0)</x:f>
        <x:v>0</x:v>
      </x:c>
      <x:c r="M16" t="n">
        <x:v>0</x:v>
      </x:c>
      <x:c r="N16" t="str">
        <x:v>HOLD</x:v>
      </x:c>
      <x:c r="O16" t="str">
        <x:v>Await approved engineering/resources</x:v>
      </x:c>
      <x:c r="P16"/>
      <x:c r="Q16"/>
      <x:c r="R16" t="str">
        <x:v>Planning quantity: 116 MT; not accepted quantity</x:v>
      </x:c>
    </x:row>
    <x:row r="17">
      <x:c r="A17" t="str">
        <x:v>BR03-04</x:v>
      </x:c>
      <x:c r="B17" t="str">
        <x:v>ICG-ICP UD</x:v>
      </x:c>
      <x:c r="C17" t="str">
        <x:v>Strengthening A</x:v>
      </x:c>
      <x:c r="D17" t="str">
        <x:v>Marine readiness &amp; lift</x:v>
      </x:c>
      <x:c r="E17" t="str">
        <x:v>Marine</x:v>
      </x:c>
      <x:c r="F17"/>
      <x:c r="G17"/>
      <x:c r="H17"/>
      <x:c r="I17" t="n">
        <x:v>0</x:v>
      </x:c>
      <x:c r="J17" t="str">
        <x:v>lot</x:v>
      </x:c>
      <x:c r="K17" t="n">
        <x:v>0</x:v>
      </x:c>
      <x:c r="L17" t="n">
        <x:f>IFERROR(K17*MIN(1,I17/IF(J17="MT",IF(D17="Demolition &amp; handover",VLOOKUP(B17,'Bridge MTO'!A:D,3,FALSE),VLOOKUP(B17,'Bridge MTO'!A:D,2,FALSE)),1)),0)</x:f>
        <x:v>0</x:v>
      </x:c>
      <x:c r="M17" t="n">
        <x:v>0</x:v>
      </x:c>
      <x:c r="N17" t="str">
        <x:v>HOLD</x:v>
      </x:c>
      <x:c r="O17" t="str">
        <x:v>Await approved engineering/resources</x:v>
      </x:c>
      <x:c r="P17"/>
      <x:c r="Q17"/>
      <x:c r="R17" t="str">
        <x:v>Planning quantity: 1 lot; not accepted quantity</x:v>
      </x:c>
    </x:row>
    <x:row r="18">
      <x:c r="A18" t="str">
        <x:v>BR03-05</x:v>
      </x:c>
      <x:c r="B18" t="str">
        <x:v>ICG-ICP UD</x:v>
      </x:c>
      <x:c r="C18" t="str">
        <x:v>Strengthening A</x:v>
      </x:c>
      <x:c r="D18" t="str">
        <x:v>Offshore installation &amp; QA</x:v>
      </x:c>
      <x:c r="E18" t="str">
        <x:v>Offshore</x:v>
      </x:c>
      <x:c r="F18"/>
      <x:c r="G18"/>
      <x:c r="H18"/>
      <x:c r="I18" t="n">
        <x:v>0</x:v>
      </x:c>
      <x:c r="J18" t="str">
        <x:v>MT</x:v>
      </x:c>
      <x:c r="K18" t="n">
        <x:v>0</x:v>
      </x:c>
      <x:c r="L18" t="n">
        <x:f>IFERROR(K18*MIN(1,I18/IF(J18="MT",IF(D18="Demolition &amp; handover",VLOOKUP(B18,'Bridge MTO'!A:D,3,FALSE),VLOOKUP(B18,'Bridge MTO'!A:D,2,FALSE)),1)),0)</x:f>
        <x:v>0</x:v>
      </x:c>
      <x:c r="M18" t="n">
        <x:v>0</x:v>
      </x:c>
      <x:c r="N18" t="str">
        <x:v>HOLD</x:v>
      </x:c>
      <x:c r="O18" t="str">
        <x:v>Await approved engineering/resources</x:v>
      </x:c>
      <x:c r="P18"/>
      <x:c r="Q18"/>
      <x:c r="R18" t="str">
        <x:v>Planning quantity: 116 MT; not accepted quantity</x:v>
      </x:c>
    </x:row>
    <x:row r="19">
      <x:c r="A19" t="str">
        <x:v>BR03-06</x:v>
      </x:c>
      <x:c r="B19" t="str">
        <x:v>ICG-ICP UD</x:v>
      </x:c>
      <x:c r="C19" t="str">
        <x:v>Strengthening A</x:v>
      </x:c>
      <x:c r="D19" t="str">
        <x:v>Demolition &amp; handover</x:v>
      </x:c>
      <x:c r="E19" t="str">
        <x:v>Completion</x:v>
      </x:c>
      <x:c r="F19"/>
      <x:c r="G19"/>
      <x:c r="H19"/>
      <x:c r="I19" t="n">
        <x:v>0</x:v>
      </x:c>
      <x:c r="J19" t="str">
        <x:v>MT</x:v>
      </x:c>
      <x:c r="K19" t="n">
        <x:v>0</x:v>
      </x:c>
      <x:c r="L19" t="n">
        <x:f>IFERROR(K19*MIN(1,I19/IF(J19="MT",IF(D19="Demolition &amp; handover",VLOOKUP(B19,'Bridge MTO'!A:D,3,FALSE),VLOOKUP(B19,'Bridge MTO'!A:D,2,FALSE)),1)),0)</x:f>
        <x:v>0</x:v>
      </x:c>
      <x:c r="M19" t="n">
        <x:v>0</x:v>
      </x:c>
      <x:c r="N19" t="str">
        <x:v>HOLD</x:v>
      </x:c>
      <x:c r="O19" t="str">
        <x:v>Await approved engineering/resources</x:v>
      </x:c>
      <x:c r="P19"/>
      <x:c r="Q19"/>
      <x:c r="R19" t="str">
        <x:v>Planning quantity: 25 MT; not accepted quantity</x:v>
      </x:c>
    </x:row>
    <x:row r="20">
      <x:c r="A20" t="str">
        <x:v>BR04-01</x:v>
      </x:c>
      <x:c r="B20" t="str">
        <x:v>ICG-ICP LD</x:v>
      </x:c>
      <x:c r="C20" t="str">
        <x:v>New bridge</x:v>
      </x:c>
      <x:c r="D20" t="str">
        <x:v>Survey &amp; design</x:v>
      </x:c>
      <x:c r="E20" t="str">
        <x:v>Engineering</x:v>
      </x:c>
      <x:c r="F20"/>
      <x:c r="G20"/>
      <x:c r="H20"/>
      <x:c r="I20" t="n">
        <x:v>0</x:v>
      </x:c>
      <x:c r="J20" t="str">
        <x:v>lot</x:v>
      </x:c>
      <x:c r="K20" t="n">
        <x:v>0</x:v>
      </x:c>
      <x:c r="L20" t="n">
        <x:f>IFERROR(K20*MIN(1,I20/IF(J20="MT",IF(D20="Demolition &amp; handover",VLOOKUP(B20,'Bridge MTO'!A:D,3,FALSE),VLOOKUP(B20,'Bridge MTO'!A:D,2,FALSE)),1)),0)</x:f>
        <x:v>0</x:v>
      </x:c>
      <x:c r="M20" t="n">
        <x:v>0</x:v>
      </x:c>
      <x:c r="N20" t="str">
        <x:v>HOLD</x:v>
      </x:c>
      <x:c r="O20" t="str">
        <x:v>Await approved engineering/resources</x:v>
      </x:c>
      <x:c r="P20"/>
      <x:c r="Q20"/>
      <x:c r="R20" t="str">
        <x:v>Planning quantity: 1 lot; not accepted quantity</x:v>
      </x:c>
    </x:row>
    <x:row r="21">
      <x:c r="A21" t="str">
        <x:v>BR04-02</x:v>
      </x:c>
      <x:c r="B21" t="str">
        <x:v>ICG-ICP LD</x:v>
      </x:c>
      <x:c r="C21" t="str">
        <x:v>New bridge</x:v>
      </x:c>
      <x:c r="D21" t="str">
        <x:v>Procurement &amp; delivery</x:v>
      </x:c>
      <x:c r="E21" t="str">
        <x:v>Procurement</x:v>
      </x:c>
      <x:c r="F21"/>
      <x:c r="G21"/>
      <x:c r="H21"/>
      <x:c r="I21" t="n">
        <x:v>0</x:v>
      </x:c>
      <x:c r="J21" t="str">
        <x:v>lot</x:v>
      </x:c>
      <x:c r="K21" t="n">
        <x:v>0</x:v>
      </x:c>
      <x:c r="L21" t="n">
        <x:f>IFERROR(K21*MIN(1,I21/IF(J21="MT",IF(D21="Demolition &amp; handover",VLOOKUP(B21,'Bridge MTO'!A:D,3,FALSE),VLOOKUP(B21,'Bridge MTO'!A:D,2,FALSE)),1)),0)</x:f>
        <x:v>0</x:v>
      </x:c>
      <x:c r="M21" t="n">
        <x:v>0</x:v>
      </x:c>
      <x:c r="N21" t="str">
        <x:v>HOLD</x:v>
      </x:c>
      <x:c r="O21" t="str">
        <x:v>Await approved engineering/resources</x:v>
      </x:c>
      <x:c r="P21"/>
      <x:c r="Q21"/>
      <x:c r="R21" t="str">
        <x:v>Planning quantity: 1 lot; not accepted quantity</x:v>
      </x:c>
    </x:row>
    <x:row r="22">
      <x:c r="A22" t="str">
        <x:v>BR04-03</x:v>
      </x:c>
      <x:c r="B22" t="str">
        <x:v>ICG-ICP LD</x:v>
      </x:c>
      <x:c r="C22" t="str">
        <x:v>New bridge</x:v>
      </x:c>
      <x:c r="D22" t="str">
        <x:v>Shop fabrication &amp; QA</x:v>
      </x:c>
      <x:c r="E22" t="str">
        <x:v>Fabrication</x:v>
      </x:c>
      <x:c r="F22"/>
      <x:c r="G22"/>
      <x:c r="H22"/>
      <x:c r="I22" t="n">
        <x:v>0</x:v>
      </x:c>
      <x:c r="J22" t="str">
        <x:v>MT</x:v>
      </x:c>
      <x:c r="K22" t="n">
        <x:v>0</x:v>
      </x:c>
      <x:c r="L22" t="n">
        <x:f>IFERROR(K22*MIN(1,I22/IF(J22="MT",IF(D22="Demolition &amp; handover",VLOOKUP(B22,'Bridge MTO'!A:D,3,FALSE),VLOOKUP(B22,'Bridge MTO'!A:D,2,FALSE)),1)),0)</x:f>
        <x:v>0</x:v>
      </x:c>
      <x:c r="M22" t="n">
        <x:v>0</x:v>
      </x:c>
      <x:c r="N22" t="str">
        <x:v>HOLD</x:v>
      </x:c>
      <x:c r="O22" t="str">
        <x:v>Await approved engineering/resources</x:v>
      </x:c>
      <x:c r="P22"/>
      <x:c r="Q22"/>
      <x:c r="R22" t="str">
        <x:v>Planning quantity: 160 MT; not accepted quantity</x:v>
      </x:c>
    </x:row>
    <x:row r="23">
      <x:c r="A23" t="str">
        <x:v>BR04-04</x:v>
      </x:c>
      <x:c r="B23" t="str">
        <x:v>ICG-ICP LD</x:v>
      </x:c>
      <x:c r="C23" t="str">
        <x:v>New bridge</x:v>
      </x:c>
      <x:c r="D23" t="str">
        <x:v>Marine readiness &amp; lift</x:v>
      </x:c>
      <x:c r="E23" t="str">
        <x:v>Marine</x:v>
      </x:c>
      <x:c r="F23"/>
      <x:c r="G23"/>
      <x:c r="H23"/>
      <x:c r="I23" t="n">
        <x:v>0</x:v>
      </x:c>
      <x:c r="J23" t="str">
        <x:v>lot</x:v>
      </x:c>
      <x:c r="K23" t="n">
        <x:v>0</x:v>
      </x:c>
      <x:c r="L23" t="n">
        <x:f>IFERROR(K23*MIN(1,I23/IF(J23="MT",IF(D23="Demolition &amp; handover",VLOOKUP(B23,'Bridge MTO'!A:D,3,FALSE),VLOOKUP(B23,'Bridge MTO'!A:D,2,FALSE)),1)),0)</x:f>
        <x:v>0</x:v>
      </x:c>
      <x:c r="M23" t="n">
        <x:v>0</x:v>
      </x:c>
      <x:c r="N23" t="str">
        <x:v>HOLD</x:v>
      </x:c>
      <x:c r="O23" t="str">
        <x:v>Await approved engineering/resources</x:v>
      </x:c>
      <x:c r="P23"/>
      <x:c r="Q23"/>
      <x:c r="R23" t="str">
        <x:v>Planning quantity: 1 lot; not accepted quantity</x:v>
      </x:c>
    </x:row>
    <x:row r="24">
      <x:c r="A24" t="str">
        <x:v>BR04-05</x:v>
      </x:c>
      <x:c r="B24" t="str">
        <x:v>ICG-ICP LD</x:v>
      </x:c>
      <x:c r="C24" t="str">
        <x:v>New bridge</x:v>
      </x:c>
      <x:c r="D24" t="str">
        <x:v>Offshore installation &amp; QA</x:v>
      </x:c>
      <x:c r="E24" t="str">
        <x:v>Offshore</x:v>
      </x:c>
      <x:c r="F24"/>
      <x:c r="G24"/>
      <x:c r="H24"/>
      <x:c r="I24" t="n">
        <x:v>0</x:v>
      </x:c>
      <x:c r="J24" t="str">
        <x:v>MT</x:v>
      </x:c>
      <x:c r="K24" t="n">
        <x:v>0</x:v>
      </x:c>
      <x:c r="L24" t="n">
        <x:f>IFERROR(K24*MIN(1,I24/IF(J24="MT",IF(D24="Demolition &amp; handover",VLOOKUP(B24,'Bridge MTO'!A:D,3,FALSE),VLOOKUP(B24,'Bridge MTO'!A:D,2,FALSE)),1)),0)</x:f>
        <x:v>0</x:v>
      </x:c>
      <x:c r="M24" t="n">
        <x:v>0</x:v>
      </x:c>
      <x:c r="N24" t="str">
        <x:v>HOLD</x:v>
      </x:c>
      <x:c r="O24" t="str">
        <x:v>Await approved engineering/resources</x:v>
      </x:c>
      <x:c r="P24"/>
      <x:c r="Q24"/>
      <x:c r="R24" t="str">
        <x:v>Planning quantity: 160 MT; not accepted quantity</x:v>
      </x:c>
    </x:row>
    <x:row r="25">
      <x:c r="A25" t="str">
        <x:v>BR04-06</x:v>
      </x:c>
      <x:c r="B25" t="str">
        <x:v>ICG-ICP LD</x:v>
      </x:c>
      <x:c r="C25" t="str">
        <x:v>New bridge</x:v>
      </x:c>
      <x:c r="D25" t="str">
        <x:v>Demolition &amp; handover</x:v>
      </x:c>
      <x:c r="E25" t="str">
        <x:v>Completion</x:v>
      </x:c>
      <x:c r="F25"/>
      <x:c r="G25"/>
      <x:c r="H25"/>
      <x:c r="I25" t="n">
        <x:v>0</x:v>
      </x:c>
      <x:c r="J25" t="str">
        <x:v>MT</x:v>
      </x:c>
      <x:c r="K25" t="n">
        <x:v>0</x:v>
      </x:c>
      <x:c r="L25" t="n">
        <x:f>IFERROR(K25*MIN(1,I25/IF(J25="MT",IF(D25="Demolition &amp; handover",VLOOKUP(B25,'Bridge MTO'!A:D,3,FALSE),VLOOKUP(B25,'Bridge MTO'!A:D,2,FALSE)),1)),0)</x:f>
        <x:v>0</x:v>
      </x:c>
      <x:c r="M25" t="n">
        <x:v>0</x:v>
      </x:c>
      <x:c r="N25" t="str">
        <x:v>HOLD</x:v>
      </x:c>
      <x:c r="O25" t="str">
        <x:v>Await approved engineering/resources</x:v>
      </x:c>
      <x:c r="P25"/>
      <x:c r="Q25"/>
      <x:c r="R25" t="str">
        <x:v>Planning quantity: 1 MT; not accepted quantity</x:v>
      </x:c>
    </x:row>
    <x:row r="26">
      <x:c r="A26" t="str">
        <x:v>BR05-01</x:v>
      </x:c>
      <x:c r="B26" t="str">
        <x:v>BHS-SLQ</x:v>
      </x:c>
      <x:c r="C26" t="str">
        <x:v>Replacement</x:v>
      </x:c>
      <x:c r="D26" t="str">
        <x:v>Survey &amp; design</x:v>
      </x:c>
      <x:c r="E26" t="str">
        <x:v>Engineering</x:v>
      </x:c>
      <x:c r="F26"/>
      <x:c r="G26"/>
      <x:c r="H26"/>
      <x:c r="I26" t="n">
        <x:v>0</x:v>
      </x:c>
      <x:c r="J26" t="str">
        <x:v>lot</x:v>
      </x:c>
      <x:c r="K26" t="n">
        <x:v>0</x:v>
      </x:c>
      <x:c r="L26" t="n">
        <x:f>IFERROR(K26*MIN(1,I26/IF(J26="MT",IF(D26="Demolition &amp; handover",VLOOKUP(B26,'Bridge MTO'!A:D,3,FALSE),VLOOKUP(B26,'Bridge MTO'!A:D,2,FALSE)),1)),0)</x:f>
        <x:v>0</x:v>
      </x:c>
      <x:c r="M26" t="n">
        <x:v>0</x:v>
      </x:c>
      <x:c r="N26" t="str">
        <x:v>HOLD</x:v>
      </x:c>
      <x:c r="O26" t="str">
        <x:v>Await approved engineering/resources</x:v>
      </x:c>
      <x:c r="P26"/>
      <x:c r="Q26"/>
      <x:c r="R26" t="str">
        <x:v>Planning quantity: 1 lot; not accepted quantity</x:v>
      </x:c>
    </x:row>
    <x:row r="27">
      <x:c r="A27" t="str">
        <x:v>BR05-02</x:v>
      </x:c>
      <x:c r="B27" t="str">
        <x:v>BHS-SLQ</x:v>
      </x:c>
      <x:c r="C27" t="str">
        <x:v>Replacement</x:v>
      </x:c>
      <x:c r="D27" t="str">
        <x:v>Procurement &amp; delivery</x:v>
      </x:c>
      <x:c r="E27" t="str">
        <x:v>Procurement</x:v>
      </x:c>
      <x:c r="F27"/>
      <x:c r="G27"/>
      <x:c r="H27"/>
      <x:c r="I27" t="n">
        <x:v>0</x:v>
      </x:c>
      <x:c r="J27" t="str">
        <x:v>lot</x:v>
      </x:c>
      <x:c r="K27" t="n">
        <x:v>0</x:v>
      </x:c>
      <x:c r="L27" t="n">
        <x:f>IFERROR(K27*MIN(1,I27/IF(J27="MT",IF(D27="Demolition &amp; handover",VLOOKUP(B27,'Bridge MTO'!A:D,3,FALSE),VLOOKUP(B27,'Bridge MTO'!A:D,2,FALSE)),1)),0)</x:f>
        <x:v>0</x:v>
      </x:c>
      <x:c r="M27" t="n">
        <x:v>0</x:v>
      </x:c>
      <x:c r="N27" t="str">
        <x:v>HOLD</x:v>
      </x:c>
      <x:c r="O27" t="str">
        <x:v>Await approved engineering/resources</x:v>
      </x:c>
      <x:c r="P27"/>
      <x:c r="Q27"/>
      <x:c r="R27" t="str">
        <x:v>Planning quantity: 1 lot; not accepted quantity</x:v>
      </x:c>
    </x:row>
    <x:row r="28">
      <x:c r="A28" t="str">
        <x:v>BR05-03</x:v>
      </x:c>
      <x:c r="B28" t="str">
        <x:v>BHS-SLQ</x:v>
      </x:c>
      <x:c r="C28" t="str">
        <x:v>Replacement</x:v>
      </x:c>
      <x:c r="D28" t="str">
        <x:v>Shop fabrication &amp; QA</x:v>
      </x:c>
      <x:c r="E28" t="str">
        <x:v>Fabrication</x:v>
      </x:c>
      <x:c r="F28"/>
      <x:c r="G28"/>
      <x:c r="H28"/>
      <x:c r="I28" t="n">
        <x:v>0</x:v>
      </x:c>
      <x:c r="J28" t="str">
        <x:v>MT</x:v>
      </x:c>
      <x:c r="K28" t="n">
        <x:v>0</x:v>
      </x:c>
      <x:c r="L28" t="n">
        <x:f>IFERROR(K28*MIN(1,I28/IF(J28="MT",IF(D28="Demolition &amp; handover",VLOOKUP(B28,'Bridge MTO'!A:D,3,FALSE),VLOOKUP(B28,'Bridge MTO'!A:D,2,FALSE)),1)),0)</x:f>
        <x:v>0</x:v>
      </x:c>
      <x:c r="M28" t="n">
        <x:v>0</x:v>
      </x:c>
      <x:c r="N28" t="str">
        <x:v>HOLD</x:v>
      </x:c>
      <x:c r="O28" t="str">
        <x:v>Await approved engineering/resources</x:v>
      </x:c>
      <x:c r="P28"/>
      <x:c r="Q28"/>
      <x:c r="R28" t="str">
        <x:v>Planning quantity: 282 MT; not accepted quantity</x:v>
      </x:c>
    </x:row>
    <x:row r="29">
      <x:c r="A29" t="str">
        <x:v>BR05-04</x:v>
      </x:c>
      <x:c r="B29" t="str">
        <x:v>BHS-SLQ</x:v>
      </x:c>
      <x:c r="C29" t="str">
        <x:v>Replacement</x:v>
      </x:c>
      <x:c r="D29" t="str">
        <x:v>Marine readiness &amp; lift</x:v>
      </x:c>
      <x:c r="E29" t="str">
        <x:v>Marine</x:v>
      </x:c>
      <x:c r="F29"/>
      <x:c r="G29"/>
      <x:c r="H29"/>
      <x:c r="I29" t="n">
        <x:v>0</x:v>
      </x:c>
      <x:c r="J29" t="str">
        <x:v>lot</x:v>
      </x:c>
      <x:c r="K29" t="n">
        <x:v>0</x:v>
      </x:c>
      <x:c r="L29" t="n">
        <x:f>IFERROR(K29*MIN(1,I29/IF(J29="MT",IF(D29="Demolition &amp; handover",VLOOKUP(B29,'Bridge MTO'!A:D,3,FALSE),VLOOKUP(B29,'Bridge MTO'!A:D,2,FALSE)),1)),0)</x:f>
        <x:v>0</x:v>
      </x:c>
      <x:c r="M29" t="n">
        <x:v>0</x:v>
      </x:c>
      <x:c r="N29" t="str">
        <x:v>HOLD</x:v>
      </x:c>
      <x:c r="O29" t="str">
        <x:v>Await approved engineering/resources</x:v>
      </x:c>
      <x:c r="P29"/>
      <x:c r="Q29"/>
      <x:c r="R29" t="str">
        <x:v>Planning quantity: 1 lot; not accepted quantity</x:v>
      </x:c>
    </x:row>
    <x:row r="30">
      <x:c r="A30" t="str">
        <x:v>BR05-05</x:v>
      </x:c>
      <x:c r="B30" t="str">
        <x:v>BHS-SLQ</x:v>
      </x:c>
      <x:c r="C30" t="str">
        <x:v>Replacement</x:v>
      </x:c>
      <x:c r="D30" t="str">
        <x:v>Offshore installation &amp; QA</x:v>
      </x:c>
      <x:c r="E30" t="str">
        <x:v>Offshore</x:v>
      </x:c>
      <x:c r="F30"/>
      <x:c r="G30"/>
      <x:c r="H30"/>
      <x:c r="I30" t="n">
        <x:v>0</x:v>
      </x:c>
      <x:c r="J30" t="str">
        <x:v>MT</x:v>
      </x:c>
      <x:c r="K30" t="n">
        <x:v>0</x:v>
      </x:c>
      <x:c r="L30" t="n">
        <x:f>IFERROR(K30*MIN(1,I30/IF(J30="MT",IF(D30="Demolition &amp; handover",VLOOKUP(B30,'Bridge MTO'!A:D,3,FALSE),VLOOKUP(B30,'Bridge MTO'!A:D,2,FALSE)),1)),0)</x:f>
        <x:v>0</x:v>
      </x:c>
      <x:c r="M30" t="n">
        <x:v>0</x:v>
      </x:c>
      <x:c r="N30" t="str">
        <x:v>HOLD</x:v>
      </x:c>
      <x:c r="O30" t="str">
        <x:v>Await approved engineering/resources</x:v>
      </x:c>
      <x:c r="P30"/>
      <x:c r="Q30"/>
      <x:c r="R30" t="str">
        <x:v>Planning quantity: 282 MT; not accepted quantity</x:v>
      </x:c>
    </x:row>
    <x:row r="31">
      <x:c r="A31" t="str">
        <x:v>BR05-06</x:v>
      </x:c>
      <x:c r="B31" t="str">
        <x:v>BHS-SLQ</x:v>
      </x:c>
      <x:c r="C31" t="str">
        <x:v>Replacement</x:v>
      </x:c>
      <x:c r="D31" t="str">
        <x:v>Demolition &amp; handover</x:v>
      </x:c>
      <x:c r="E31" t="str">
        <x:v>Completion</x:v>
      </x:c>
      <x:c r="F31"/>
      <x:c r="G31"/>
      <x:c r="H31"/>
      <x:c r="I31" t="n">
        <x:v>0</x:v>
      </x:c>
      <x:c r="J31" t="str">
        <x:v>MT</x:v>
      </x:c>
      <x:c r="K31" t="n">
        <x:v>0</x:v>
      </x:c>
      <x:c r="L31" t="n">
        <x:f>IFERROR(K31*MIN(1,I31/IF(J31="MT",IF(D31="Demolition &amp; handover",VLOOKUP(B31,'Bridge MTO'!A:D,3,FALSE),VLOOKUP(B31,'Bridge MTO'!A:D,2,FALSE)),1)),0)</x:f>
        <x:v>0</x:v>
      </x:c>
      <x:c r="M31" t="n">
        <x:v>0</x:v>
      </x:c>
      <x:c r="N31" t="str">
        <x:v>HOLD</x:v>
      </x:c>
      <x:c r="O31" t="str">
        <x:v>Await approved engineering/resources</x:v>
      </x:c>
      <x:c r="P31"/>
      <x:c r="Q31"/>
      <x:c r="R31" t="str">
        <x:v>Planning quantity: 210 MT; not accepted quantity</x:v>
      </x:c>
    </x:row>
    <x:row r="32">
      <x:c r="A32" t="str">
        <x:v>BR06-01</x:v>
      </x:c>
      <x:c r="B32" t="str">
        <x:v>SLQ-WIS</x:v>
      </x:c>
      <x:c r="C32" t="str">
        <x:v>Strengthening A</x:v>
      </x:c>
      <x:c r="D32" t="str">
        <x:v>Survey &amp; design</x:v>
      </x:c>
      <x:c r="E32" t="str">
        <x:v>Engineering</x:v>
      </x:c>
      <x:c r="F32"/>
      <x:c r="G32"/>
      <x:c r="H32"/>
      <x:c r="I32" t="n">
        <x:v>0</x:v>
      </x:c>
      <x:c r="J32" t="str">
        <x:v>lot</x:v>
      </x:c>
      <x:c r="K32" t="n">
        <x:v>0</x:v>
      </x:c>
      <x:c r="L32" t="n">
        <x:f>IFERROR(K32*MIN(1,I32/IF(J32="MT",IF(D32="Demolition &amp; handover",VLOOKUP(B32,'Bridge MTO'!A:D,3,FALSE),VLOOKUP(B32,'Bridge MTO'!A:D,2,FALSE)),1)),0)</x:f>
        <x:v>0</x:v>
      </x:c>
      <x:c r="M32" t="n">
        <x:v>0</x:v>
      </x:c>
      <x:c r="N32" t="str">
        <x:v>HOLD</x:v>
      </x:c>
      <x:c r="O32" t="str">
        <x:v>Await approved engineering/resources</x:v>
      </x:c>
      <x:c r="P32"/>
      <x:c r="Q32"/>
      <x:c r="R32" t="str">
        <x:v>Planning quantity: 1 lot; not accepted quantity</x:v>
      </x:c>
    </x:row>
    <x:row r="33">
      <x:c r="A33" t="str">
        <x:v>BR06-02</x:v>
      </x:c>
      <x:c r="B33" t="str">
        <x:v>SLQ-WIS</x:v>
      </x:c>
      <x:c r="C33" t="str">
        <x:v>Strengthening A</x:v>
      </x:c>
      <x:c r="D33" t="str">
        <x:v>Procurement &amp; delivery</x:v>
      </x:c>
      <x:c r="E33" t="str">
        <x:v>Procurement</x:v>
      </x:c>
      <x:c r="F33"/>
      <x:c r="G33"/>
      <x:c r="H33"/>
      <x:c r="I33" t="n">
        <x:v>0</x:v>
      </x:c>
      <x:c r="J33" t="str">
        <x:v>lot</x:v>
      </x:c>
      <x:c r="K33" t="n">
        <x:v>0</x:v>
      </x:c>
      <x:c r="L33" t="n">
        <x:f>IFERROR(K33*MIN(1,I33/IF(J33="MT",IF(D33="Demolition &amp; handover",VLOOKUP(B33,'Bridge MTO'!A:D,3,FALSE),VLOOKUP(B33,'Bridge MTO'!A:D,2,FALSE)),1)),0)</x:f>
        <x:v>0</x:v>
      </x:c>
      <x:c r="M33" t="n">
        <x:v>0</x:v>
      </x:c>
      <x:c r="N33" t="str">
        <x:v>HOLD</x:v>
      </x:c>
      <x:c r="O33" t="str">
        <x:v>Await approved engineering/resources</x:v>
      </x:c>
      <x:c r="P33"/>
      <x:c r="Q33"/>
      <x:c r="R33" t="str">
        <x:v>Planning quantity: 1 lot; not accepted quantity</x:v>
      </x:c>
    </x:row>
    <x:row r="34">
      <x:c r="A34" t="str">
        <x:v>BR06-03</x:v>
      </x:c>
      <x:c r="B34" t="str">
        <x:v>SLQ-WIS</x:v>
      </x:c>
      <x:c r="C34" t="str">
        <x:v>Strengthening A</x:v>
      </x:c>
      <x:c r="D34" t="str">
        <x:v>Shop fabrication &amp; QA</x:v>
      </x:c>
      <x:c r="E34" t="str">
        <x:v>Fabrication</x:v>
      </x:c>
      <x:c r="F34"/>
      <x:c r="G34"/>
      <x:c r="H34"/>
      <x:c r="I34" t="n">
        <x:v>0</x:v>
      </x:c>
      <x:c r="J34" t="str">
        <x:v>MT</x:v>
      </x:c>
      <x:c r="K34" t="n">
        <x:v>0</x:v>
      </x:c>
      <x:c r="L34" t="n">
        <x:f>IFERROR(K34*MIN(1,I34/IF(J34="MT",IF(D34="Demolition &amp; handover",VLOOKUP(B34,'Bridge MTO'!A:D,3,FALSE),VLOOKUP(B34,'Bridge MTO'!A:D,2,FALSE)),1)),0)</x:f>
        <x:v>0</x:v>
      </x:c>
      <x:c r="M34" t="n">
        <x:v>0</x:v>
      </x:c>
      <x:c r="N34" t="str">
        <x:v>HOLD</x:v>
      </x:c>
      <x:c r="O34" t="str">
        <x:v>Await approved engineering/resources</x:v>
      </x:c>
      <x:c r="P34"/>
      <x:c r="Q34"/>
      <x:c r="R34" t="str">
        <x:v>Planning quantity: 91 MT; not accepted quantity</x:v>
      </x:c>
    </x:row>
    <x:row r="35">
      <x:c r="A35" t="str">
        <x:v>BR06-04</x:v>
      </x:c>
      <x:c r="B35" t="str">
        <x:v>SLQ-WIS</x:v>
      </x:c>
      <x:c r="C35" t="str">
        <x:v>Strengthening A</x:v>
      </x:c>
      <x:c r="D35" t="str">
        <x:v>Marine readiness &amp; lift</x:v>
      </x:c>
      <x:c r="E35" t="str">
        <x:v>Marine</x:v>
      </x:c>
      <x:c r="F35"/>
      <x:c r="G35"/>
      <x:c r="H35"/>
      <x:c r="I35" t="n">
        <x:v>0</x:v>
      </x:c>
      <x:c r="J35" t="str">
        <x:v>lot</x:v>
      </x:c>
      <x:c r="K35" t="n">
        <x:v>0</x:v>
      </x:c>
      <x:c r="L35" t="n">
        <x:f>IFERROR(K35*MIN(1,I35/IF(J35="MT",IF(D35="Demolition &amp; handover",VLOOKUP(B35,'Bridge MTO'!A:D,3,FALSE),VLOOKUP(B35,'Bridge MTO'!A:D,2,FALSE)),1)),0)</x:f>
        <x:v>0</x:v>
      </x:c>
      <x:c r="M35" t="n">
        <x:v>0</x:v>
      </x:c>
      <x:c r="N35" t="str">
        <x:v>HOLD</x:v>
      </x:c>
      <x:c r="O35" t="str">
        <x:v>Await approved engineering/resources</x:v>
      </x:c>
      <x:c r="P35"/>
      <x:c r="Q35"/>
      <x:c r="R35" t="str">
        <x:v>Planning quantity: 1 lot; not accepted quantity</x:v>
      </x:c>
    </x:row>
    <x:row r="36">
      <x:c r="A36" t="str">
        <x:v>BR06-05</x:v>
      </x:c>
      <x:c r="B36" t="str">
        <x:v>SLQ-WIS</x:v>
      </x:c>
      <x:c r="C36" t="str">
        <x:v>Strengthening A</x:v>
      </x:c>
      <x:c r="D36" t="str">
        <x:v>Offshore installation &amp; QA</x:v>
      </x:c>
      <x:c r="E36" t="str">
        <x:v>Offshore</x:v>
      </x:c>
      <x:c r="F36"/>
      <x:c r="G36"/>
      <x:c r="H36"/>
      <x:c r="I36" t="n">
        <x:v>0</x:v>
      </x:c>
      <x:c r="J36" t="str">
        <x:v>MT</x:v>
      </x:c>
      <x:c r="K36" t="n">
        <x:v>0</x:v>
      </x:c>
      <x:c r="L36" t="n">
        <x:f>IFERROR(K36*MIN(1,I36/IF(J36="MT",IF(D36="Demolition &amp; handover",VLOOKUP(B36,'Bridge MTO'!A:D,3,FALSE),VLOOKUP(B36,'Bridge MTO'!A:D,2,FALSE)),1)),0)</x:f>
        <x:v>0</x:v>
      </x:c>
      <x:c r="M36" t="n">
        <x:v>0</x:v>
      </x:c>
      <x:c r="N36" t="str">
        <x:v>HOLD</x:v>
      </x:c>
      <x:c r="O36" t="str">
        <x:v>Await approved engineering/resources</x:v>
      </x:c>
      <x:c r="P36"/>
      <x:c r="Q36"/>
      <x:c r="R36" t="str">
        <x:v>Planning quantity: 91 MT; not accepted quantity</x:v>
      </x:c>
    </x:row>
    <x:row r="37">
      <x:c r="A37" t="str">
        <x:v>BR06-06</x:v>
      </x:c>
      <x:c r="B37" t="str">
        <x:v>SLQ-WIS</x:v>
      </x:c>
      <x:c r="C37" t="str">
        <x:v>Strengthening A</x:v>
      </x:c>
      <x:c r="D37" t="str">
        <x:v>Demolition &amp; handover</x:v>
      </x:c>
      <x:c r="E37" t="str">
        <x:v>Completion</x:v>
      </x:c>
      <x:c r="F37"/>
      <x:c r="G37"/>
      <x:c r="H37"/>
      <x:c r="I37" t="n">
        <x:v>0</x:v>
      </x:c>
      <x:c r="J37" t="str">
        <x:v>MT</x:v>
      </x:c>
      <x:c r="K37" t="n">
        <x:v>0</x:v>
      </x:c>
      <x:c r="L37" t="n">
        <x:f>IFERROR(K37*MIN(1,I37/IF(J37="MT",IF(D37="Demolition &amp; handover",VLOOKUP(B37,'Bridge MTO'!A:D,3,FALSE),VLOOKUP(B37,'Bridge MTO'!A:D,2,FALSE)),1)),0)</x:f>
        <x:v>0</x:v>
      </x:c>
      <x:c r="M37" t="n">
        <x:v>0</x:v>
      </x:c>
      <x:c r="N37" t="str">
        <x:v>HOLD</x:v>
      </x:c>
      <x:c r="O37" t="str">
        <x:v>Await approved engineering/resources</x:v>
      </x:c>
      <x:c r="P37"/>
      <x:c r="Q37"/>
      <x:c r="R37" t="str">
        <x:v>Planning quantity: 15 MT; not accepted quantity</x:v>
      </x:c>
    </x:row>
    <x:row r="38">
      <x:c r="A38" t="str">
        <x:v>BR07-01</x:v>
      </x:c>
      <x:c r="B38" t="str">
        <x:v>NQO-NQD</x:v>
      </x:c>
      <x:c r="C38" t="str">
        <x:v>Strengthening B</x:v>
      </x:c>
      <x:c r="D38" t="str">
        <x:v>Survey &amp; design</x:v>
      </x:c>
      <x:c r="E38" t="str">
        <x:v>Engineering</x:v>
      </x:c>
      <x:c r="F38"/>
      <x:c r="G38"/>
      <x:c r="H38"/>
      <x:c r="I38" t="n">
        <x:v>0</x:v>
      </x:c>
      <x:c r="J38" t="str">
        <x:v>lot</x:v>
      </x:c>
      <x:c r="K38" t="n">
        <x:v>0</x:v>
      </x:c>
      <x:c r="L38" t="n">
        <x:f>IFERROR(K38*MIN(1,I38/IF(J38="MT",IF(D38="Demolition &amp; handover",VLOOKUP(B38,'Bridge MTO'!A:D,3,FALSE),VLOOKUP(B38,'Bridge MTO'!A:D,2,FALSE)),1)),0)</x:f>
        <x:v>0</x:v>
      </x:c>
      <x:c r="M38" t="n">
        <x:v>0</x:v>
      </x:c>
      <x:c r="N38" t="str">
        <x:v>HOLD</x:v>
      </x:c>
      <x:c r="O38" t="str">
        <x:v>Await approved engineering/resources</x:v>
      </x:c>
      <x:c r="P38"/>
      <x:c r="Q38"/>
      <x:c r="R38" t="str">
        <x:v>Planning quantity: 1 lot; not accepted quantity</x:v>
      </x:c>
    </x:row>
    <x:row r="39">
      <x:c r="A39" t="str">
        <x:v>BR07-02</x:v>
      </x:c>
      <x:c r="B39" t="str">
        <x:v>NQO-NQD</x:v>
      </x:c>
      <x:c r="C39" t="str">
        <x:v>Strengthening B</x:v>
      </x:c>
      <x:c r="D39" t="str">
        <x:v>Procurement &amp; delivery</x:v>
      </x:c>
      <x:c r="E39" t="str">
        <x:v>Procurement</x:v>
      </x:c>
      <x:c r="F39"/>
      <x:c r="G39"/>
      <x:c r="H39"/>
      <x:c r="I39" t="n">
        <x:v>0</x:v>
      </x:c>
      <x:c r="J39" t="str">
        <x:v>lot</x:v>
      </x:c>
      <x:c r="K39" t="n">
        <x:v>0</x:v>
      </x:c>
      <x:c r="L39" t="n">
        <x:f>IFERROR(K39*MIN(1,I39/IF(J39="MT",IF(D39="Demolition &amp; handover",VLOOKUP(B39,'Bridge MTO'!A:D,3,FALSE),VLOOKUP(B39,'Bridge MTO'!A:D,2,FALSE)),1)),0)</x:f>
        <x:v>0</x:v>
      </x:c>
      <x:c r="M39" t="n">
        <x:v>0</x:v>
      </x:c>
      <x:c r="N39" t="str">
        <x:v>HOLD</x:v>
      </x:c>
      <x:c r="O39" t="str">
        <x:v>Await approved engineering/resources</x:v>
      </x:c>
      <x:c r="P39"/>
      <x:c r="Q39"/>
      <x:c r="R39" t="str">
        <x:v>Planning quantity: 1 lot; not accepted quantity</x:v>
      </x:c>
    </x:row>
    <x:row r="40">
      <x:c r="A40" t="str">
        <x:v>BR07-03</x:v>
      </x:c>
      <x:c r="B40" t="str">
        <x:v>NQO-NQD</x:v>
      </x:c>
      <x:c r="C40" t="str">
        <x:v>Strengthening B</x:v>
      </x:c>
      <x:c r="D40" t="str">
        <x:v>Shop fabrication &amp; QA</x:v>
      </x:c>
      <x:c r="E40" t="str">
        <x:v>Fabrication</x:v>
      </x:c>
      <x:c r="F40"/>
      <x:c r="G40"/>
      <x:c r="H40"/>
      <x:c r="I40" t="n">
        <x:v>0</x:v>
      </x:c>
      <x:c r="J40" t="str">
        <x:v>MT</x:v>
      </x:c>
      <x:c r="K40" t="n">
        <x:v>0</x:v>
      </x:c>
      <x:c r="L40" t="n">
        <x:f>IFERROR(K40*MIN(1,I40/IF(J40="MT",IF(D40="Demolition &amp; handover",VLOOKUP(B40,'Bridge MTO'!A:D,3,FALSE),VLOOKUP(B40,'Bridge MTO'!A:D,2,FALSE)),1)),0)</x:f>
        <x:v>0</x:v>
      </x:c>
      <x:c r="M40" t="n">
        <x:v>0</x:v>
      </x:c>
      <x:c r="N40" t="str">
        <x:v>HOLD</x:v>
      </x:c>
      <x:c r="O40" t="str">
        <x:v>Await approved engineering/resources</x:v>
      </x:c>
      <x:c r="P40"/>
      <x:c r="Q40"/>
      <x:c r="R40" t="str">
        <x:v>Planning quantity: 93 MT; not accepted quantity</x:v>
      </x:c>
    </x:row>
    <x:row r="41">
      <x:c r="A41" t="str">
        <x:v>BR07-04</x:v>
      </x:c>
      <x:c r="B41" t="str">
        <x:v>NQO-NQD</x:v>
      </x:c>
      <x:c r="C41" t="str">
        <x:v>Strengthening B</x:v>
      </x:c>
      <x:c r="D41" t="str">
        <x:v>Marine readiness &amp; lift</x:v>
      </x:c>
      <x:c r="E41" t="str">
        <x:v>Marine</x:v>
      </x:c>
      <x:c r="F41"/>
      <x:c r="G41"/>
      <x:c r="H41"/>
      <x:c r="I41" t="n">
        <x:v>0</x:v>
      </x:c>
      <x:c r="J41" t="str">
        <x:v>lot</x:v>
      </x:c>
      <x:c r="K41" t="n">
        <x:v>0</x:v>
      </x:c>
      <x:c r="L41" t="n">
        <x:f>IFERROR(K41*MIN(1,I41/IF(J41="MT",IF(D41="Demolition &amp; handover",VLOOKUP(B41,'Bridge MTO'!A:D,3,FALSE),VLOOKUP(B41,'Bridge MTO'!A:D,2,FALSE)),1)),0)</x:f>
        <x:v>0</x:v>
      </x:c>
      <x:c r="M41" t="n">
        <x:v>0</x:v>
      </x:c>
      <x:c r="N41" t="str">
        <x:v>HOLD</x:v>
      </x:c>
      <x:c r="O41" t="str">
        <x:v>Await approved engineering/resources</x:v>
      </x:c>
      <x:c r="P41"/>
      <x:c r="Q41"/>
      <x:c r="R41" t="str">
        <x:v>Planning quantity: 1 lot; not accepted quantity</x:v>
      </x:c>
    </x:row>
    <x:row r="42">
      <x:c r="A42" t="str">
        <x:v>BR07-05</x:v>
      </x:c>
      <x:c r="B42" t="str">
        <x:v>NQO-NQD</x:v>
      </x:c>
      <x:c r="C42" t="str">
        <x:v>Strengthening B</x:v>
      </x:c>
      <x:c r="D42" t="str">
        <x:v>Offshore installation &amp; QA</x:v>
      </x:c>
      <x:c r="E42" t="str">
        <x:v>Offshore</x:v>
      </x:c>
      <x:c r="F42"/>
      <x:c r="G42"/>
      <x:c r="H42"/>
      <x:c r="I42" t="n">
        <x:v>0</x:v>
      </x:c>
      <x:c r="J42" t="str">
        <x:v>MT</x:v>
      </x:c>
      <x:c r="K42" t="n">
        <x:v>0</x:v>
      </x:c>
      <x:c r="L42" t="n">
        <x:f>IFERROR(K42*MIN(1,I42/IF(J42="MT",IF(D42="Demolition &amp; handover",VLOOKUP(B42,'Bridge MTO'!A:D,3,FALSE),VLOOKUP(B42,'Bridge MTO'!A:D,2,FALSE)),1)),0)</x:f>
        <x:v>0</x:v>
      </x:c>
      <x:c r="M42" t="n">
        <x:v>0</x:v>
      </x:c>
      <x:c r="N42" t="str">
        <x:v>HOLD</x:v>
      </x:c>
      <x:c r="O42" t="str">
        <x:v>Await approved engineering/resources</x:v>
      </x:c>
      <x:c r="P42"/>
      <x:c r="Q42"/>
      <x:c r="R42" t="str">
        <x:v>Planning quantity: 93 MT; not accepted quantity</x:v>
      </x:c>
    </x:row>
    <x:row r="43">
      <x:c r="A43" t="str">
        <x:v>BR07-06</x:v>
      </x:c>
      <x:c r="B43" t="str">
        <x:v>NQO-NQD</x:v>
      </x:c>
      <x:c r="C43" t="str">
        <x:v>Strengthening B</x:v>
      </x:c>
      <x:c r="D43" t="str">
        <x:v>Demolition &amp; handover</x:v>
      </x:c>
      <x:c r="E43" t="str">
        <x:v>Completion</x:v>
      </x:c>
      <x:c r="F43"/>
      <x:c r="G43"/>
      <x:c r="H43"/>
      <x:c r="I43" t="n">
        <x:v>0</x:v>
      </x:c>
      <x:c r="J43" t="str">
        <x:v>MT</x:v>
      </x:c>
      <x:c r="K43" t="n">
        <x:v>0</x:v>
      </x:c>
      <x:c r="L43" t="n">
        <x:f>IFERROR(K43*MIN(1,I43/IF(J43="MT",IF(D43="Demolition &amp; handover",VLOOKUP(B43,'Bridge MTO'!A:D,3,FALSE),VLOOKUP(B43,'Bridge MTO'!A:D,2,FALSE)),1)),0)</x:f>
        <x:v>0</x:v>
      </x:c>
      <x:c r="M43" t="n">
        <x:v>0</x:v>
      </x:c>
      <x:c r="N43" t="str">
        <x:v>HOLD</x:v>
      </x:c>
      <x:c r="O43" t="str">
        <x:v>Await approved engineering/resources</x:v>
      </x:c>
      <x:c r="P43"/>
      <x:c r="Q43"/>
      <x:c r="R43" t="str">
        <x:v>Planning quantity: 25 MT; not accepted quantity</x:v>
      </x:c>
    </x:row>
    <x:row r="44">
      <x:c r="A44" t="str">
        <x:v>BR08-01</x:v>
      </x:c>
      <x:c r="B44" t="str">
        <x:v>WIN-NC</x:v>
      </x:c>
      <x:c r="C44" t="str">
        <x:v>Strengthening B</x:v>
      </x:c>
      <x:c r="D44" t="str">
        <x:v>Survey &amp; design</x:v>
      </x:c>
      <x:c r="E44" t="str">
        <x:v>Engineering</x:v>
      </x:c>
      <x:c r="F44"/>
      <x:c r="G44"/>
      <x:c r="H44"/>
      <x:c r="I44" t="n">
        <x:v>0</x:v>
      </x:c>
      <x:c r="J44" t="str">
        <x:v>lot</x:v>
      </x:c>
      <x:c r="K44" t="n">
        <x:v>0</x:v>
      </x:c>
      <x:c r="L44" t="n">
        <x:f>IFERROR(K44*MIN(1,I44/IF(J44="MT",IF(D44="Demolition &amp; handover",VLOOKUP(B44,'Bridge MTO'!A:D,3,FALSE),VLOOKUP(B44,'Bridge MTO'!A:D,2,FALSE)),1)),0)</x:f>
        <x:v>0</x:v>
      </x:c>
      <x:c r="M44" t="n">
        <x:v>0</x:v>
      </x:c>
      <x:c r="N44" t="str">
        <x:v>HOLD</x:v>
      </x:c>
      <x:c r="O44" t="str">
        <x:v>Await approved engineering/resources</x:v>
      </x:c>
      <x:c r="P44"/>
      <x:c r="Q44"/>
      <x:c r="R44" t="str">
        <x:v>Planning quantity: 1 lot; not accepted quantity</x:v>
      </x:c>
    </x:row>
    <x:row r="45">
      <x:c r="A45" t="str">
        <x:v>BR08-02</x:v>
      </x:c>
      <x:c r="B45" t="str">
        <x:v>WIN-NC</x:v>
      </x:c>
      <x:c r="C45" t="str">
        <x:v>Strengthening B</x:v>
      </x:c>
      <x:c r="D45" t="str">
        <x:v>Procurement &amp; delivery</x:v>
      </x:c>
      <x:c r="E45" t="str">
        <x:v>Procurement</x:v>
      </x:c>
      <x:c r="F45"/>
      <x:c r="G45"/>
      <x:c r="H45"/>
      <x:c r="I45" t="n">
        <x:v>0</x:v>
      </x:c>
      <x:c r="J45" t="str">
        <x:v>lot</x:v>
      </x:c>
      <x:c r="K45" t="n">
        <x:v>0</x:v>
      </x:c>
      <x:c r="L45" t="n">
        <x:f>IFERROR(K45*MIN(1,I45/IF(J45="MT",IF(D45="Demolition &amp; handover",VLOOKUP(B45,'Bridge MTO'!A:D,3,FALSE),VLOOKUP(B45,'Bridge MTO'!A:D,2,FALSE)),1)),0)</x:f>
        <x:v>0</x:v>
      </x:c>
      <x:c r="M45" t="n">
        <x:v>0</x:v>
      </x:c>
      <x:c r="N45" t="str">
        <x:v>HOLD</x:v>
      </x:c>
      <x:c r="O45" t="str">
        <x:v>Await approved engineering/resources</x:v>
      </x:c>
      <x:c r="P45"/>
      <x:c r="Q45"/>
      <x:c r="R45" t="str">
        <x:v>Planning quantity: 1 lot; not accepted quantity</x:v>
      </x:c>
    </x:row>
    <x:row r="46">
      <x:c r="A46" t="str">
        <x:v>BR08-03</x:v>
      </x:c>
      <x:c r="B46" t="str">
        <x:v>WIN-NC</x:v>
      </x:c>
      <x:c r="C46" t="str">
        <x:v>Strengthening B</x:v>
      </x:c>
      <x:c r="D46" t="str">
        <x:v>Shop fabrication &amp; QA</x:v>
      </x:c>
      <x:c r="E46" t="str">
        <x:v>Fabrication</x:v>
      </x:c>
      <x:c r="F46"/>
      <x:c r="G46"/>
      <x:c r="H46"/>
      <x:c r="I46" t="n">
        <x:v>0</x:v>
      </x:c>
      <x:c r="J46" t="str">
        <x:v>MT</x:v>
      </x:c>
      <x:c r="K46" t="n">
        <x:v>0</x:v>
      </x:c>
      <x:c r="L46" t="n">
        <x:f>IFERROR(K46*MIN(1,I46/IF(J46="MT",IF(D46="Demolition &amp; handover",VLOOKUP(B46,'Bridge MTO'!A:D,3,FALSE),VLOOKUP(B46,'Bridge MTO'!A:D,2,FALSE)),1)),0)</x:f>
        <x:v>0</x:v>
      </x:c>
      <x:c r="M46" t="n">
        <x:v>0</x:v>
      </x:c>
      <x:c r="N46" t="str">
        <x:v>HOLD</x:v>
      </x:c>
      <x:c r="O46" t="str">
        <x:v>Await approved engineering/resources</x:v>
      </x:c>
      <x:c r="P46"/>
      <x:c r="Q46"/>
      <x:c r="R46" t="str">
        <x:v>Planning quantity: 46 MT; not accepted quantity</x:v>
      </x:c>
    </x:row>
    <x:row r="47">
      <x:c r="A47" t="str">
        <x:v>BR08-04</x:v>
      </x:c>
      <x:c r="B47" t="str">
        <x:v>WIN-NC</x:v>
      </x:c>
      <x:c r="C47" t="str">
        <x:v>Strengthening B</x:v>
      </x:c>
      <x:c r="D47" t="str">
        <x:v>Marine readiness &amp; lift</x:v>
      </x:c>
      <x:c r="E47" t="str">
        <x:v>Marine</x:v>
      </x:c>
      <x:c r="F47"/>
      <x:c r="G47"/>
      <x:c r="H47"/>
      <x:c r="I47" t="n">
        <x:v>0</x:v>
      </x:c>
      <x:c r="J47" t="str">
        <x:v>lot</x:v>
      </x:c>
      <x:c r="K47" t="n">
        <x:v>0</x:v>
      </x:c>
      <x:c r="L47" t="n">
        <x:f>IFERROR(K47*MIN(1,I47/IF(J47="MT",IF(D47="Demolition &amp; handover",VLOOKUP(B47,'Bridge MTO'!A:D,3,FALSE),VLOOKUP(B47,'Bridge MTO'!A:D,2,FALSE)),1)),0)</x:f>
        <x:v>0</x:v>
      </x:c>
      <x:c r="M47" t="n">
        <x:v>0</x:v>
      </x:c>
      <x:c r="N47" t="str">
        <x:v>HOLD</x:v>
      </x:c>
      <x:c r="O47" t="str">
        <x:v>Await approved engineering/resources</x:v>
      </x:c>
      <x:c r="P47"/>
      <x:c r="Q47"/>
      <x:c r="R47" t="str">
        <x:v>Planning quantity: 1 lot; not accepted quantity</x:v>
      </x:c>
    </x:row>
    <x:row r="48">
      <x:c r="A48" t="str">
        <x:v>BR08-05</x:v>
      </x:c>
      <x:c r="B48" t="str">
        <x:v>WIN-NC</x:v>
      </x:c>
      <x:c r="C48" t="str">
        <x:v>Strengthening B</x:v>
      </x:c>
      <x:c r="D48" t="str">
        <x:v>Offshore installation &amp; QA</x:v>
      </x:c>
      <x:c r="E48" t="str">
        <x:v>Offshore</x:v>
      </x:c>
      <x:c r="F48"/>
      <x:c r="G48"/>
      <x:c r="H48"/>
      <x:c r="I48" t="n">
        <x:v>0</x:v>
      </x:c>
      <x:c r="J48" t="str">
        <x:v>MT</x:v>
      </x:c>
      <x:c r="K48" t="n">
        <x:v>0</x:v>
      </x:c>
      <x:c r="L48" t="n">
        <x:f>IFERROR(K48*MIN(1,I48/IF(J48="MT",IF(D48="Demolition &amp; handover",VLOOKUP(B48,'Bridge MTO'!A:D,3,FALSE),VLOOKUP(B48,'Bridge MTO'!A:D,2,FALSE)),1)),0)</x:f>
        <x:v>0</x:v>
      </x:c>
      <x:c r="M48" t="n">
        <x:v>0</x:v>
      </x:c>
      <x:c r="N48" t="str">
        <x:v>HOLD</x:v>
      </x:c>
      <x:c r="O48" t="str">
        <x:v>Await approved engineering/resources</x:v>
      </x:c>
      <x:c r="P48"/>
      <x:c r="Q48"/>
      <x:c r="R48" t="str">
        <x:v>Planning quantity: 46 MT; not accepted quantity</x:v>
      </x:c>
    </x:row>
    <x:row r="49">
      <x:c r="A49" t="str">
        <x:v>BR08-06</x:v>
      </x:c>
      <x:c r="B49" t="str">
        <x:v>WIN-NC</x:v>
      </x:c>
      <x:c r="C49" t="str">
        <x:v>Strengthening B</x:v>
      </x:c>
      <x:c r="D49" t="str">
        <x:v>Demolition &amp; handover</x:v>
      </x:c>
      <x:c r="E49" t="str">
        <x:v>Completion</x:v>
      </x:c>
      <x:c r="F49"/>
      <x:c r="G49"/>
      <x:c r="H49"/>
      <x:c r="I49" t="n">
        <x:v>0</x:v>
      </x:c>
      <x:c r="J49" t="str">
        <x:v>MT</x:v>
      </x:c>
      <x:c r="K49" t="n">
        <x:v>0</x:v>
      </x:c>
      <x:c r="L49" t="n">
        <x:f>IFERROR(K49*MIN(1,I49/IF(J49="MT",IF(D49="Demolition &amp; handover",VLOOKUP(B49,'Bridge MTO'!A:D,3,FALSE),VLOOKUP(B49,'Bridge MTO'!A:D,2,FALSE)),1)),0)</x:f>
        <x:v>0</x:v>
      </x:c>
      <x:c r="M49" t="n">
        <x:v>0</x:v>
      </x:c>
      <x:c r="N49" t="str">
        <x:v>HOLD</x:v>
      </x:c>
      <x:c r="O49" t="str">
        <x:v>Await approved engineering/resources</x:v>
      </x:c>
      <x:c r="P49"/>
      <x:c r="Q49"/>
      <x:c r="R49" t="str">
        <x:v>Planning quantity: 10 MT; not accepted quantity</x:v>
      </x:c>
    </x:row>
    <x:row r="50">
      <x:c r="A50" t="str">
        <x:v>BR09-01</x:v>
      </x:c>
      <x:c r="B50" t="str">
        <x:v>SCA-SC1</x:v>
      </x:c>
      <x:c r="C50" t="str">
        <x:v>Strengthening B</x:v>
      </x:c>
      <x:c r="D50" t="str">
        <x:v>Survey &amp; design</x:v>
      </x:c>
      <x:c r="E50" t="str">
        <x:v>Engineering</x:v>
      </x:c>
      <x:c r="F50"/>
      <x:c r="G50"/>
      <x:c r="H50"/>
      <x:c r="I50" t="n">
        <x:v>0</x:v>
      </x:c>
      <x:c r="J50" t="str">
        <x:v>lot</x:v>
      </x:c>
      <x:c r="K50" t="n">
        <x:v>0</x:v>
      </x:c>
      <x:c r="L50" t="n">
        <x:f>IFERROR(K50*MIN(1,I50/IF(J50="MT",IF(D50="Demolition &amp; handover",VLOOKUP(B50,'Bridge MTO'!A:D,3,FALSE),VLOOKUP(B50,'Bridge MTO'!A:D,2,FALSE)),1)),0)</x:f>
        <x:v>0</x:v>
      </x:c>
      <x:c r="M50" t="n">
        <x:v>0</x:v>
      </x:c>
      <x:c r="N50" t="str">
        <x:v>HOLD</x:v>
      </x:c>
      <x:c r="O50" t="str">
        <x:v>Await approved engineering/resources</x:v>
      </x:c>
      <x:c r="P50"/>
      <x:c r="Q50"/>
      <x:c r="R50" t="str">
        <x:v>Planning quantity: 1 lot; not accepted quantity</x:v>
      </x:c>
    </x:row>
    <x:row r="51">
      <x:c r="A51" t="str">
        <x:v>BR09-02</x:v>
      </x:c>
      <x:c r="B51" t="str">
        <x:v>SCA-SC1</x:v>
      </x:c>
      <x:c r="C51" t="str">
        <x:v>Strengthening B</x:v>
      </x:c>
      <x:c r="D51" t="str">
        <x:v>Procurement &amp; delivery</x:v>
      </x:c>
      <x:c r="E51" t="str">
        <x:v>Procurement</x:v>
      </x:c>
      <x:c r="F51"/>
      <x:c r="G51"/>
      <x:c r="H51"/>
      <x:c r="I51" t="n">
        <x:v>0</x:v>
      </x:c>
      <x:c r="J51" t="str">
        <x:v>lot</x:v>
      </x:c>
      <x:c r="K51" t="n">
        <x:v>0</x:v>
      </x:c>
      <x:c r="L51" t="n">
        <x:f>IFERROR(K51*MIN(1,I51/IF(J51="MT",IF(D51="Demolition &amp; handover",VLOOKUP(B51,'Bridge MTO'!A:D,3,FALSE),VLOOKUP(B51,'Bridge MTO'!A:D,2,FALSE)),1)),0)</x:f>
        <x:v>0</x:v>
      </x:c>
      <x:c r="M51" t="n">
        <x:v>0</x:v>
      </x:c>
      <x:c r="N51" t="str">
        <x:v>HOLD</x:v>
      </x:c>
      <x:c r="O51" t="str">
        <x:v>Await approved engineering/resources</x:v>
      </x:c>
      <x:c r="P51"/>
      <x:c r="Q51"/>
      <x:c r="R51" t="str">
        <x:v>Planning quantity: 1 lot; not accepted quantity</x:v>
      </x:c>
    </x:row>
    <x:row r="52">
      <x:c r="A52" t="str">
        <x:v>BR09-03</x:v>
      </x:c>
      <x:c r="B52" t="str">
        <x:v>SCA-SC1</x:v>
      </x:c>
      <x:c r="C52" t="str">
        <x:v>Strengthening B</x:v>
      </x:c>
      <x:c r="D52" t="str">
        <x:v>Shop fabrication &amp; QA</x:v>
      </x:c>
      <x:c r="E52" t="str">
        <x:v>Fabrication</x:v>
      </x:c>
      <x:c r="F52"/>
      <x:c r="G52"/>
      <x:c r="H52"/>
      <x:c r="I52" t="n">
        <x:v>0</x:v>
      </x:c>
      <x:c r="J52" t="str">
        <x:v>MT</x:v>
      </x:c>
      <x:c r="K52" t="n">
        <x:v>0</x:v>
      </x:c>
      <x:c r="L52" t="n">
        <x:f>IFERROR(K52*MIN(1,I52/IF(J52="MT",IF(D52="Demolition &amp; handover",VLOOKUP(B52,'Bridge MTO'!A:D,3,FALSE),VLOOKUP(B52,'Bridge MTO'!A:D,2,FALSE)),1)),0)</x:f>
        <x:v>0</x:v>
      </x:c>
      <x:c r="M52" t="n">
        <x:v>0</x:v>
      </x:c>
      <x:c r="N52" t="str">
        <x:v>HOLD</x:v>
      </x:c>
      <x:c r="O52" t="str">
        <x:v>Await approved engineering/resources</x:v>
      </x:c>
      <x:c r="P52"/>
      <x:c r="Q52"/>
      <x:c r="R52" t="str">
        <x:v>Planning quantity: 63 MT; not accepted quantity</x:v>
      </x:c>
    </x:row>
    <x:row r="53">
      <x:c r="A53" t="str">
        <x:v>BR09-04</x:v>
      </x:c>
      <x:c r="B53" t="str">
        <x:v>SCA-SC1</x:v>
      </x:c>
      <x:c r="C53" t="str">
        <x:v>Strengthening B</x:v>
      </x:c>
      <x:c r="D53" t="str">
        <x:v>Marine readiness &amp; lift</x:v>
      </x:c>
      <x:c r="E53" t="str">
        <x:v>Marine</x:v>
      </x:c>
      <x:c r="F53"/>
      <x:c r="G53"/>
      <x:c r="H53"/>
      <x:c r="I53" t="n">
        <x:v>0</x:v>
      </x:c>
      <x:c r="J53" t="str">
        <x:v>lot</x:v>
      </x:c>
      <x:c r="K53" t="n">
        <x:v>0</x:v>
      </x:c>
      <x:c r="L53" t="n">
        <x:f>IFERROR(K53*MIN(1,I53/IF(J53="MT",IF(D53="Demolition &amp; handover",VLOOKUP(B53,'Bridge MTO'!A:D,3,FALSE),VLOOKUP(B53,'Bridge MTO'!A:D,2,FALSE)),1)),0)</x:f>
        <x:v>0</x:v>
      </x:c>
      <x:c r="M53" t="n">
        <x:v>0</x:v>
      </x:c>
      <x:c r="N53" t="str">
        <x:v>HOLD</x:v>
      </x:c>
      <x:c r="O53" t="str">
        <x:v>Await approved engineering/resources</x:v>
      </x:c>
      <x:c r="P53"/>
      <x:c r="Q53"/>
      <x:c r="R53" t="str">
        <x:v>Planning quantity: 1 lot; not accepted quantity</x:v>
      </x:c>
    </x:row>
    <x:row r="54">
      <x:c r="A54" t="str">
        <x:v>BR09-05</x:v>
      </x:c>
      <x:c r="B54" t="str">
        <x:v>SCA-SC1</x:v>
      </x:c>
      <x:c r="C54" t="str">
        <x:v>Strengthening B</x:v>
      </x:c>
      <x:c r="D54" t="str">
        <x:v>Offshore installation &amp; QA</x:v>
      </x:c>
      <x:c r="E54" t="str">
        <x:v>Offshore</x:v>
      </x:c>
      <x:c r="F54"/>
      <x:c r="G54"/>
      <x:c r="H54"/>
      <x:c r="I54" t="n">
        <x:v>0</x:v>
      </x:c>
      <x:c r="J54" t="str">
        <x:v>MT</x:v>
      </x:c>
      <x:c r="K54" t="n">
        <x:v>0</x:v>
      </x:c>
      <x:c r="L54" t="n">
        <x:f>IFERROR(K54*MIN(1,I54/IF(J54="MT",IF(D54="Demolition &amp; handover",VLOOKUP(B54,'Bridge MTO'!A:D,3,FALSE),VLOOKUP(B54,'Bridge MTO'!A:D,2,FALSE)),1)),0)</x:f>
        <x:v>0</x:v>
      </x:c>
      <x:c r="M54" t="n">
        <x:v>0</x:v>
      </x:c>
      <x:c r="N54" t="str">
        <x:v>HOLD</x:v>
      </x:c>
      <x:c r="O54" t="str">
        <x:v>Await approved engineering/resources</x:v>
      </x:c>
      <x:c r="P54"/>
      <x:c r="Q54"/>
      <x:c r="R54" t="str">
        <x:v>Planning quantity: 63 MT; not accepted quantity</x:v>
      </x:c>
    </x:row>
    <x:row r="55">
      <x:c r="A55" t="str">
        <x:v>BR09-06</x:v>
      </x:c>
      <x:c r="B55" t="str">
        <x:v>SCA-SC1</x:v>
      </x:c>
      <x:c r="C55" t="str">
        <x:v>Strengthening B</x:v>
      </x:c>
      <x:c r="D55" t="str">
        <x:v>Demolition &amp; handover</x:v>
      </x:c>
      <x:c r="E55" t="str">
        <x:v>Completion</x:v>
      </x:c>
      <x:c r="F55"/>
      <x:c r="G55"/>
      <x:c r="H55"/>
      <x:c r="I55" t="n">
        <x:v>0</x:v>
      </x:c>
      <x:c r="J55" t="str">
        <x:v>MT</x:v>
      </x:c>
      <x:c r="K55" t="n">
        <x:v>0</x:v>
      </x:c>
      <x:c r="L55" t="n">
        <x:f>IFERROR(K55*MIN(1,I55/IF(J55="MT",IF(D55="Demolition &amp; handover",VLOOKUP(B55,'Bridge MTO'!A:D,3,FALSE),VLOOKUP(B55,'Bridge MTO'!A:D,2,FALSE)),1)),0)</x:f>
        <x:v>0</x:v>
      </x:c>
      <x:c r="M55" t="n">
        <x:v>0</x:v>
      </x:c>
      <x:c r="N55" t="str">
        <x:v>HOLD</x:v>
      </x:c>
      <x:c r="O55" t="str">
        <x:v>Await approved engineering/resources</x:v>
      </x:c>
      <x:c r="P55"/>
      <x:c r="Q55"/>
      <x:c r="R55" t="str">
        <x:v>Planning quantity: 15 MT; not accepted quantity</x:v>
      </x:c>
    </x:row>
    <x:row r="56">
      <x:c r="A56" t="str">
        <x:v>BR10-01</x:v>
      </x:c>
      <x:c r="B56" t="str">
        <x:v>SCA-SCF</x:v>
      </x:c>
      <x:c r="C56" t="str">
        <x:v>Strengthening B</x:v>
      </x:c>
      <x:c r="D56" t="str">
        <x:v>Survey &amp; design</x:v>
      </x:c>
      <x:c r="E56" t="str">
        <x:v>Engineering</x:v>
      </x:c>
      <x:c r="F56"/>
      <x:c r="G56"/>
      <x:c r="H56"/>
      <x:c r="I56" t="n">
        <x:v>0</x:v>
      </x:c>
      <x:c r="J56" t="str">
        <x:v>lot</x:v>
      </x:c>
      <x:c r="K56" t="n">
        <x:v>0</x:v>
      </x:c>
      <x:c r="L56" t="n">
        <x:f>IFERROR(K56*MIN(1,I56/IF(J56="MT",IF(D56="Demolition &amp; handover",VLOOKUP(B56,'Bridge MTO'!A:D,3,FALSE),VLOOKUP(B56,'Bridge MTO'!A:D,2,FALSE)),1)),0)</x:f>
        <x:v>0</x:v>
      </x:c>
      <x:c r="M56" t="n">
        <x:v>0</x:v>
      </x:c>
      <x:c r="N56" t="str">
        <x:v>HOLD</x:v>
      </x:c>
      <x:c r="O56" t="str">
        <x:v>Await approved engineering/resources</x:v>
      </x:c>
      <x:c r="P56"/>
      <x:c r="Q56"/>
      <x:c r="R56" t="str">
        <x:v>Planning quantity: 1 lot; not accepted quantity</x:v>
      </x:c>
    </x:row>
    <x:row r="57">
      <x:c r="A57" t="str">
        <x:v>BR10-02</x:v>
      </x:c>
      <x:c r="B57" t="str">
        <x:v>SCA-SCF</x:v>
      </x:c>
      <x:c r="C57" t="str">
        <x:v>Strengthening B</x:v>
      </x:c>
      <x:c r="D57" t="str">
        <x:v>Procurement &amp; delivery</x:v>
      </x:c>
      <x:c r="E57" t="str">
        <x:v>Procurement</x:v>
      </x:c>
      <x:c r="F57"/>
      <x:c r="G57"/>
      <x:c r="H57"/>
      <x:c r="I57" t="n">
        <x:v>0</x:v>
      </x:c>
      <x:c r="J57" t="str">
        <x:v>lot</x:v>
      </x:c>
      <x:c r="K57" t="n">
        <x:v>0</x:v>
      </x:c>
      <x:c r="L57" t="n">
        <x:f>IFERROR(K57*MIN(1,I57/IF(J57="MT",IF(D57="Demolition &amp; handover",VLOOKUP(B57,'Bridge MTO'!A:D,3,FALSE),VLOOKUP(B57,'Bridge MTO'!A:D,2,FALSE)),1)),0)</x:f>
        <x:v>0</x:v>
      </x:c>
      <x:c r="M57" t="n">
        <x:v>0</x:v>
      </x:c>
      <x:c r="N57" t="str">
        <x:v>HOLD</x:v>
      </x:c>
      <x:c r="O57" t="str">
        <x:v>Await approved engineering/resources</x:v>
      </x:c>
      <x:c r="P57"/>
      <x:c r="Q57"/>
      <x:c r="R57" t="str">
        <x:v>Planning quantity: 1 lot; not accepted quantity</x:v>
      </x:c>
    </x:row>
    <x:row r="58">
      <x:c r="A58" t="str">
        <x:v>BR10-03</x:v>
      </x:c>
      <x:c r="B58" t="str">
        <x:v>SCA-SCF</x:v>
      </x:c>
      <x:c r="C58" t="str">
        <x:v>Strengthening B</x:v>
      </x:c>
      <x:c r="D58" t="str">
        <x:v>Shop fabrication &amp; QA</x:v>
      </x:c>
      <x:c r="E58" t="str">
        <x:v>Fabrication</x:v>
      </x:c>
      <x:c r="F58"/>
      <x:c r="G58"/>
      <x:c r="H58"/>
      <x:c r="I58" t="n">
        <x:v>0</x:v>
      </x:c>
      <x:c r="J58" t="str">
        <x:v>MT</x:v>
      </x:c>
      <x:c r="K58" t="n">
        <x:v>0</x:v>
      </x:c>
      <x:c r="L58" t="n">
        <x:f>IFERROR(K58*MIN(1,I58/IF(J58="MT",IF(D58="Demolition &amp; handover",VLOOKUP(B58,'Bridge MTO'!A:D,3,FALSE),VLOOKUP(B58,'Bridge MTO'!A:D,2,FALSE)),1)),0)</x:f>
        <x:v>0</x:v>
      </x:c>
      <x:c r="M58" t="n">
        <x:v>0</x:v>
      </x:c>
      <x:c r="N58" t="str">
        <x:v>HOLD</x:v>
      </x:c>
      <x:c r="O58" t="str">
        <x:v>Await approved engineering/resources</x:v>
      </x:c>
      <x:c r="P58"/>
      <x:c r="Q58"/>
      <x:c r="R58" t="str">
        <x:v>Planning quantity: 119 MT; not accepted quantity</x:v>
      </x:c>
    </x:row>
    <x:row r="59">
      <x:c r="A59" t="str">
        <x:v>BR10-04</x:v>
      </x:c>
      <x:c r="B59" t="str">
        <x:v>SCA-SCF</x:v>
      </x:c>
      <x:c r="C59" t="str">
        <x:v>Strengthening B</x:v>
      </x:c>
      <x:c r="D59" t="str">
        <x:v>Marine readiness &amp; lift</x:v>
      </x:c>
      <x:c r="E59" t="str">
        <x:v>Marine</x:v>
      </x:c>
      <x:c r="F59"/>
      <x:c r="G59"/>
      <x:c r="H59"/>
      <x:c r="I59" t="n">
        <x:v>0</x:v>
      </x:c>
      <x:c r="J59" t="str">
        <x:v>lot</x:v>
      </x:c>
      <x:c r="K59" t="n">
        <x:v>0</x:v>
      </x:c>
      <x:c r="L59" t="n">
        <x:f>IFERROR(K59*MIN(1,I59/IF(J59="MT",IF(D59="Demolition &amp; handover",VLOOKUP(B59,'Bridge MTO'!A:D,3,FALSE),VLOOKUP(B59,'Bridge MTO'!A:D,2,FALSE)),1)),0)</x:f>
        <x:v>0</x:v>
      </x:c>
      <x:c r="M59" t="n">
        <x:v>0</x:v>
      </x:c>
      <x:c r="N59" t="str">
        <x:v>HOLD</x:v>
      </x:c>
      <x:c r="O59" t="str">
        <x:v>Await approved engineering/resources</x:v>
      </x:c>
      <x:c r="P59"/>
      <x:c r="Q59"/>
      <x:c r="R59" t="str">
        <x:v>Planning quantity: 1 lot; not accepted quantity</x:v>
      </x:c>
    </x:row>
    <x:row r="60">
      <x:c r="A60" t="str">
        <x:v>BR10-05</x:v>
      </x:c>
      <x:c r="B60" t="str">
        <x:v>SCA-SCF</x:v>
      </x:c>
      <x:c r="C60" t="str">
        <x:v>Strengthening B</x:v>
      </x:c>
      <x:c r="D60" t="str">
        <x:v>Offshore installation &amp; QA</x:v>
      </x:c>
      <x:c r="E60" t="str">
        <x:v>Offshore</x:v>
      </x:c>
      <x:c r="F60"/>
      <x:c r="G60"/>
      <x:c r="H60"/>
      <x:c r="I60" t="n">
        <x:v>0</x:v>
      </x:c>
      <x:c r="J60" t="str">
        <x:v>MT</x:v>
      </x:c>
      <x:c r="K60" t="n">
        <x:v>0</x:v>
      </x:c>
      <x:c r="L60" t="n">
        <x:f>IFERROR(K60*MIN(1,I60/IF(J60="MT",IF(D60="Demolition &amp; handover",VLOOKUP(B60,'Bridge MTO'!A:D,3,FALSE),VLOOKUP(B60,'Bridge MTO'!A:D,2,FALSE)),1)),0)</x:f>
        <x:v>0</x:v>
      </x:c>
      <x:c r="M60" t="n">
        <x:v>0</x:v>
      </x:c>
      <x:c r="N60" t="str">
        <x:v>HOLD</x:v>
      </x:c>
      <x:c r="O60" t="str">
        <x:v>Await approved engineering/resources</x:v>
      </x:c>
      <x:c r="P60"/>
      <x:c r="Q60"/>
      <x:c r="R60" t="str">
        <x:v>Planning quantity: 119 MT; not accepted quantity</x:v>
      </x:c>
    </x:row>
    <x:row r="61">
      <x:c r="A61" t="str">
        <x:v>BR10-06</x:v>
      </x:c>
      <x:c r="B61" t="str">
        <x:v>SCA-SCF</x:v>
      </x:c>
      <x:c r="C61" t="str">
        <x:v>Strengthening B</x:v>
      </x:c>
      <x:c r="D61" t="str">
        <x:v>Demolition &amp; handover</x:v>
      </x:c>
      <x:c r="E61" t="str">
        <x:v>Completion</x:v>
      </x:c>
      <x:c r="F61"/>
      <x:c r="G61"/>
      <x:c r="H61"/>
      <x:c r="I61" t="n">
        <x:v>0</x:v>
      </x:c>
      <x:c r="J61" t="str">
        <x:v>MT</x:v>
      </x:c>
      <x:c r="K61" t="n">
        <x:v>0</x:v>
      </x:c>
      <x:c r="L61" t="n">
        <x:f>IFERROR(K61*MIN(1,I61/IF(J61="MT",IF(D61="Demolition &amp; handover",VLOOKUP(B61,'Bridge MTO'!A:D,3,FALSE),VLOOKUP(B61,'Bridge MTO'!A:D,2,FALSE)),1)),0)</x:f>
        <x:v>0</x:v>
      </x:c>
      <x:c r="M61" t="n">
        <x:v>0</x:v>
      </x:c>
      <x:c r="N61" t="str">
        <x:v>HOLD</x:v>
      </x:c>
      <x:c r="O61" t="str">
        <x:v>Await approved engineering/resources</x:v>
      </x:c>
      <x:c r="P61"/>
      <x:c r="Q61"/>
      <x:c r="R61" t="str">
        <x:v>Planning quantity: 30 MT; not accepted quantity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48" hidden="0" customWidth="1"/>
  </x:cols>
  <x:sheetData>
    <x:row r="1">
      <x:c r="A1" s="6" t="str">
        <x:v>Bridge</x:v>
      </x:c>
      <x:c r="B1" s="6" t="str">
        <x:v>Structural MT</x:v>
      </x:c>
      <x:c r="C1" s="6" t="str">
        <x:v>Demolition MT</x:v>
      </x:c>
      <x:c r="D1" s="6" t="str">
        <x:v>Campaign</x:v>
      </x:c>
      <x:c r="E1" s="6" t="str">
        <x:v>Verification status</x:v>
      </x:c>
    </x:row>
    <x:row r="2">
      <x:c r="A2" t="str">
        <x:v>ICW-ICG UD</x:v>
      </x:c>
      <x:c r="B2" t="n">
        <x:v>49</x:v>
      </x:c>
      <x:c r="C2" t="n">
        <x:v>25</x:v>
      </x:c>
      <x:c r="D2" t="str">
        <x:v>Strengthening A</x:v>
      </x:c>
      <x:c r="E2" t="str">
        <x:v>Transcribed; validate against original MTO</x:v>
      </x:c>
    </x:row>
    <x:row r="3">
      <x:c r="A3" t="str">
        <x:v>ICW-ICG LD</x:v>
      </x:c>
      <x:c r="B3" t="n">
        <x:v>122</x:v>
      </x:c>
      <x:c r="C3" t="n">
        <x:v>1</x:v>
      </x:c>
      <x:c r="D3" t="str">
        <x:v>New bridge</x:v>
      </x:c>
      <x:c r="E3" t="str">
        <x:v>Transcribed; validate against original MTO</x:v>
      </x:c>
    </x:row>
    <x:row r="4">
      <x:c r="A4" t="str">
        <x:v>ICG-ICP UD</x:v>
      </x:c>
      <x:c r="B4" t="n">
        <x:v>116</x:v>
      </x:c>
      <x:c r="C4" t="n">
        <x:v>25</x:v>
      </x:c>
      <x:c r="D4" t="str">
        <x:v>Strengthening A</x:v>
      </x:c>
      <x:c r="E4" t="str">
        <x:v>Transcribed; validate against original MTO</x:v>
      </x:c>
    </x:row>
    <x:row r="5">
      <x:c r="A5" t="str">
        <x:v>ICG-ICP LD</x:v>
      </x:c>
      <x:c r="B5" t="n">
        <x:v>160</x:v>
      </x:c>
      <x:c r="C5" t="n">
        <x:v>1</x:v>
      </x:c>
      <x:c r="D5" t="str">
        <x:v>New bridge</x:v>
      </x:c>
      <x:c r="E5" t="str">
        <x:v>Transcribed; validate against original MTO</x:v>
      </x:c>
    </x:row>
    <x:row r="6">
      <x:c r="A6" t="str">
        <x:v>BHS-SLQ</x:v>
      </x:c>
      <x:c r="B6" t="n">
        <x:v>282</x:v>
      </x:c>
      <x:c r="C6" t="n">
        <x:v>210</x:v>
      </x:c>
      <x:c r="D6" t="str">
        <x:v>Replacement</x:v>
      </x:c>
      <x:c r="E6" t="str">
        <x:v>Transcribed; validate against original MTO</x:v>
      </x:c>
    </x:row>
    <x:row r="7">
      <x:c r="A7" t="str">
        <x:v>SLQ-WIS</x:v>
      </x:c>
      <x:c r="B7" t="n">
        <x:v>91</x:v>
      </x:c>
      <x:c r="C7" t="n">
        <x:v>15</x:v>
      </x:c>
      <x:c r="D7" t="str">
        <x:v>Strengthening A</x:v>
      </x:c>
      <x:c r="E7" t="str">
        <x:v>Transcribed; validate against original MTO</x:v>
      </x:c>
    </x:row>
    <x:row r="8">
      <x:c r="A8" t="str">
        <x:v>NQO-NQD</x:v>
      </x:c>
      <x:c r="B8" t="n">
        <x:v>93</x:v>
      </x:c>
      <x:c r="C8" t="n">
        <x:v>25</x:v>
      </x:c>
      <x:c r="D8" t="str">
        <x:v>Strengthening B</x:v>
      </x:c>
      <x:c r="E8" t="str">
        <x:v>Transcribed; validate against original MTO</x:v>
      </x:c>
    </x:row>
    <x:row r="9">
      <x:c r="A9" t="str">
        <x:v>WIN-NC</x:v>
      </x:c>
      <x:c r="B9" t="n">
        <x:v>46</x:v>
      </x:c>
      <x:c r="C9" t="n">
        <x:v>10</x:v>
      </x:c>
      <x:c r="D9" t="str">
        <x:v>Strengthening B</x:v>
      </x:c>
      <x:c r="E9" t="str">
        <x:v>Transcribed; validate against original MTO</x:v>
      </x:c>
    </x:row>
    <x:row r="10">
      <x:c r="A10" t="str">
        <x:v>SCA-SC1</x:v>
      </x:c>
      <x:c r="B10" t="n">
        <x:v>63</x:v>
      </x:c>
      <x:c r="C10" t="n">
        <x:v>15</x:v>
      </x:c>
      <x:c r="D10" t="str">
        <x:v>Strengthening B</x:v>
      </x:c>
      <x:c r="E10" t="str">
        <x:v>Transcribed; validate against original MTO</x:v>
      </x:c>
    </x:row>
    <x:row r="11">
      <x:c r="A11" t="str">
        <x:v>SCA-SCF</x:v>
      </x:c>
      <x:c r="B11" t="n">
        <x:v>119</x:v>
      </x:c>
      <x:c r="C11" t="n">
        <x:v>30</x:v>
      </x:c>
      <x:c r="D11" t="str">
        <x:v>Strengthening B</x:v>
      </x:c>
      <x:c r="E11" t="str">
        <x:v>Transcribed; validate against original MTO</x:v>
      </x:c>
    </x:row>
    <x:row r="12">
      <x:c r="A12" t="str">
        <x:v>BRIDGE ROW TOTAL</x:v>
      </x:c>
      <x:c r="B12" t="n">
        <x:f>SUM(B2:B11)</x:f>
        <x:v>1141</x:v>
      </x:c>
      <x:c r="C12" t="n">
        <x:f>SUM(C2:C11)</x:f>
        <x:v>357</x:v>
      </x:c>
    </x:row>
    <x:row r="13">
      <x:c r="A13" t="str">
        <x:v>PRINTED STRUCTURAL SUMMARY</x:v>
      </x:c>
      <x:c r="B13" t="n">
        <x:v>1142</x:v>
      </x:c>
    </x:row>
    <x:row r="14">
      <x:c r="A14" t="str">
        <x:v>UNRESOLVED DIFFERENCE</x:v>
      </x:c>
      <x:c r="B14" t="n">
        <x:f>B13-B12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6" t="str">
        <x:v>Week</x:v>
      </x:c>
      <x:c r="B1" s="6" t="str">
        <x:v>Week commencing</x:v>
      </x:c>
      <x:c r="C1" s="6" t="str">
        <x:v>Engineering out</x:v>
      </x:c>
      <x:c r="D1" s="6" t="str">
        <x:v>Materials out</x:v>
      </x:c>
      <x:c r="E1" s="6" t="str">
        <x:v>Yard &amp; offshore out</x:v>
      </x:c>
      <x:c r="F1" s="6" t="str">
        <x:v>Marine out</x:v>
      </x:c>
      <x:c r="G1" s="6" t="str">
        <x:v>ONGC receipts</x:v>
      </x:c>
      <x:c r="H1" s="6" t="str">
        <x:v>Funding deficit</x:v>
      </x:c>
      <x:c r="I1" s="6" t="str">
        <x:v>Cumulative cash balance</x:v>
      </x:c>
    </x:row>
    <x:row r="2">
      <x:c r="A2" t="n">
        <x:v>1</x:v>
      </x:c>
      <x:c r="B2" t="str">
        <x:v>2026-11-01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f>MAX(0,-I2)</x:f>
        <x:v>0</x:v>
      </x:c>
      <x:c r="I2" t="n">
        <x:f>G2-SUM(C2:F2)</x:f>
        <x:v>0</x:v>
      </x:c>
    </x:row>
    <x:row r="3">
      <x:c r="A3" t="n">
        <x:v>2</x:v>
      </x:c>
      <x:c r="B3" t="str">
        <x:v>2026-11-08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f>MAX(0,-I3)</x:f>
        <x:v>0</x:v>
      </x:c>
      <x:c r="I3" t="n">
        <x:f>G3-SUM(C3:F3)+I2</x:f>
        <x:v>0</x:v>
      </x:c>
    </x:row>
    <x:row r="4">
      <x:c r="A4" t="n">
        <x:v>3</x:v>
      </x:c>
      <x:c r="B4" t="str">
        <x:v>2026-11-15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f>MAX(0,-I4)</x:f>
        <x:v>0</x:v>
      </x:c>
      <x:c r="I4" t="n">
        <x:f>G4-SUM(C4:F4)+I3</x:f>
        <x:v>0</x:v>
      </x:c>
    </x:row>
    <x:row r="5">
      <x:c r="A5" t="n">
        <x:v>4</x:v>
      </x:c>
      <x:c r="B5" t="str">
        <x:v>2026-11-22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f>MAX(0,-I5)</x:f>
        <x:v>0</x:v>
      </x:c>
      <x:c r="I5" t="n">
        <x:f>G5-SUM(C5:F5)+I4</x:f>
        <x:v>0</x:v>
      </x:c>
    </x:row>
    <x:row r="6">
      <x:c r="A6" t="n">
        <x:v>5</x:v>
      </x:c>
      <x:c r="B6" t="str">
        <x:v>2026-11-29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f>MAX(0,-I6)</x:f>
        <x:v>0</x:v>
      </x:c>
      <x:c r="I6" t="n">
        <x:f>G6-SUM(C6:F6)+I5</x:f>
        <x:v>0</x:v>
      </x:c>
    </x:row>
    <x:row r="7">
      <x:c r="A7" t="n">
        <x:v>6</x:v>
      </x:c>
      <x:c r="B7" t="str">
        <x:v>2026-12-06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f>MAX(0,-I7)</x:f>
        <x:v>0</x:v>
      </x:c>
      <x:c r="I7" t="n">
        <x:f>G7-SUM(C7:F7)+I6</x:f>
        <x:v>0</x:v>
      </x:c>
    </x:row>
    <x:row r="8">
      <x:c r="A8" t="n">
        <x:v>7</x:v>
      </x:c>
      <x:c r="B8" t="str">
        <x:v>2026-12-13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f>MAX(0,-I8)</x:f>
        <x:v>0</x:v>
      </x:c>
      <x:c r="I8" t="n">
        <x:f>G8-SUM(C8:F8)+I7</x:f>
        <x:v>0</x:v>
      </x:c>
    </x:row>
    <x:row r="9">
      <x:c r="A9" t="n">
        <x:v>8</x:v>
      </x:c>
      <x:c r="B9" t="str">
        <x:v>2026-12-20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f>MAX(0,-I9)</x:f>
        <x:v>0</x:v>
      </x:c>
      <x:c r="I9" t="n">
        <x:f>G9-SUM(C9:F9)+I8</x:f>
        <x:v>0</x:v>
      </x:c>
    </x:row>
    <x:row r="10">
      <x:c r="A10" t="n">
        <x:v>9</x:v>
      </x:c>
      <x:c r="B10" t="str">
        <x:v>2026-12-27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f>MAX(0,-I10)</x:f>
        <x:v>0</x:v>
      </x:c>
      <x:c r="I10" t="n">
        <x:f>G10-SUM(C10:F10)+I9</x:f>
        <x:v>0</x:v>
      </x:c>
    </x:row>
    <x:row r="11">
      <x:c r="A11" t="n">
        <x:v>10</x:v>
      </x:c>
      <x:c r="B11" t="str">
        <x:v>2027-01-03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f>MAX(0,-I11)</x:f>
        <x:v>0</x:v>
      </x:c>
      <x:c r="I11" t="n">
        <x:f>G11-SUM(C11:F11)+I10</x:f>
        <x:v>0</x:v>
      </x:c>
    </x:row>
    <x:row r="12">
      <x:c r="A12" t="n">
        <x:v>11</x:v>
      </x:c>
      <x:c r="B12" t="str">
        <x:v>2027-01-10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f>MAX(0,-I12)</x:f>
        <x:v>0</x:v>
      </x:c>
      <x:c r="I12" t="n">
        <x:f>G12-SUM(C12:F12)+I11</x:f>
        <x:v>0</x:v>
      </x:c>
    </x:row>
    <x:row r="13">
      <x:c r="A13" t="n">
        <x:v>12</x:v>
      </x:c>
      <x:c r="B13" t="str">
        <x:v>2027-01-17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f>MAX(0,-I13)</x:f>
        <x:v>0</x:v>
      </x:c>
      <x:c r="I13" t="n">
        <x:f>G13-SUM(C13:F13)+I12</x:f>
        <x:v>0</x:v>
      </x:c>
    </x:row>
    <x:row r="14">
      <x:c r="A14" t="n">
        <x:v>13</x:v>
      </x:c>
      <x:c r="B14" t="str">
        <x:v>2027-01-24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f>MAX(0,-I14)</x:f>
        <x:v>0</x:v>
      </x:c>
      <x:c r="I14" t="n">
        <x:f>G14-SUM(C14:F14)+I13</x:f>
        <x:v>0</x:v>
      </x:c>
    </x:row>
    <x:row r="15">
      <x:c r="A15" t="n">
        <x:v>14</x:v>
      </x:c>
      <x:c r="B15" t="str">
        <x:v>2027-01-31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f>MAX(0,-I15)</x:f>
        <x:v>0</x:v>
      </x:c>
      <x:c r="I15" t="n">
        <x:f>G15-SUM(C15:F15)+I14</x:f>
        <x:v>0</x:v>
      </x:c>
    </x:row>
    <x:row r="16">
      <x:c r="A16" t="n">
        <x:v>15</x:v>
      </x:c>
      <x:c r="B16" t="str">
        <x:v>2027-02-07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f>MAX(0,-I16)</x:f>
        <x:v>0</x:v>
      </x:c>
      <x:c r="I16" t="n">
        <x:f>G16-SUM(C16:F16)+I15</x:f>
        <x:v>0</x:v>
      </x:c>
    </x:row>
    <x:row r="17">
      <x:c r="A17" t="n">
        <x:v>16</x:v>
      </x:c>
      <x:c r="B17" t="str">
        <x:v>2027-02-14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f>MAX(0,-I17)</x:f>
        <x:v>0</x:v>
      </x:c>
      <x:c r="I17" t="n">
        <x:f>G17-SUM(C17:F17)+I16</x:f>
        <x:v>0</x:v>
      </x:c>
    </x:row>
    <x:row r="18">
      <x:c r="A18" t="n">
        <x:v>17</x:v>
      </x:c>
      <x:c r="B18" t="str">
        <x:v>2027-02-21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f>MAX(0,-I18)</x:f>
        <x:v>0</x:v>
      </x:c>
      <x:c r="I18" t="n">
        <x:f>G18-SUM(C18:F18)+I17</x:f>
        <x:v>0</x:v>
      </x:c>
    </x:row>
    <x:row r="19">
      <x:c r="A19" t="n">
        <x:v>18</x:v>
      </x:c>
      <x:c r="B19" t="str">
        <x:v>2027-02-28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f>MAX(0,-I19)</x:f>
        <x:v>0</x:v>
      </x:c>
      <x:c r="I19" t="n">
        <x:f>G19-SUM(C19:F19)+I18</x:f>
        <x:v>0</x:v>
      </x:c>
    </x:row>
    <x:row r="20">
      <x:c r="A20" t="n">
        <x:v>19</x:v>
      </x:c>
      <x:c r="B20" t="str">
        <x:v>2027-03-07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f>MAX(0,-I20)</x:f>
        <x:v>0</x:v>
      </x:c>
      <x:c r="I20" t="n">
        <x:f>G20-SUM(C20:F20)+I19</x:f>
        <x:v>0</x:v>
      </x:c>
    </x:row>
    <x:row r="21">
      <x:c r="A21" t="n">
        <x:v>20</x:v>
      </x:c>
      <x:c r="B21" t="str">
        <x:v>2027-03-14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f>MAX(0,-I21)</x:f>
        <x:v>0</x:v>
      </x:c>
      <x:c r="I21" t="n">
        <x:f>G21-SUM(C21:F21)+I20</x:f>
        <x:v>0</x:v>
      </x:c>
    </x:row>
    <x:row r="22">
      <x:c r="A22" t="n">
        <x:v>21</x:v>
      </x:c>
      <x:c r="B22" t="str">
        <x:v>2027-03-21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f>MAX(0,-I22)</x:f>
        <x:v>0</x:v>
      </x:c>
      <x:c r="I22" t="n">
        <x:f>G22-SUM(C22:F22)+I21</x:f>
        <x:v>0</x:v>
      </x:c>
    </x:row>
    <x:row r="23">
      <x:c r="A23" t="n">
        <x:v>22</x:v>
      </x:c>
      <x:c r="B23" t="str">
        <x:v>2027-03-28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f>MAX(0,-I23)</x:f>
        <x:v>0</x:v>
      </x:c>
      <x:c r="I23" t="n">
        <x:f>G23-SUM(C23:F23)+I22</x:f>
        <x:v>0</x:v>
      </x:c>
    </x:row>
    <x:row r="24">
      <x:c r="A24" t="n">
        <x:v>23</x:v>
      </x:c>
      <x:c r="B24" t="str">
        <x:v>2027-04-04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f>MAX(0,-I24)</x:f>
        <x:v>0</x:v>
      </x:c>
      <x:c r="I24" t="n">
        <x:f>G24-SUM(C24:F24)+I23</x:f>
        <x:v>0</x:v>
      </x:c>
    </x:row>
    <x:row r="25">
      <x:c r="A25" t="n">
        <x:v>24</x:v>
      </x:c>
      <x:c r="B25" t="str">
        <x:v>2027-04-11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f>MAX(0,-I25)</x:f>
        <x:v>0</x:v>
      </x:c>
      <x:c r="I25" t="n">
        <x:f>G25-SUM(C25:F25)+I24</x:f>
        <x:v>0</x:v>
      </x:c>
    </x:row>
    <x:row r="26">
      <x:c r="A26" t="n">
        <x:v>25</x:v>
      </x:c>
      <x:c r="B26" t="str">
        <x:v>2027-04-18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f>MAX(0,-I26)</x:f>
        <x:v>0</x:v>
      </x:c>
      <x:c r="I26" t="n">
        <x:f>G26-SUM(C26:F26)+I25</x:f>
        <x:v>0</x:v>
      </x:c>
    </x:row>
    <x:row r="27">
      <x:c r="A27" t="n">
        <x:v>26</x:v>
      </x:c>
      <x:c r="B27" t="str">
        <x:v>2027-04-25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f>MAX(0,-I27)</x:f>
        <x:v>0</x:v>
      </x:c>
      <x:c r="I27" t="n">
        <x:f>G27-SUM(C27:F27)+I26</x:f>
        <x:v>0</x:v>
      </x:c>
    </x:row>
    <x:row r="28">
      <x:c r="A28" t="n">
        <x:v>27</x:v>
      </x:c>
      <x:c r="B28" t="str">
        <x:v>2027-05-02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f>MAX(0,-I28)</x:f>
        <x:v>0</x:v>
      </x:c>
      <x:c r="I28" t="n">
        <x:f>G28-SUM(C28:F28)+I27</x:f>
        <x:v>0</x:v>
      </x:c>
    </x:row>
    <x:row r="29">
      <x:c r="A29" t="n">
        <x:v>28</x:v>
      </x:c>
      <x:c r="B29" t="str">
        <x:v>2027-05-09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f>MAX(0,-I29)</x:f>
        <x:v>0</x:v>
      </x:c>
      <x:c r="I29" t="n">
        <x:f>G29-SUM(C29:F29)+I28</x:f>
        <x:v>0</x:v>
      </x:c>
    </x:row>
    <x:row r="30">
      <x:c r="A30" t="n">
        <x:v>29</x:v>
      </x:c>
      <x:c r="B30" t="str">
        <x:v>2027-05-16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f>MAX(0,-I30)</x:f>
        <x:v>0</x:v>
      </x:c>
      <x:c r="I30" t="n">
        <x:f>G30-SUM(C30:F30)+I29</x:f>
        <x:v>0</x:v>
      </x:c>
    </x:row>
    <x:row r="31">
      <x:c r="A31" t="n">
        <x:v>30</x:v>
      </x:c>
      <x:c r="B31" t="str">
        <x:v>2027-05-23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f>MAX(0,-I31)</x:f>
        <x:v>0</x:v>
      </x:c>
      <x:c r="I31" t="n">
        <x:f>G31-SUM(C31:F31)+I30</x:f>
        <x:v>0</x:v>
      </x:c>
    </x:row>
    <x:row r="32">
      <x:c r="A32" t="n">
        <x:v>31</x:v>
      </x:c>
      <x:c r="B32" t="str">
        <x:v>2027-05-30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f>MAX(0,-I32)</x:f>
        <x:v>0</x:v>
      </x:c>
      <x:c r="I32" t="n">
        <x:f>G32-SUM(C32:F32)+I31</x:f>
        <x:v>0</x:v>
      </x:c>
    </x:row>
    <x:row r="33">
      <x:c r="A33" t="n">
        <x:v>32</x:v>
      </x:c>
      <x:c r="B33" t="str">
        <x:v>2027-06-06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f>MAX(0,-I33)</x:f>
        <x:v>0</x:v>
      </x:c>
      <x:c r="I33" t="n">
        <x:f>G33-SUM(C33:F33)+I32</x:f>
        <x:v>0</x:v>
      </x:c>
    </x:row>
    <x:row r="34">
      <x:c r="A34" t="n">
        <x:v>33</x:v>
      </x:c>
      <x:c r="B34" t="str">
        <x:v>2027-06-13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f>MAX(0,-I34)</x:f>
        <x:v>0</x:v>
      </x:c>
      <x:c r="I34" t="n">
        <x:f>G34-SUM(C34:F34)+I33</x:f>
        <x:v>0</x:v>
      </x:c>
    </x:row>
    <x:row r="35">
      <x:c r="A35" t="n">
        <x:v>34</x:v>
      </x:c>
      <x:c r="B35" t="str">
        <x:v>2027-06-20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f>MAX(0,-I35)</x:f>
        <x:v>0</x:v>
      </x:c>
      <x:c r="I35" t="n">
        <x:f>G35-SUM(C35:F35)+I34</x:f>
        <x:v>0</x:v>
      </x:c>
    </x:row>
    <x:row r="36">
      <x:c r="A36" t="n">
        <x:v>35</x:v>
      </x:c>
      <x:c r="B36" t="str">
        <x:v>2027-06-27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f>MAX(0,-I36)</x:f>
        <x:v>0</x:v>
      </x:c>
      <x:c r="I36" t="n">
        <x:f>G36-SUM(C36:F36)+I35</x:f>
        <x:v>0</x:v>
      </x:c>
    </x:row>
    <x:row r="37">
      <x:c r="A37" t="n">
        <x:v>36</x:v>
      </x:c>
      <x:c r="B37" t="str">
        <x:v>2027-07-04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f>MAX(0,-I37)</x:f>
        <x:v>0</x:v>
      </x:c>
      <x:c r="I37" t="n">
        <x:f>G37-SUM(C37:F37)+I36</x:f>
        <x:v>0</x:v>
      </x:c>
    </x:row>
    <x:row r="38">
      <x:c r="A38" t="n">
        <x:v>37</x:v>
      </x:c>
      <x:c r="B38" t="str">
        <x:v>2027-07-11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f>MAX(0,-I38)</x:f>
        <x:v>0</x:v>
      </x:c>
      <x:c r="I38" t="n">
        <x:f>G38-SUM(C38:F38)+I37</x:f>
        <x:v>0</x:v>
      </x:c>
    </x:row>
    <x:row r="39">
      <x:c r="A39" t="n">
        <x:v>38</x:v>
      </x:c>
      <x:c r="B39" t="str">
        <x:v>2027-07-18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f>MAX(0,-I39)</x:f>
        <x:v>0</x:v>
      </x:c>
      <x:c r="I39" t="n">
        <x:f>G39-SUM(C39:F39)+I38</x:f>
        <x:v>0</x:v>
      </x:c>
    </x:row>
    <x:row r="40">
      <x:c r="A40" t="n">
        <x:v>39</x:v>
      </x:c>
      <x:c r="B40" t="str">
        <x:v>2027-07-25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f>MAX(0,-I40)</x:f>
        <x:v>0</x:v>
      </x:c>
      <x:c r="I40" t="n">
        <x:f>G40-SUM(C40:F40)+I39</x:f>
        <x:v>0</x:v>
      </x:c>
    </x:row>
    <x:row r="41">
      <x:c r="A41" t="n">
        <x:v>40</x:v>
      </x:c>
      <x:c r="B41" t="str">
        <x:v>2027-08-01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f>MAX(0,-I41)</x:f>
        <x:v>0</x:v>
      </x:c>
      <x:c r="I41" t="n">
        <x:f>G41-SUM(C41:F41)+I40</x:f>
        <x:v>0</x:v>
      </x:c>
    </x:row>
    <x:row r="42">
      <x:c r="A42" t="n">
        <x:v>41</x:v>
      </x:c>
      <x:c r="B42" t="str">
        <x:v>2027-08-08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f>MAX(0,-I42)</x:f>
        <x:v>0</x:v>
      </x:c>
      <x:c r="I42" t="n">
        <x:f>G42-SUM(C42:F42)+I41</x:f>
        <x:v>0</x:v>
      </x:c>
    </x:row>
    <x:row r="43">
      <x:c r="A43" t="n">
        <x:v>42</x:v>
      </x:c>
      <x:c r="B43" t="str">
        <x:v>2027-08-15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f>MAX(0,-I43)</x:f>
        <x:v>0</x:v>
      </x:c>
      <x:c r="I43" t="n">
        <x:f>G43-SUM(C43:F43)+I42</x:f>
        <x:v>0</x:v>
      </x:c>
    </x:row>
    <x:row r="44">
      <x:c r="A44" t="n">
        <x:v>43</x:v>
      </x:c>
      <x:c r="B44" t="str">
        <x:v>2027-08-22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f>MAX(0,-I44)</x:f>
        <x:v>0</x:v>
      </x:c>
      <x:c r="I44" t="n">
        <x:f>G44-SUM(C44:F44)+I43</x:f>
        <x:v>0</x:v>
      </x:c>
    </x:row>
    <x:row r="45">
      <x:c r="A45" t="n">
        <x:v>44</x:v>
      </x:c>
      <x:c r="B45" t="str">
        <x:v>2027-08-29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f>MAX(0,-I45)</x:f>
        <x:v>0</x:v>
      </x:c>
      <x:c r="I45" t="n">
        <x:f>G45-SUM(C45:F45)+I44</x:f>
        <x:v>0</x:v>
      </x:c>
    </x:row>
    <x:row r="46">
      <x:c r="A46" t="n">
        <x:v>45</x:v>
      </x:c>
      <x:c r="B46" t="str">
        <x:v>2027-09-05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f>MAX(0,-I46)</x:f>
        <x:v>0</x:v>
      </x:c>
      <x:c r="I46" t="n">
        <x:f>G46-SUM(C46:F46)+I45</x:f>
        <x:v>0</x:v>
      </x:c>
    </x:row>
    <x:row r="47">
      <x:c r="A47" t="n">
        <x:v>46</x:v>
      </x:c>
      <x:c r="B47" t="str">
        <x:v>2027-09-12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f>MAX(0,-I47)</x:f>
        <x:v>0</x:v>
      </x:c>
      <x:c r="I47" t="n">
        <x:f>G47-SUM(C47:F47)+I46</x:f>
        <x:v>0</x:v>
      </x:c>
    </x:row>
    <x:row r="48">
      <x:c r="A48" t="n">
        <x:v>47</x:v>
      </x:c>
      <x:c r="B48" t="str">
        <x:v>2027-09-19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f>MAX(0,-I48)</x:f>
        <x:v>0</x:v>
      </x:c>
      <x:c r="I48" t="n">
        <x:f>G48-SUM(C48:F48)+I47</x:f>
        <x:v>0</x:v>
      </x:c>
    </x:row>
    <x:row r="49">
      <x:c r="A49" t="n">
        <x:v>48</x:v>
      </x:c>
      <x:c r="B49" t="str">
        <x:v>2027-09-26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f>MAX(0,-I49)</x:f>
        <x:v>0</x:v>
      </x:c>
      <x:c r="I49" t="n">
        <x:f>G49-SUM(C49:F49)+I48</x:f>
        <x:v>0</x:v>
      </x:c>
    </x:row>
    <x:row r="50">
      <x:c r="A50" t="n">
        <x:v>49</x:v>
      </x:c>
      <x:c r="B50" t="str">
        <x:v>2027-10-03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f>MAX(0,-I50)</x:f>
        <x:v>0</x:v>
      </x:c>
      <x:c r="I50" t="n">
        <x:f>G50-SUM(C50:F50)+I49</x:f>
        <x:v>0</x:v>
      </x:c>
    </x:row>
    <x:row r="51">
      <x:c r="A51" t="n">
        <x:v>50</x:v>
      </x:c>
      <x:c r="B51" t="str">
        <x:v>2027-10-10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f>MAX(0,-I51)</x:f>
        <x:v>0</x:v>
      </x:c>
      <x:c r="I51" t="n">
        <x:f>G51-SUM(C51:F51)+I50</x:f>
        <x:v>0</x:v>
      </x:c>
    </x:row>
    <x:row r="52">
      <x:c r="A52" t="n">
        <x:v>51</x:v>
      </x:c>
      <x:c r="B52" t="str">
        <x:v>2027-10-17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f>MAX(0,-I52)</x:f>
        <x:v>0</x:v>
      </x:c>
      <x:c r="I52" t="n">
        <x:f>G52-SUM(C52:F52)+I51</x:f>
        <x:v>0</x:v>
      </x:c>
    </x:row>
    <x:row r="53">
      <x:c r="A53" t="n">
        <x:v>52</x:v>
      </x:c>
      <x:c r="B53" t="str">
        <x:v>2027-10-24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f>MAX(0,-I53)</x:f>
        <x:v>0</x:v>
      </x:c>
      <x:c r="I53" t="n">
        <x:f>G53-SUM(C53:F53)+I52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6" t="str">
        <x:v>Gate</x:v>
      </x:c>
      <x:c r="B1" s="6" t="str">
        <x:v>Mandatory evidence</x:v>
      </x:c>
      <x:c r="C1" s="6" t="str">
        <x:v>Accountable</x:v>
      </x:c>
      <x:c r="D1" s="6" t="str">
        <x:v>Status</x:v>
      </x:c>
      <x:c r="E1" s="6" t="str">
        <x:v>Decision rule</x:v>
      </x:c>
    </x:row>
    <x:row r="2">
      <x:c r="A2" t="str">
        <x:v>G1 Engineering</x:v>
      </x:c>
      <x:c r="B2" t="str">
        <x:v>Approved design, survey, temporary works and AFC drawings</x:v>
      </x:c>
      <x:c r="C2" t="str">
        <x:v>Engineering Manager</x:v>
      </x:c>
      <x:c r="D2" t="str">
        <x:v>HOLD</x:v>
      </x:c>
      <x:c r="E2" t="str">
        <x:v>No offshore execution before applicable release</x:v>
      </x:c>
    </x:row>
    <x:row r="3">
      <x:c r="A3" t="str">
        <x:v>G2 Procurement</x:v>
      </x:c>
      <x:c r="B3" t="str">
        <x:v>Traceable materials and approved specifications</x:v>
      </x:c>
      <x:c r="C3" t="str">
        <x:v>Procurement Manager</x:v>
      </x:c>
      <x:c r="D3" t="str">
        <x:v>HOLD</x:v>
      </x:c>
      <x:c r="E3" t="str">
        <x:v>No offshore execution before applicable release</x:v>
      </x:c>
    </x:row>
    <x:row r="4">
      <x:c r="A4" t="str">
        <x:v>G3 Fabrication</x:v>
      </x:c>
      <x:c r="B4" t="str">
        <x:v>Dimensional, welding, NDT and coating release</x:v>
      </x:c>
      <x:c r="C4" t="str">
        <x:v>QA/QC Manager</x:v>
      </x:c>
      <x:c r="D4" t="str">
        <x:v>HOLD</x:v>
      </x:c>
      <x:c r="E4" t="str">
        <x:v>No offshore execution before applicable release</x:v>
      </x:c>
    </x:row>
    <x:row r="5">
      <x:c r="A5" t="str">
        <x:v>G4 Marine</x:v>
      </x:c>
      <x:c r="B5" t="str">
        <x:v>Weight/COG, lift study, vessel suitability, weather criteria</x:v>
      </x:c>
      <x:c r="C5" t="str">
        <x:v>Marine Manager</x:v>
      </x:c>
      <x:c r="D5" t="str">
        <x:v>HOLD</x:v>
      </x:c>
      <x:c r="E5" t="str">
        <x:v>No offshore execution before applicable release</x:v>
      </x:c>
    </x:row>
    <x:row r="6">
      <x:c r="A6" t="str">
        <x:v>G5 Offshore</x:v>
      </x:c>
      <x:c r="B6" t="str">
        <x:v>Landing readiness, PTW, isolation, SIMOPS, rescue</x:v>
      </x:c>
      <x:c r="C6" t="str">
        <x:v>Construction Manager</x:v>
      </x:c>
      <x:c r="D6" t="str">
        <x:v>HOLD</x:v>
      </x:c>
      <x:c r="E6" t="str">
        <x:v>No offshore execution before applicable release</x:v>
      </x:c>
    </x:row>
    <x:row r="7">
      <x:c r="A7" t="str">
        <x:v>G6 Demolition</x:v>
      </x:c>
      <x:c r="B7" t="str">
        <x:v>Approved removal engineering and operational release</x:v>
      </x:c>
      <x:c r="C7" t="str">
        <x:v>Offshore Engineer</x:v>
      </x:c>
      <x:c r="D7" t="str">
        <x:v>HOLD</x:v>
      </x:c>
      <x:c r="E7" t="str">
        <x:v>No offshore execution before applicable release</x:v>
      </x:c>
    </x:row>
    <x:row r="8">
      <x:c r="A8" t="str">
        <x:v>G7 Completion</x:v>
      </x:c>
      <x:c r="B8" t="str">
        <x:v>Accepted quantities, punch closure, as-builts</x:v>
      </x:c>
      <x:c r="C8" t="str">
        <x:v>Completion Manager</x:v>
      </x:c>
      <x:c r="D8" t="str">
        <x:v>HOLD</x:v>
      </x:c>
      <x:c r="E8" t="str">
        <x:v>No offshore execution before applicable release</x:v>
      </x:c>
    </x:row>
    <x:row r="9">
      <x:c r="A9" t="str">
        <x:v>G8 Commercial</x:v>
      </x:c>
      <x:c r="B9" t="str">
        <x:v>Approved valuation, invoice, receipt tracking</x:v>
      </x:c>
      <x:c r="C9" t="str">
        <x:v>Finance Manager</x:v>
      </x:c>
      <x:c r="D9" t="str">
        <x:v>HOLD</x:v>
      </x:c>
      <x:c r="E9" t="str">
        <x:v>No offshore execution before applicable release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6" t="str">
        <x:v>CONTROL BASIS</x:v>
      </x:c>
      <x:c r="B1" s="6" t="str">
        <x:v>DESCRIPTION</x:v>
      </x:c>
    </x:row>
    <x:row r="2">
      <x:c r="A2" t="str">
        <x:v>Status</x:v>
      </x:c>
      <x:c r="B2" t="str">
        <x:v>Conditional pre-award model. No award or resource availability confirmed.</x:v>
      </x:c>
    </x:row>
    <x:row r="3">
      <x:c r="A3" t="str">
        <x:v>Dates</x:v>
      </x:c>
      <x:c r="B3" t="str">
        <x:v>1 Nov 2026 is scenario only; contractual commencement and monsoon exclusions require SCC verification.</x:v>
      </x:c>
    </x:row>
    <x:row r="4">
      <x:c r="A4" t="str">
        <x:v>Quantity</x:v>
      </x:c>
      <x:c r="B4" t="str">
        <x:v>1,141 MT sum of ten bridge rows vs 1,142 MT printed structural summary; 1 MT unresolved.</x:v>
      </x:c>
    </x:row>
    <x:row r="5">
      <x:c r="A5" t="str">
        <x:v>Cost</x:v>
      </x:c>
      <x:c r="B5" t="str">
        <x:v>All zero costs are placeholders for missing commercial data, not confirmed nil prices.</x:v>
      </x:c>
    </x:row>
    <x:row r="6">
      <x:c r="A6" t="str">
        <x:v>Earned value</x:v>
      </x:c>
      <x:c r="B6" t="str">
        <x:v>Budget x accepted physical quantity / baseline work quantity. No subjective percentage progress.</x:v>
      </x:c>
    </x:row>
    <x:row r="7">
      <x:c r="A7" t="str">
        <x:v>Critical path</x:v>
      </x:c>
      <x:c r="B7" t="str">
        <x:v>This workbook is a controls register, NOT a P6 CPM engine or a resource-levelled proof of Day-360 completion.</x:v>
      </x:c>
    </x:row>
    <x:row r="8">
      <x:c r="A8" t="str">
        <x:v>Marine</x:v>
      </x:c>
      <x:c r="B8" t="str">
        <x:v>Major lifting and demolition require qualified independent engineering and approved ONGC procedures.</x:v>
      </x:c>
    </x:row>
    <x:row r="9">
      <x:c r="A9" t="str">
        <x:v>Use</x:v>
      </x:c>
      <x:c r="B9" t="str">
        <x:v>Populate approved budgets, actual costs, accepted quantities, gates and weekly cash receipts; export to P6 activity/resource coding.</x:v>
      </x:c>
    </x:row>
    <x:row r="10">
      <x:c r="A10" t="str">
        <x:v>Web reference</x:v>
      </x:c>
      <x:c r="B10" t="str">
        <x:v>Oracle Primavera Cloud: earned value and resource assignments; McDermott official offshore integrated EPCI pages.</x:v>
      </x:c>
    </x:row>
  </x:sheetData>
  <x:pageMargins left="0.7" right="0.7" top="0.75" bottom="0.75" header="0.3" footer="0.3"/>
</x:worksheet>
</file>