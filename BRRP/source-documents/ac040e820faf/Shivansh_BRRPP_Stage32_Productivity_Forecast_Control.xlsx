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95005e6f1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dge Dashboard" sheetId="1" r:id="R4c3019d5fae441eb"/>
    <x:sheet xmlns:r="http://schemas.openxmlformats.org/officeDocument/2006/relationships" name="Workpack Forecast" sheetId="2" r:id="Rf96c9672766241bd"/>
    <x:sheet xmlns:r="http://schemas.openxmlformats.org/officeDocument/2006/relationships" name="Daily Production" sheetId="3" r:id="R67f739708f0f4cb2"/>
    <x:sheet xmlns:r="http://schemas.openxmlformats.org/officeDocument/2006/relationships" name="Constraints" sheetId="4" r:id="Rcac585dbad8b4a70"/>
    <x:sheet xmlns:r="http://schemas.openxmlformats.org/officeDocument/2006/relationships" name="Marine Utilisation" sheetId="5" r:id="R58057a2442914e34"/>
    <x:sheet xmlns:r="http://schemas.openxmlformats.org/officeDocument/2006/relationships" name="14-Day Lookahead" sheetId="6" r:id="R0f217b26ad5f4254"/>
    <x:sheet xmlns:r="http://schemas.openxmlformats.org/officeDocument/2006/relationships" name="Forecast Triggers" sheetId="7" r:id="Rb7aea4c06c284dc2"/>
    <x:sheet xmlns:r="http://schemas.openxmlformats.org/officeDocument/2006/relationships" name="Basis and Use" sheetId="8" r:id="Recdc56dcd7f6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5bfd3d6e14de2" /><Relationship Type="http://schemas.openxmlformats.org/officeDocument/2006/relationships/theme" Target="/xl/theme/theme1.xml" Id="R0884d98e5d88496e" /><Relationship Type="http://schemas.openxmlformats.org/officeDocument/2006/relationships/sharedStrings" Target="/xl/sharedStrings.xml" Id="Rd39f53452be545c6" /><Relationship Type="http://schemas.openxmlformats.org/officeDocument/2006/relationships/worksheet" Target="/xl/worksheets/sheet1.xml" Id="R4c3019d5fae441eb" /><Relationship Type="http://schemas.openxmlformats.org/officeDocument/2006/relationships/worksheet" Target="/xl/worksheets/sheet2.xml" Id="Rf96c9672766241bd" /><Relationship Type="http://schemas.openxmlformats.org/officeDocument/2006/relationships/worksheet" Target="/xl/worksheets/sheet3.xml" Id="R67f739708f0f4cb2" /><Relationship Type="http://schemas.openxmlformats.org/officeDocument/2006/relationships/worksheet" Target="/xl/worksheets/sheet4.xml" Id="Rcac585dbad8b4a70" /><Relationship Type="http://schemas.openxmlformats.org/officeDocument/2006/relationships/worksheet" Target="/xl/worksheets/sheet5.xml" Id="R58057a2442914e34" /><Relationship Type="http://schemas.openxmlformats.org/officeDocument/2006/relationships/worksheet" Target="/xl/worksheets/sheet6.xml" Id="R0f217b26ad5f4254" /><Relationship Type="http://schemas.openxmlformats.org/officeDocument/2006/relationships/worksheet" Target="/xl/worksheets/sheet7.xml" Id="Rb7aea4c06c284dc2" /><Relationship Type="http://schemas.openxmlformats.org/officeDocument/2006/relationships/worksheet" Target="/xl/worksheets/sheet8.xml" Id="Recdc56dcd7f640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4" t="str">
        <x:v>Bridge</x:v>
      </x:c>
      <x:c r="B1" s="4" t="str">
        <x:v>Structural MT</x:v>
      </x:c>
      <x:c r="C1" s="4" t="str">
        <x:v>Demolition MT</x:v>
      </x:c>
      <x:c r="D1" s="4" t="str">
        <x:v>Accepted structural MT</x:v>
      </x:c>
      <x:c r="E1" s="4" t="str">
        <x:v>Structural %</x:v>
      </x:c>
      <x:c r="F1" s="4" t="str">
        <x:v>Accepted demolition MT</x:v>
      </x:c>
      <x:c r="G1" s="4" t="str">
        <x:v>Demolition %</x:v>
      </x:c>
      <x:c r="H1" s="4" t="str">
        <x:v>Open constraints</x:v>
      </x:c>
      <x:c r="I1" s="4" t="str">
        <x:v>Forecast date</x:v>
      </x:c>
      <x:c r="J1" s="4" t="str">
        <x:v>Status</x:v>
      </x:c>
    </x:row>
    <x:row r="2">
      <x:c r="A2" t="str">
        <x:v>ICW-ICG UD</x:v>
      </x:c>
      <x:c r="B2" t="n">
        <x:v>49</x:v>
      </x:c>
      <x:c r="C2" t="n">
        <x:v>25</x:v>
      </x:c>
      <x:c r="D2" t="n">
        <x:v>0</x:v>
      </x:c>
      <x:c r="E2" s="8" t="n">
        <x:f>IFERROR(D2/B2,0)</x:f>
        <x:v>0</x:v>
      </x:c>
      <x:c r="F2" t="n">
        <x:v>0</x:v>
      </x:c>
      <x:c r="G2" s="8" t="n">
        <x:f>IFERROR(F2/C2,0)</x:f>
        <x:v>0</x:v>
      </x:c>
      <x:c r="H2" t="n">
        <x:v>0</x:v>
      </x:c>
      <x:c r="I2"/>
      <x:c r="J2" t="str">
        <x:v>Pre-award</x:v>
      </x:c>
    </x:row>
    <x:row r="3">
      <x:c r="A3" t="str">
        <x:v>ICW-ICG LD</x:v>
      </x:c>
      <x:c r="B3" t="n">
        <x:v>122</x:v>
      </x:c>
      <x:c r="C3" t="n">
        <x:v>1</x:v>
      </x:c>
      <x:c r="D3" t="n">
        <x:v>0</x:v>
      </x:c>
      <x:c r="E3" s="8" t="n">
        <x:f>IFERROR(D3/B3,0)</x:f>
        <x:v>0</x:v>
      </x:c>
      <x:c r="F3" t="n">
        <x:v>0</x:v>
      </x:c>
      <x:c r="G3" s="8" t="n">
        <x:f>IFERROR(F3/C3,0)</x:f>
        <x:v>0</x:v>
      </x:c>
      <x:c r="H3" t="n">
        <x:v>0</x:v>
      </x:c>
      <x:c r="I3"/>
      <x:c r="J3" t="str">
        <x:v>Pre-award</x:v>
      </x:c>
    </x:row>
    <x:row r="4">
      <x:c r="A4" t="str">
        <x:v>ICG-ICP UD</x:v>
      </x:c>
      <x:c r="B4" t="n">
        <x:v>116</x:v>
      </x:c>
      <x:c r="C4" t="n">
        <x:v>25</x:v>
      </x:c>
      <x:c r="D4" t="n">
        <x:v>0</x:v>
      </x:c>
      <x:c r="E4" s="8" t="n">
        <x:f>IFERROR(D4/B4,0)</x:f>
        <x:v>0</x:v>
      </x:c>
      <x:c r="F4" t="n">
        <x:v>0</x:v>
      </x:c>
      <x:c r="G4" s="8" t="n">
        <x:f>IFERROR(F4/C4,0)</x:f>
        <x:v>0</x:v>
      </x:c>
      <x:c r="H4" t="n">
        <x:v>0</x:v>
      </x:c>
      <x:c r="I4"/>
      <x:c r="J4" t="str">
        <x:v>Pre-award</x:v>
      </x:c>
    </x:row>
    <x:row r="5">
      <x:c r="A5" t="str">
        <x:v>ICG-ICP LD</x:v>
      </x:c>
      <x:c r="B5" t="n">
        <x:v>160</x:v>
      </x:c>
      <x:c r="C5" t="n">
        <x:v>1</x:v>
      </x:c>
      <x:c r="D5" t="n">
        <x:v>0</x:v>
      </x:c>
      <x:c r="E5" s="8" t="n">
        <x:f>IFERROR(D5/B5,0)</x:f>
        <x:v>0</x:v>
      </x:c>
      <x:c r="F5" t="n">
        <x:v>0</x:v>
      </x:c>
      <x:c r="G5" s="8" t="n">
        <x:f>IFERROR(F5/C5,0)</x:f>
        <x:v>0</x:v>
      </x:c>
      <x:c r="H5" t="n">
        <x:v>0</x:v>
      </x:c>
      <x:c r="I5"/>
      <x:c r="J5" t="str">
        <x:v>Pre-award</x:v>
      </x:c>
    </x:row>
    <x:row r="6">
      <x:c r="A6" t="str">
        <x:v>BHS-SLQ</x:v>
      </x:c>
      <x:c r="B6" t="n">
        <x:v>282</x:v>
      </x:c>
      <x:c r="C6" t="n">
        <x:v>210</x:v>
      </x:c>
      <x:c r="D6" t="n">
        <x:v>0</x:v>
      </x:c>
      <x:c r="E6" s="8" t="n">
        <x:f>IFERROR(D6/B6,0)</x:f>
        <x:v>0</x:v>
      </x:c>
      <x:c r="F6" t="n">
        <x:v>0</x:v>
      </x:c>
      <x:c r="G6" s="8" t="n">
        <x:f>IFERROR(F6/C6,0)</x:f>
        <x:v>0</x:v>
      </x:c>
      <x:c r="H6" t="n">
        <x:v>0</x:v>
      </x:c>
      <x:c r="I6"/>
      <x:c r="J6" t="str">
        <x:v>Pre-award</x:v>
      </x:c>
    </x:row>
    <x:row r="7">
      <x:c r="A7" t="str">
        <x:v>SLQ-WIS</x:v>
      </x:c>
      <x:c r="B7" t="n">
        <x:v>91</x:v>
      </x:c>
      <x:c r="C7" t="n">
        <x:v>15</x:v>
      </x:c>
      <x:c r="D7" t="n">
        <x:v>0</x:v>
      </x:c>
      <x:c r="E7" s="8" t="n">
        <x:f>IFERROR(D7/B7,0)</x:f>
        <x:v>0</x:v>
      </x:c>
      <x:c r="F7" t="n">
        <x:v>0</x:v>
      </x:c>
      <x:c r="G7" s="8" t="n">
        <x:f>IFERROR(F7/C7,0)</x:f>
        <x:v>0</x:v>
      </x:c>
      <x:c r="H7" t="n">
        <x:v>0</x:v>
      </x:c>
      <x:c r="I7"/>
      <x:c r="J7" t="str">
        <x:v>Pre-award</x:v>
      </x:c>
    </x:row>
    <x:row r="8">
      <x:c r="A8" t="str">
        <x:v>NQO-NQD</x:v>
      </x:c>
      <x:c r="B8" t="n">
        <x:v>93</x:v>
      </x:c>
      <x:c r="C8" t="n">
        <x:v>25</x:v>
      </x:c>
      <x:c r="D8" t="n">
        <x:v>0</x:v>
      </x:c>
      <x:c r="E8" s="8" t="n">
        <x:f>IFERROR(D8/B8,0)</x:f>
        <x:v>0</x:v>
      </x:c>
      <x:c r="F8" t="n">
        <x:v>0</x:v>
      </x:c>
      <x:c r="G8" s="8" t="n">
        <x:f>IFERROR(F8/C8,0)</x:f>
        <x:v>0</x:v>
      </x:c>
      <x:c r="H8" t="n">
        <x:v>0</x:v>
      </x:c>
      <x:c r="I8"/>
      <x:c r="J8" t="str">
        <x:v>Pre-award</x:v>
      </x:c>
    </x:row>
    <x:row r="9">
      <x:c r="A9" t="str">
        <x:v>WIN-NC</x:v>
      </x:c>
      <x:c r="B9" t="n">
        <x:v>46</x:v>
      </x:c>
      <x:c r="C9" t="n">
        <x:v>10</x:v>
      </x:c>
      <x:c r="D9" t="n">
        <x:v>0</x:v>
      </x:c>
      <x:c r="E9" s="8" t="n">
        <x:f>IFERROR(D9/B9,0)</x:f>
        <x:v>0</x:v>
      </x:c>
      <x:c r="F9" t="n">
        <x:v>0</x:v>
      </x:c>
      <x:c r="G9" s="8" t="n">
        <x:f>IFERROR(F9/C9,0)</x:f>
        <x:v>0</x:v>
      </x:c>
      <x:c r="H9" t="n">
        <x:v>0</x:v>
      </x:c>
      <x:c r="I9"/>
      <x:c r="J9" t="str">
        <x:v>Pre-award</x:v>
      </x:c>
    </x:row>
    <x:row r="10">
      <x:c r="A10" t="str">
        <x:v>SCA-SC1</x:v>
      </x:c>
      <x:c r="B10" t="n">
        <x:v>63</x:v>
      </x:c>
      <x:c r="C10" t="n">
        <x:v>15</x:v>
      </x:c>
      <x:c r="D10" t="n">
        <x:v>0</x:v>
      </x:c>
      <x:c r="E10" s="8" t="n">
        <x:f>IFERROR(D10/B10,0)</x:f>
        <x:v>0</x:v>
      </x:c>
      <x:c r="F10" t="n">
        <x:v>0</x:v>
      </x:c>
      <x:c r="G10" s="8" t="n">
        <x:f>IFERROR(F10/C10,0)</x:f>
        <x:v>0</x:v>
      </x:c>
      <x:c r="H10" t="n">
        <x:v>0</x:v>
      </x:c>
      <x:c r="I10"/>
      <x:c r="J10" t="str">
        <x:v>Pre-award</x:v>
      </x:c>
    </x:row>
    <x:row r="11">
      <x:c r="A11" t="str">
        <x:v>SCA-SCF</x:v>
      </x:c>
      <x:c r="B11" t="n">
        <x:v>119</x:v>
      </x:c>
      <x:c r="C11" t="n">
        <x:v>30</x:v>
      </x:c>
      <x:c r="D11" t="n">
        <x:v>0</x:v>
      </x:c>
      <x:c r="E11" s="8" t="n">
        <x:f>IFERROR(D11/B11,0)</x:f>
        <x:v>0</x:v>
      </x:c>
      <x:c r="F11" t="n">
        <x:v>0</x:v>
      </x:c>
      <x:c r="G11" s="8" t="n">
        <x:f>IFERROR(F11/C11,0)</x:f>
        <x:v>0</x:v>
      </x:c>
      <x:c r="H11" t="n">
        <x:v>0</x:v>
      </x:c>
      <x:c r="I11"/>
      <x:c r="J11" t="str">
        <x:v>Pre-award</x:v>
      </x:c>
    </x:row>
    <x:row r="14">
      <x:c r="A14" t="str">
        <x:v>Printed structural summary</x:v>
      </x:c>
      <x:c r="B14" t="n">
        <x:v>1142</x:v>
      </x:c>
    </x:row>
    <x:row r="15">
      <x:c r="A15" t="str">
        <x:v>Bridge-row structural total</x:v>
      </x:c>
      <x:c r="B15" t="n">
        <x:v>1141</x:v>
      </x:c>
    </x:row>
    <x:row r="16">
      <x:c r="A16" t="str">
        <x:v>Open reconciliation MT</x:v>
      </x:c>
      <x:c r="B16" t="n">
        <x:v>1</x:v>
      </x:c>
    </x:row>
    <x:row r="17">
      <x:c r="A17" t="str">
        <x:v>Demolition row total</x:v>
      </x:c>
      <x:c r="B17" t="n">
        <x:v>357</x:v>
      </x:c>
    </x:row>
    <x:row r="18">
      <x:c r="A18" t="str">
        <x:v>Planning start</x:v>
      </x:c>
      <x:c r="B18" t="str">
        <x:v>2026-11-01 (conditional)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4" t="str">
        <x:v>Bridge</x:v>
      </x:c>
      <x:c r="B1" s="4" t="str">
        <x:v>Activity</x:v>
      </x:c>
      <x:c r="C1" s="4" t="str">
        <x:v>Unit</x:v>
      </x:c>
      <x:c r="D1" s="4" t="str">
        <x:v>Approved qty</x:v>
      </x:c>
      <x:c r="E1" s="4" t="str">
        <x:v>Accepted qty</x:v>
      </x:c>
      <x:c r="F1" s="4" t="str">
        <x:v>Remaining qty</x:v>
      </x:c>
      <x:c r="G1" s="4" t="str">
        <x:v>Productive crew-days</x:v>
      </x:c>
      <x:c r="H1" s="4" t="str">
        <x:v>Actual productivity</x:v>
      </x:c>
      <x:c r="I1" s="4" t="str">
        <x:v>Crews available</x:v>
      </x:c>
      <x:c r="J1" s="4" t="str">
        <x:v>Workability fraction</x:v>
      </x:c>
      <x:c r="K1" s="4" t="str">
        <x:v>Forecast calendar days</x:v>
      </x:c>
      <x:c r="L1" s="4" t="str">
        <x:v>Basis status</x:v>
      </x:c>
    </x:row>
    <x:row r="2">
      <x:c r="A2" t="str">
        <x:v>ICW-ICG UD</x:v>
      </x:c>
      <x:c r="B2" t="str">
        <x:v>Structural fabrication</x:v>
      </x:c>
      <x:c r="C2" t="str">
        <x:v>MT</x:v>
      </x:c>
      <x:c r="D2"/>
      <x:c r="E2" t="n">
        <x:v>0</x:v>
      </x:c>
      <x:c r="F2" t="str">
        <x:f>IF(D2="","",MAX(0,D2-E2))</x:f>
      </x:c>
      <x:c r="G2"/>
      <x:c r="H2" t="str">
        <x:f>IFERROR(IF(G2&gt;0,E2/G2,""),"")</x:f>
      </x:c>
      <x:c r="I2"/>
      <x:c r="J2"/>
      <x:c r="K2" t="str">
        <x:f>IFERROR(IF(AND(H2&gt;0,I2&gt;0,J2&gt;0),ROUNDUP(F2/(H2*I2*J2),0),""),"")</x:f>
      </x:c>
      <x:c r="L2" t="str">
        <x:v>Not validated</x:v>
      </x:c>
    </x:row>
    <x:row r="3">
      <x:c r="A3" t="str">
        <x:v>ICW-ICG UD</x:v>
      </x:c>
      <x:c r="B3" t="str">
        <x:v>Offshore installation</x:v>
      </x:c>
      <x:c r="C3" t="str">
        <x:v>MT</x:v>
      </x:c>
      <x:c r="D3"/>
      <x:c r="E3" t="n">
        <x:v>0</x:v>
      </x:c>
      <x:c r="F3" t="str">
        <x:f>IF(D3="","",MAX(0,D3-E3))</x:f>
      </x:c>
      <x:c r="G3"/>
      <x:c r="H3" t="str">
        <x:f>IFERROR(IF(G3&gt;0,E3/G3,""),"")</x:f>
      </x:c>
      <x:c r="I3"/>
      <x:c r="J3"/>
      <x:c r="K3" t="str">
        <x:f>IFERROR(IF(AND(H3&gt;0,I3&gt;0,J3&gt;0),ROUNDUP(F3/(H3*I3*J3),0),""),"")</x:f>
      </x:c>
      <x:c r="L3" t="str">
        <x:v>Not validated</x:v>
      </x:c>
    </x:row>
    <x:row r="4">
      <x:c r="A4" t="str">
        <x:v>ICW-ICG UD</x:v>
      </x:c>
      <x:c r="B4" t="str">
        <x:v>Welding</x:v>
      </x:c>
      <x:c r="C4" t="str">
        <x:v>m</x:v>
      </x:c>
      <x:c r="D4"/>
      <x:c r="E4" t="n">
        <x:v>0</x:v>
      </x:c>
      <x:c r="F4" t="str">
        <x:f>IF(D4="","",MAX(0,D4-E4))</x:f>
      </x:c>
      <x:c r="G4"/>
      <x:c r="H4" t="str">
        <x:f>IFERROR(IF(G4&gt;0,E4/G4,""),"")</x:f>
      </x:c>
      <x:c r="I4"/>
      <x:c r="J4"/>
      <x:c r="K4" t="str">
        <x:f>IFERROR(IF(AND(H4&gt;0,I4&gt;0,J4&gt;0),ROUNDUP(F4/(H4*I4*J4),0),""),"")</x:f>
      </x:c>
      <x:c r="L4" t="str">
        <x:v>Not validated</x:v>
      </x:c>
    </x:row>
    <x:row r="5">
      <x:c r="A5" t="str">
        <x:v>ICW-ICG UD</x:v>
      </x:c>
      <x:c r="B5" t="str">
        <x:v>NDT</x:v>
      </x:c>
      <x:c r="C5" t="str">
        <x:v>joints</x:v>
      </x:c>
      <x:c r="D5"/>
      <x:c r="E5" t="n">
        <x:v>0</x:v>
      </x:c>
      <x:c r="F5" t="str">
        <x:f>IF(D5="","",MAX(0,D5-E5))</x:f>
      </x:c>
      <x:c r="G5"/>
      <x:c r="H5" t="str">
        <x:f>IFERROR(IF(G5&gt;0,E5/G5,""),"")</x:f>
      </x:c>
      <x:c r="I5"/>
      <x:c r="J5"/>
      <x:c r="K5" t="str">
        <x:f>IFERROR(IF(AND(H5&gt;0,I5&gt;0,J5&gt;0),ROUNDUP(F5/(H5*I5*J5),0),""),"")</x:f>
      </x:c>
      <x:c r="L5" t="str">
        <x:v>Not validated</x:v>
      </x:c>
    </x:row>
    <x:row r="6">
      <x:c r="A6" t="str">
        <x:v>ICW-ICG UD</x:v>
      </x:c>
      <x:c r="B6" t="str">
        <x:v>Coating</x:v>
      </x:c>
      <x:c r="C6" t="str">
        <x:v>m2</x:v>
      </x:c>
      <x:c r="D6"/>
      <x:c r="E6" t="n">
        <x:v>0</x:v>
      </x:c>
      <x:c r="F6" t="str">
        <x:f>IF(D6="","",MAX(0,D6-E6))</x:f>
      </x:c>
      <x:c r="G6"/>
      <x:c r="H6" t="str">
        <x:f>IFERROR(IF(G6&gt;0,E6/G6,""),"")</x:f>
      </x:c>
      <x:c r="I6"/>
      <x:c r="J6"/>
      <x:c r="K6" t="str">
        <x:f>IFERROR(IF(AND(H6&gt;0,I6&gt;0,J6&gt;0),ROUNDUP(F6/(H6*I6*J6),0),""),"")</x:f>
      </x:c>
      <x:c r="L6" t="str">
        <x:v>Not validated</x:v>
      </x:c>
    </x:row>
    <x:row r="7">
      <x:c r="A7" t="str">
        <x:v>ICW-ICG UD</x:v>
      </x:c>
      <x:c r="B7" t="str">
        <x:v>Demolition</x:v>
      </x:c>
      <x:c r="C7" t="str">
        <x:v>MT</x:v>
      </x:c>
      <x:c r="D7"/>
      <x:c r="E7" t="n">
        <x:v>0</x:v>
      </x:c>
      <x:c r="F7" t="str">
        <x:f>IF(D7="","",MAX(0,D7-E7))</x:f>
      </x:c>
      <x:c r="G7"/>
      <x:c r="H7" t="str">
        <x:f>IFERROR(IF(G7&gt;0,E7/G7,""),"")</x:f>
      </x:c>
      <x:c r="I7"/>
      <x:c r="J7"/>
      <x:c r="K7" t="str">
        <x:f>IFERROR(IF(AND(H7&gt;0,I7&gt;0,J7&gt;0),ROUNDUP(F7/(H7*I7*J7),0),""),"")</x:f>
      </x:c>
      <x:c r="L7" t="str">
        <x:v>Not validated</x:v>
      </x:c>
    </x:row>
    <x:row r="8">
      <x:c r="A8" t="str">
        <x:v>ICW-ICG UD</x:v>
      </x:c>
      <x:c r="B8" t="str">
        <x:v>Handrails</x:v>
      </x:c>
      <x:c r="C8" t="str">
        <x:v>m</x:v>
      </x:c>
      <x:c r="D8"/>
      <x:c r="E8" t="n">
        <x:v>0</x:v>
      </x:c>
      <x:c r="F8" t="str">
        <x:f>IF(D8="","",MAX(0,D8-E8))</x:f>
      </x:c>
      <x:c r="G8"/>
      <x:c r="H8" t="str">
        <x:f>IFERROR(IF(G8&gt;0,E8/G8,""),"")</x:f>
      </x:c>
      <x:c r="I8"/>
      <x:c r="J8"/>
      <x:c r="K8" t="str">
        <x:f>IFERROR(IF(AND(H8&gt;0,I8&gt;0,J8&gt;0),ROUNDUP(F8/(H8*I8*J8),0),""),"")</x:f>
      </x:c>
      <x:c r="L8" t="str">
        <x:v>Not validated</x:v>
      </x:c>
    </x:row>
    <x:row r="9">
      <x:c r="A9" t="str">
        <x:v>ICW-ICG UD</x:v>
      </x:c>
      <x:c r="B9" t="str">
        <x:v>Grating</x:v>
      </x:c>
      <x:c r="C9" t="str">
        <x:v>m2</x:v>
      </x:c>
      <x:c r="D9"/>
      <x:c r="E9" t="n">
        <x:v>0</x:v>
      </x:c>
      <x:c r="F9" t="str">
        <x:f>IF(D9="","",MAX(0,D9-E9))</x:f>
      </x:c>
      <x:c r="G9"/>
      <x:c r="H9" t="str">
        <x:f>IFERROR(IF(G9&gt;0,E9/G9,""),"")</x:f>
      </x:c>
      <x:c r="I9"/>
      <x:c r="J9"/>
      <x:c r="K9" t="str">
        <x:f>IFERROR(IF(AND(H9&gt;0,I9&gt;0,J9&gt;0),ROUNDUP(F9/(H9*I9*J9),0),""),"")</x:f>
      </x:c>
      <x:c r="L9" t="str">
        <x:v>Not validated</x:v>
      </x:c>
    </x:row>
    <x:row r="10">
      <x:c r="A10" t="str">
        <x:v>ICW-ICG UD</x:v>
      </x:c>
      <x:c r="B10" t="str">
        <x:v>GI sheeting</x:v>
      </x:c>
      <x:c r="C10" t="str">
        <x:v>m2</x:v>
      </x:c>
      <x:c r="D10"/>
      <x:c r="E10" t="n">
        <x:v>0</x:v>
      </x:c>
      <x:c r="F10" t="str">
        <x:f>IF(D10="","",MAX(0,D10-E10))</x:f>
      </x:c>
      <x:c r="G10"/>
      <x:c r="H10" t="str">
        <x:f>IFERROR(IF(G10&gt;0,E10/G10,""),"")</x:f>
      </x:c>
      <x:c r="I10"/>
      <x:c r="J10"/>
      <x:c r="K10" t="str">
        <x:f>IFERROR(IF(AND(H10&gt;0,I10&gt;0,J10&gt;0),ROUNDUP(F10/(H10*I10*J10),0),""),"")</x:f>
      </x:c>
      <x:c r="L10" t="str">
        <x:v>Not validated</x:v>
      </x:c>
    </x:row>
    <x:row r="11">
      <x:c r="A11" t="str">
        <x:v>ICW-ICG LD</x:v>
      </x:c>
      <x:c r="B11" t="str">
        <x:v>Structural fabrication</x:v>
      </x:c>
      <x:c r="C11" t="str">
        <x:v>MT</x:v>
      </x:c>
      <x:c r="D11"/>
      <x:c r="E11" t="n">
        <x:v>0</x:v>
      </x:c>
      <x:c r="F11" t="str">
        <x:f>IF(D11="","",MAX(0,D11-E11))</x:f>
      </x:c>
      <x:c r="G11"/>
      <x:c r="H11" t="str">
        <x:f>IFERROR(IF(G11&gt;0,E11/G11,""),"")</x:f>
      </x:c>
      <x:c r="I11"/>
      <x:c r="J11"/>
      <x:c r="K11" t="str">
        <x:f>IFERROR(IF(AND(H11&gt;0,I11&gt;0,J11&gt;0),ROUNDUP(F11/(H11*I11*J11),0),""),"")</x:f>
      </x:c>
      <x:c r="L11" t="str">
        <x:v>Not validated</x:v>
      </x:c>
    </x:row>
    <x:row r="12">
      <x:c r="A12" t="str">
        <x:v>ICW-ICG LD</x:v>
      </x:c>
      <x:c r="B12" t="str">
        <x:v>Offshore installation</x:v>
      </x:c>
      <x:c r="C12" t="str">
        <x:v>MT</x:v>
      </x:c>
      <x:c r="D12"/>
      <x:c r="E12" t="n">
        <x:v>0</x:v>
      </x:c>
      <x:c r="F12" t="str">
        <x:f>IF(D12="","",MAX(0,D12-E12))</x:f>
      </x:c>
      <x:c r="G12"/>
      <x:c r="H12" t="str">
        <x:f>IFERROR(IF(G12&gt;0,E12/G12,""),"")</x:f>
      </x:c>
      <x:c r="I12"/>
      <x:c r="J12"/>
      <x:c r="K12" t="str">
        <x:f>IFERROR(IF(AND(H12&gt;0,I12&gt;0,J12&gt;0),ROUNDUP(F12/(H12*I12*J12),0),""),"")</x:f>
      </x:c>
      <x:c r="L12" t="str">
        <x:v>Not validated</x:v>
      </x:c>
    </x:row>
    <x:row r="13">
      <x:c r="A13" t="str">
        <x:v>ICW-ICG LD</x:v>
      </x:c>
      <x:c r="B13" t="str">
        <x:v>Welding</x:v>
      </x:c>
      <x:c r="C13" t="str">
        <x:v>m</x:v>
      </x:c>
      <x:c r="D13"/>
      <x:c r="E13" t="n">
        <x:v>0</x:v>
      </x:c>
      <x:c r="F13" t="str">
        <x:f>IF(D13="","",MAX(0,D13-E13))</x:f>
      </x:c>
      <x:c r="G13"/>
      <x:c r="H13" t="str">
        <x:f>IFERROR(IF(G13&gt;0,E13/G13,""),"")</x:f>
      </x:c>
      <x:c r="I13"/>
      <x:c r="J13"/>
      <x:c r="K13" t="str">
        <x:f>IFERROR(IF(AND(H13&gt;0,I13&gt;0,J13&gt;0),ROUNDUP(F13/(H13*I13*J13),0),""),"")</x:f>
      </x:c>
      <x:c r="L13" t="str">
        <x:v>Not validated</x:v>
      </x:c>
    </x:row>
    <x:row r="14">
      <x:c r="A14" t="str">
        <x:v>ICW-ICG LD</x:v>
      </x:c>
      <x:c r="B14" t="str">
        <x:v>NDT</x:v>
      </x:c>
      <x:c r="C14" t="str">
        <x:v>joints</x:v>
      </x:c>
      <x:c r="D14"/>
      <x:c r="E14" t="n">
        <x:v>0</x:v>
      </x:c>
      <x:c r="F14" t="str">
        <x:f>IF(D14="","",MAX(0,D14-E14))</x:f>
      </x:c>
      <x:c r="G14"/>
      <x:c r="H14" t="str">
        <x:f>IFERROR(IF(G14&gt;0,E14/G14,""),"")</x:f>
      </x:c>
      <x:c r="I14"/>
      <x:c r="J14"/>
      <x:c r="K14" t="str">
        <x:f>IFERROR(IF(AND(H14&gt;0,I14&gt;0,J14&gt;0),ROUNDUP(F14/(H14*I14*J14),0),""),"")</x:f>
      </x:c>
      <x:c r="L14" t="str">
        <x:v>Not validated</x:v>
      </x:c>
    </x:row>
    <x:row r="15">
      <x:c r="A15" t="str">
        <x:v>ICW-ICG LD</x:v>
      </x:c>
      <x:c r="B15" t="str">
        <x:v>Coating</x:v>
      </x:c>
      <x:c r="C15" t="str">
        <x:v>m2</x:v>
      </x:c>
      <x:c r="D15"/>
      <x:c r="E15" t="n">
        <x:v>0</x:v>
      </x:c>
      <x:c r="F15" t="str">
        <x:f>IF(D15="","",MAX(0,D15-E15))</x:f>
      </x:c>
      <x:c r="G15"/>
      <x:c r="H15" t="str">
        <x:f>IFERROR(IF(G15&gt;0,E15/G15,""),"")</x:f>
      </x:c>
      <x:c r="I15"/>
      <x:c r="J15"/>
      <x:c r="K15" t="str">
        <x:f>IFERROR(IF(AND(H15&gt;0,I15&gt;0,J15&gt;0),ROUNDUP(F15/(H15*I15*J15),0),""),"")</x:f>
      </x:c>
      <x:c r="L15" t="str">
        <x:v>Not validated</x:v>
      </x:c>
    </x:row>
    <x:row r="16">
      <x:c r="A16" t="str">
        <x:v>ICW-ICG LD</x:v>
      </x:c>
      <x:c r="B16" t="str">
        <x:v>Demolition</x:v>
      </x:c>
      <x:c r="C16" t="str">
        <x:v>MT</x:v>
      </x:c>
      <x:c r="D16"/>
      <x:c r="E16" t="n">
        <x:v>0</x:v>
      </x:c>
      <x:c r="F16" t="str">
        <x:f>IF(D16="","",MAX(0,D16-E16))</x:f>
      </x:c>
      <x:c r="G16"/>
      <x:c r="H16" t="str">
        <x:f>IFERROR(IF(G16&gt;0,E16/G16,""),"")</x:f>
      </x:c>
      <x:c r="I16"/>
      <x:c r="J16"/>
      <x:c r="K16" t="str">
        <x:f>IFERROR(IF(AND(H16&gt;0,I16&gt;0,J16&gt;0),ROUNDUP(F16/(H16*I16*J16),0),""),"")</x:f>
      </x:c>
      <x:c r="L16" t="str">
        <x:v>Not validated</x:v>
      </x:c>
    </x:row>
    <x:row r="17">
      <x:c r="A17" t="str">
        <x:v>ICW-ICG LD</x:v>
      </x:c>
      <x:c r="B17" t="str">
        <x:v>Handrails</x:v>
      </x:c>
      <x:c r="C17" t="str">
        <x:v>m</x:v>
      </x:c>
      <x:c r="D17"/>
      <x:c r="E17" t="n">
        <x:v>0</x:v>
      </x:c>
      <x:c r="F17" t="str">
        <x:f>IF(D17="","",MAX(0,D17-E17))</x:f>
      </x:c>
      <x:c r="G17"/>
      <x:c r="H17" t="str">
        <x:f>IFERROR(IF(G17&gt;0,E17/G17,""),"")</x:f>
      </x:c>
      <x:c r="I17"/>
      <x:c r="J17"/>
      <x:c r="K17" t="str">
        <x:f>IFERROR(IF(AND(H17&gt;0,I17&gt;0,J17&gt;0),ROUNDUP(F17/(H17*I17*J17),0),""),"")</x:f>
      </x:c>
      <x:c r="L17" t="str">
        <x:v>Not validated</x:v>
      </x:c>
    </x:row>
    <x:row r="18">
      <x:c r="A18" t="str">
        <x:v>ICW-ICG LD</x:v>
      </x:c>
      <x:c r="B18" t="str">
        <x:v>Grating</x:v>
      </x:c>
      <x:c r="C18" t="str">
        <x:v>m2</x:v>
      </x:c>
      <x:c r="D18"/>
      <x:c r="E18" t="n">
        <x:v>0</x:v>
      </x:c>
      <x:c r="F18" t="str">
        <x:f>IF(D18="","",MAX(0,D18-E18))</x:f>
      </x:c>
      <x:c r="G18"/>
      <x:c r="H18" t="str">
        <x:f>IFERROR(IF(G18&gt;0,E18/G18,""),"")</x:f>
      </x:c>
      <x:c r="I18"/>
      <x:c r="J18"/>
      <x:c r="K18" t="str">
        <x:f>IFERROR(IF(AND(H18&gt;0,I18&gt;0,J18&gt;0),ROUNDUP(F18/(H18*I18*J18),0),""),"")</x:f>
      </x:c>
      <x:c r="L18" t="str">
        <x:v>Not validated</x:v>
      </x:c>
    </x:row>
    <x:row r="19">
      <x:c r="A19" t="str">
        <x:v>ICW-ICG LD</x:v>
      </x:c>
      <x:c r="B19" t="str">
        <x:v>GI sheeting</x:v>
      </x:c>
      <x:c r="C19" t="str">
        <x:v>m2</x:v>
      </x:c>
      <x:c r="D19"/>
      <x:c r="E19" t="n">
        <x:v>0</x:v>
      </x:c>
      <x:c r="F19" t="str">
        <x:f>IF(D19="","",MAX(0,D19-E19))</x:f>
      </x:c>
      <x:c r="G19"/>
      <x:c r="H19" t="str">
        <x:f>IFERROR(IF(G19&gt;0,E19/G19,""),"")</x:f>
      </x:c>
      <x:c r="I19"/>
      <x:c r="J19"/>
      <x:c r="K19" t="str">
        <x:f>IFERROR(IF(AND(H19&gt;0,I19&gt;0,J19&gt;0),ROUNDUP(F19/(H19*I19*J19),0),""),"")</x:f>
      </x:c>
      <x:c r="L19" t="str">
        <x:v>Not validated</x:v>
      </x:c>
    </x:row>
    <x:row r="20">
      <x:c r="A20" t="str">
        <x:v>ICG-ICP UD</x:v>
      </x:c>
      <x:c r="B20" t="str">
        <x:v>Structural fabrication</x:v>
      </x:c>
      <x:c r="C20" t="str">
        <x:v>MT</x:v>
      </x:c>
      <x:c r="D20"/>
      <x:c r="E20" t="n">
        <x:v>0</x:v>
      </x:c>
      <x:c r="F20" t="str">
        <x:f>IF(D20="","",MAX(0,D20-E20))</x:f>
      </x:c>
      <x:c r="G20"/>
      <x:c r="H20" t="str">
        <x:f>IFERROR(IF(G20&gt;0,E20/G20,""),"")</x:f>
      </x:c>
      <x:c r="I20"/>
      <x:c r="J20"/>
      <x:c r="K20" t="str">
        <x:f>IFERROR(IF(AND(H20&gt;0,I20&gt;0,J20&gt;0),ROUNDUP(F20/(H20*I20*J20),0),""),"")</x:f>
      </x:c>
      <x:c r="L20" t="str">
        <x:v>Not validated</x:v>
      </x:c>
    </x:row>
    <x:row r="21">
      <x:c r="A21" t="str">
        <x:v>ICG-ICP UD</x:v>
      </x:c>
      <x:c r="B21" t="str">
        <x:v>Offshore installation</x:v>
      </x:c>
      <x:c r="C21" t="str">
        <x:v>MT</x:v>
      </x:c>
      <x:c r="D21"/>
      <x:c r="E21" t="n">
        <x:v>0</x:v>
      </x:c>
      <x:c r="F21" t="str">
        <x:f>IF(D21="","",MAX(0,D21-E21))</x:f>
      </x:c>
      <x:c r="G21"/>
      <x:c r="H21" t="str">
        <x:f>IFERROR(IF(G21&gt;0,E21/G21,""),"")</x:f>
      </x:c>
      <x:c r="I21"/>
      <x:c r="J21"/>
      <x:c r="K21" t="str">
        <x:f>IFERROR(IF(AND(H21&gt;0,I21&gt;0,J21&gt;0),ROUNDUP(F21/(H21*I21*J21),0),""),"")</x:f>
      </x:c>
      <x:c r="L21" t="str">
        <x:v>Not validated</x:v>
      </x:c>
    </x:row>
    <x:row r="22">
      <x:c r="A22" t="str">
        <x:v>ICG-ICP UD</x:v>
      </x:c>
      <x:c r="B22" t="str">
        <x:v>Welding</x:v>
      </x:c>
      <x:c r="C22" t="str">
        <x:v>m</x:v>
      </x:c>
      <x:c r="D22"/>
      <x:c r="E22" t="n">
        <x:v>0</x:v>
      </x:c>
      <x:c r="F22" t="str">
        <x:f>IF(D22="","",MAX(0,D22-E22))</x:f>
      </x:c>
      <x:c r="G22"/>
      <x:c r="H22" t="str">
        <x:f>IFERROR(IF(G22&gt;0,E22/G22,""),"")</x:f>
      </x:c>
      <x:c r="I22"/>
      <x:c r="J22"/>
      <x:c r="K22" t="str">
        <x:f>IFERROR(IF(AND(H22&gt;0,I22&gt;0,J22&gt;0),ROUNDUP(F22/(H22*I22*J22),0),""),"")</x:f>
      </x:c>
      <x:c r="L22" t="str">
        <x:v>Not validated</x:v>
      </x:c>
    </x:row>
    <x:row r="23">
      <x:c r="A23" t="str">
        <x:v>ICG-ICP UD</x:v>
      </x:c>
      <x:c r="B23" t="str">
        <x:v>NDT</x:v>
      </x:c>
      <x:c r="C23" t="str">
        <x:v>joints</x:v>
      </x:c>
      <x:c r="D23"/>
      <x:c r="E23" t="n">
        <x:v>0</x:v>
      </x:c>
      <x:c r="F23" t="str">
        <x:f>IF(D23="","",MAX(0,D23-E23))</x:f>
      </x:c>
      <x:c r="G23"/>
      <x:c r="H23" t="str">
        <x:f>IFERROR(IF(G23&gt;0,E23/G23,""),"")</x:f>
      </x:c>
      <x:c r="I23"/>
      <x:c r="J23"/>
      <x:c r="K23" t="str">
        <x:f>IFERROR(IF(AND(H23&gt;0,I23&gt;0,J23&gt;0),ROUNDUP(F23/(H23*I23*J23),0),""),"")</x:f>
      </x:c>
      <x:c r="L23" t="str">
        <x:v>Not validated</x:v>
      </x:c>
    </x:row>
    <x:row r="24">
      <x:c r="A24" t="str">
        <x:v>ICG-ICP UD</x:v>
      </x:c>
      <x:c r="B24" t="str">
        <x:v>Coating</x:v>
      </x:c>
      <x:c r="C24" t="str">
        <x:v>m2</x:v>
      </x:c>
      <x:c r="D24"/>
      <x:c r="E24" t="n">
        <x:v>0</x:v>
      </x:c>
      <x:c r="F24" t="str">
        <x:f>IF(D24="","",MAX(0,D24-E24))</x:f>
      </x:c>
      <x:c r="G24"/>
      <x:c r="H24" t="str">
        <x:f>IFERROR(IF(G24&gt;0,E24/G24,""),"")</x:f>
      </x:c>
      <x:c r="I24"/>
      <x:c r="J24"/>
      <x:c r="K24" t="str">
        <x:f>IFERROR(IF(AND(H24&gt;0,I24&gt;0,J24&gt;0),ROUNDUP(F24/(H24*I24*J24),0),""),"")</x:f>
      </x:c>
      <x:c r="L24" t="str">
        <x:v>Not validated</x:v>
      </x:c>
    </x:row>
    <x:row r="25">
      <x:c r="A25" t="str">
        <x:v>ICG-ICP UD</x:v>
      </x:c>
      <x:c r="B25" t="str">
        <x:v>Demolition</x:v>
      </x:c>
      <x:c r="C25" t="str">
        <x:v>MT</x:v>
      </x:c>
      <x:c r="D25"/>
      <x:c r="E25" t="n">
        <x:v>0</x:v>
      </x:c>
      <x:c r="F25" t="str">
        <x:f>IF(D25="","",MAX(0,D25-E25))</x:f>
      </x:c>
      <x:c r="G25"/>
      <x:c r="H25" t="str">
        <x:f>IFERROR(IF(G25&gt;0,E25/G25,""),"")</x:f>
      </x:c>
      <x:c r="I25"/>
      <x:c r="J25"/>
      <x:c r="K25" t="str">
        <x:f>IFERROR(IF(AND(H25&gt;0,I25&gt;0,J25&gt;0),ROUNDUP(F25/(H25*I25*J25),0),""),"")</x:f>
      </x:c>
      <x:c r="L25" t="str">
        <x:v>Not validated</x:v>
      </x:c>
    </x:row>
    <x:row r="26">
      <x:c r="A26" t="str">
        <x:v>ICG-ICP UD</x:v>
      </x:c>
      <x:c r="B26" t="str">
        <x:v>Handrails</x:v>
      </x:c>
      <x:c r="C26" t="str">
        <x:v>m</x:v>
      </x:c>
      <x:c r="D26"/>
      <x:c r="E26" t="n">
        <x:v>0</x:v>
      </x:c>
      <x:c r="F26" t="str">
        <x:f>IF(D26="","",MAX(0,D26-E26))</x:f>
      </x:c>
      <x:c r="G26"/>
      <x:c r="H26" t="str">
        <x:f>IFERROR(IF(G26&gt;0,E26/G26,""),"")</x:f>
      </x:c>
      <x:c r="I26"/>
      <x:c r="J26"/>
      <x:c r="K26" t="str">
        <x:f>IFERROR(IF(AND(H26&gt;0,I26&gt;0,J26&gt;0),ROUNDUP(F26/(H26*I26*J26),0),""),"")</x:f>
      </x:c>
      <x:c r="L26" t="str">
        <x:v>Not validated</x:v>
      </x:c>
    </x:row>
    <x:row r="27">
      <x:c r="A27" t="str">
        <x:v>ICG-ICP UD</x:v>
      </x:c>
      <x:c r="B27" t="str">
        <x:v>Grating</x:v>
      </x:c>
      <x:c r="C27" t="str">
        <x:v>m2</x:v>
      </x:c>
      <x:c r="D27"/>
      <x:c r="E27" t="n">
        <x:v>0</x:v>
      </x:c>
      <x:c r="F27" t="str">
        <x:f>IF(D27="","",MAX(0,D27-E27))</x:f>
      </x:c>
      <x:c r="G27"/>
      <x:c r="H27" t="str">
        <x:f>IFERROR(IF(G27&gt;0,E27/G27,""),"")</x:f>
      </x:c>
      <x:c r="I27"/>
      <x:c r="J27"/>
      <x:c r="K27" t="str">
        <x:f>IFERROR(IF(AND(H27&gt;0,I27&gt;0,J27&gt;0),ROUNDUP(F27/(H27*I27*J27),0),""),"")</x:f>
      </x:c>
      <x:c r="L27" t="str">
        <x:v>Not validated</x:v>
      </x:c>
    </x:row>
    <x:row r="28">
      <x:c r="A28" t="str">
        <x:v>ICG-ICP UD</x:v>
      </x:c>
      <x:c r="B28" t="str">
        <x:v>GI sheeting</x:v>
      </x:c>
      <x:c r="C28" t="str">
        <x:v>m2</x:v>
      </x:c>
      <x:c r="D28"/>
      <x:c r="E28" t="n">
        <x:v>0</x:v>
      </x:c>
      <x:c r="F28" t="str">
        <x:f>IF(D28="","",MAX(0,D28-E28))</x:f>
      </x:c>
      <x:c r="G28"/>
      <x:c r="H28" t="str">
        <x:f>IFERROR(IF(G28&gt;0,E28/G28,""),"")</x:f>
      </x:c>
      <x:c r="I28"/>
      <x:c r="J28"/>
      <x:c r="K28" t="str">
        <x:f>IFERROR(IF(AND(H28&gt;0,I28&gt;0,J28&gt;0),ROUNDUP(F28/(H28*I28*J28),0),""),"")</x:f>
      </x:c>
      <x:c r="L28" t="str">
        <x:v>Not validated</x:v>
      </x:c>
    </x:row>
    <x:row r="29">
      <x:c r="A29" t="str">
        <x:v>ICG-ICP LD</x:v>
      </x:c>
      <x:c r="B29" t="str">
        <x:v>Structural fabrication</x:v>
      </x:c>
      <x:c r="C29" t="str">
        <x:v>MT</x:v>
      </x:c>
      <x:c r="D29"/>
      <x:c r="E29" t="n">
        <x:v>0</x:v>
      </x:c>
      <x:c r="F29" t="str">
        <x:f>IF(D29="","",MAX(0,D29-E29))</x:f>
      </x:c>
      <x:c r="G29"/>
      <x:c r="H29" t="str">
        <x:f>IFERROR(IF(G29&gt;0,E29/G29,""),"")</x:f>
      </x:c>
      <x:c r="I29"/>
      <x:c r="J29"/>
      <x:c r="K29" t="str">
        <x:f>IFERROR(IF(AND(H29&gt;0,I29&gt;0,J29&gt;0),ROUNDUP(F29/(H29*I29*J29),0),""),"")</x:f>
      </x:c>
      <x:c r="L29" t="str">
        <x:v>Not validated</x:v>
      </x:c>
    </x:row>
    <x:row r="30">
      <x:c r="A30" t="str">
        <x:v>ICG-ICP LD</x:v>
      </x:c>
      <x:c r="B30" t="str">
        <x:v>Offshore installation</x:v>
      </x:c>
      <x:c r="C30" t="str">
        <x:v>MT</x:v>
      </x:c>
      <x:c r="D30"/>
      <x:c r="E30" t="n">
        <x:v>0</x:v>
      </x:c>
      <x:c r="F30" t="str">
        <x:f>IF(D30="","",MAX(0,D30-E30))</x:f>
      </x:c>
      <x:c r="G30"/>
      <x:c r="H30" t="str">
        <x:f>IFERROR(IF(G30&gt;0,E30/G30,""),"")</x:f>
      </x:c>
      <x:c r="I30"/>
      <x:c r="J30"/>
      <x:c r="K30" t="str">
        <x:f>IFERROR(IF(AND(H30&gt;0,I30&gt;0,J30&gt;0),ROUNDUP(F30/(H30*I30*J30),0),""),"")</x:f>
      </x:c>
      <x:c r="L30" t="str">
        <x:v>Not validated</x:v>
      </x:c>
    </x:row>
    <x:row r="31">
      <x:c r="A31" t="str">
        <x:v>ICG-ICP LD</x:v>
      </x:c>
      <x:c r="B31" t="str">
        <x:v>Welding</x:v>
      </x:c>
      <x:c r="C31" t="str">
        <x:v>m</x:v>
      </x:c>
      <x:c r="D31"/>
      <x:c r="E31" t="n">
        <x:v>0</x:v>
      </x:c>
      <x:c r="F31" t="str">
        <x:f>IF(D31="","",MAX(0,D31-E31))</x:f>
      </x:c>
      <x:c r="G31"/>
      <x:c r="H31" t="str">
        <x:f>IFERROR(IF(G31&gt;0,E31/G31,""),"")</x:f>
      </x:c>
      <x:c r="I31"/>
      <x:c r="J31"/>
      <x:c r="K31" t="str">
        <x:f>IFERROR(IF(AND(H31&gt;0,I31&gt;0,J31&gt;0),ROUNDUP(F31/(H31*I31*J31),0),""),"")</x:f>
      </x:c>
      <x:c r="L31" t="str">
        <x:v>Not validated</x:v>
      </x:c>
    </x:row>
    <x:row r="32">
      <x:c r="A32" t="str">
        <x:v>ICG-ICP LD</x:v>
      </x:c>
      <x:c r="B32" t="str">
        <x:v>NDT</x:v>
      </x:c>
      <x:c r="C32" t="str">
        <x:v>joints</x:v>
      </x:c>
      <x:c r="D32"/>
      <x:c r="E32" t="n">
        <x:v>0</x:v>
      </x:c>
      <x:c r="F32" t="str">
        <x:f>IF(D32="","",MAX(0,D32-E32))</x:f>
      </x:c>
      <x:c r="G32"/>
      <x:c r="H32" t="str">
        <x:f>IFERROR(IF(G32&gt;0,E32/G32,""),"")</x:f>
      </x:c>
      <x:c r="I32"/>
      <x:c r="J32"/>
      <x:c r="K32" t="str">
        <x:f>IFERROR(IF(AND(H32&gt;0,I32&gt;0,J32&gt;0),ROUNDUP(F32/(H32*I32*J32),0),""),"")</x:f>
      </x:c>
      <x:c r="L32" t="str">
        <x:v>Not validated</x:v>
      </x:c>
    </x:row>
    <x:row r="33">
      <x:c r="A33" t="str">
        <x:v>ICG-ICP LD</x:v>
      </x:c>
      <x:c r="B33" t="str">
        <x:v>Coating</x:v>
      </x:c>
      <x:c r="C33" t="str">
        <x:v>m2</x:v>
      </x:c>
      <x:c r="D33"/>
      <x:c r="E33" t="n">
        <x:v>0</x:v>
      </x:c>
      <x:c r="F33" t="str">
        <x:f>IF(D33="","",MAX(0,D33-E33))</x:f>
      </x:c>
      <x:c r="G33"/>
      <x:c r="H33" t="str">
        <x:f>IFERROR(IF(G33&gt;0,E33/G33,""),"")</x:f>
      </x:c>
      <x:c r="I33"/>
      <x:c r="J33"/>
      <x:c r="K33" t="str">
        <x:f>IFERROR(IF(AND(H33&gt;0,I33&gt;0,J33&gt;0),ROUNDUP(F33/(H33*I33*J33),0),""),"")</x:f>
      </x:c>
      <x:c r="L33" t="str">
        <x:v>Not validated</x:v>
      </x:c>
    </x:row>
    <x:row r="34">
      <x:c r="A34" t="str">
        <x:v>ICG-ICP LD</x:v>
      </x:c>
      <x:c r="B34" t="str">
        <x:v>Demolition</x:v>
      </x:c>
      <x:c r="C34" t="str">
        <x:v>MT</x:v>
      </x:c>
      <x:c r="D34"/>
      <x:c r="E34" t="n">
        <x:v>0</x:v>
      </x:c>
      <x:c r="F34" t="str">
        <x:f>IF(D34="","",MAX(0,D34-E34))</x:f>
      </x:c>
      <x:c r="G34"/>
      <x:c r="H34" t="str">
        <x:f>IFERROR(IF(G34&gt;0,E34/G34,""),"")</x:f>
      </x:c>
      <x:c r="I34"/>
      <x:c r="J34"/>
      <x:c r="K34" t="str">
        <x:f>IFERROR(IF(AND(H34&gt;0,I34&gt;0,J34&gt;0),ROUNDUP(F34/(H34*I34*J34),0),""),"")</x:f>
      </x:c>
      <x:c r="L34" t="str">
        <x:v>Not validated</x:v>
      </x:c>
    </x:row>
    <x:row r="35">
      <x:c r="A35" t="str">
        <x:v>ICG-ICP LD</x:v>
      </x:c>
      <x:c r="B35" t="str">
        <x:v>Handrails</x:v>
      </x:c>
      <x:c r="C35" t="str">
        <x:v>m</x:v>
      </x:c>
      <x:c r="D35"/>
      <x:c r="E35" t="n">
        <x:v>0</x:v>
      </x:c>
      <x:c r="F35" t="str">
        <x:f>IF(D35="","",MAX(0,D35-E35))</x:f>
      </x:c>
      <x:c r="G35"/>
      <x:c r="H35" t="str">
        <x:f>IFERROR(IF(G35&gt;0,E35/G35,""),"")</x:f>
      </x:c>
      <x:c r="I35"/>
      <x:c r="J35"/>
      <x:c r="K35" t="str">
        <x:f>IFERROR(IF(AND(H35&gt;0,I35&gt;0,J35&gt;0),ROUNDUP(F35/(H35*I35*J35),0),""),"")</x:f>
      </x:c>
      <x:c r="L35" t="str">
        <x:v>Not validated</x:v>
      </x:c>
    </x:row>
    <x:row r="36">
      <x:c r="A36" t="str">
        <x:v>ICG-ICP LD</x:v>
      </x:c>
      <x:c r="B36" t="str">
        <x:v>Grating</x:v>
      </x:c>
      <x:c r="C36" t="str">
        <x:v>m2</x:v>
      </x:c>
      <x:c r="D36"/>
      <x:c r="E36" t="n">
        <x:v>0</x:v>
      </x:c>
      <x:c r="F36" t="str">
        <x:f>IF(D36="","",MAX(0,D36-E36))</x:f>
      </x:c>
      <x:c r="G36"/>
      <x:c r="H36" t="str">
        <x:f>IFERROR(IF(G36&gt;0,E36/G36,""),"")</x:f>
      </x:c>
      <x:c r="I36"/>
      <x:c r="J36"/>
      <x:c r="K36" t="str">
        <x:f>IFERROR(IF(AND(H36&gt;0,I36&gt;0,J36&gt;0),ROUNDUP(F36/(H36*I36*J36),0),""),"")</x:f>
      </x:c>
      <x:c r="L36" t="str">
        <x:v>Not validated</x:v>
      </x:c>
    </x:row>
    <x:row r="37">
      <x:c r="A37" t="str">
        <x:v>ICG-ICP LD</x:v>
      </x:c>
      <x:c r="B37" t="str">
        <x:v>GI sheeting</x:v>
      </x:c>
      <x:c r="C37" t="str">
        <x:v>m2</x:v>
      </x:c>
      <x:c r="D37"/>
      <x:c r="E37" t="n">
        <x:v>0</x:v>
      </x:c>
      <x:c r="F37" t="str">
        <x:f>IF(D37="","",MAX(0,D37-E37))</x:f>
      </x:c>
      <x:c r="G37"/>
      <x:c r="H37" t="str">
        <x:f>IFERROR(IF(G37&gt;0,E37/G37,""),"")</x:f>
      </x:c>
      <x:c r="I37"/>
      <x:c r="J37"/>
      <x:c r="K37" t="str">
        <x:f>IFERROR(IF(AND(H37&gt;0,I37&gt;0,J37&gt;0),ROUNDUP(F37/(H37*I37*J37),0),""),"")</x:f>
      </x:c>
      <x:c r="L37" t="str">
        <x:v>Not validated</x:v>
      </x:c>
    </x:row>
    <x:row r="38">
      <x:c r="A38" t="str">
        <x:v>BHS-SLQ</x:v>
      </x:c>
      <x:c r="B38" t="str">
        <x:v>Structural fabrication</x:v>
      </x:c>
      <x:c r="C38" t="str">
        <x:v>MT</x:v>
      </x:c>
      <x:c r="D38"/>
      <x:c r="E38" t="n">
        <x:v>0</x:v>
      </x:c>
      <x:c r="F38" t="str">
        <x:f>IF(D38="","",MAX(0,D38-E38))</x:f>
      </x:c>
      <x:c r="G38"/>
      <x:c r="H38" t="str">
        <x:f>IFERROR(IF(G38&gt;0,E38/G38,""),"")</x:f>
      </x:c>
      <x:c r="I38"/>
      <x:c r="J38"/>
      <x:c r="K38" t="str">
        <x:f>IFERROR(IF(AND(H38&gt;0,I38&gt;0,J38&gt;0),ROUNDUP(F38/(H38*I38*J38),0),""),"")</x:f>
      </x:c>
      <x:c r="L38" t="str">
        <x:v>Not validated</x:v>
      </x:c>
    </x:row>
    <x:row r="39">
      <x:c r="A39" t="str">
        <x:v>BHS-SLQ</x:v>
      </x:c>
      <x:c r="B39" t="str">
        <x:v>Offshore installation</x:v>
      </x:c>
      <x:c r="C39" t="str">
        <x:v>MT</x:v>
      </x:c>
      <x:c r="D39"/>
      <x:c r="E39" t="n">
        <x:v>0</x:v>
      </x:c>
      <x:c r="F39" t="str">
        <x:f>IF(D39="","",MAX(0,D39-E39))</x:f>
      </x:c>
      <x:c r="G39"/>
      <x:c r="H39" t="str">
        <x:f>IFERROR(IF(G39&gt;0,E39/G39,""),"")</x:f>
      </x:c>
      <x:c r="I39"/>
      <x:c r="J39"/>
      <x:c r="K39" t="str">
        <x:f>IFERROR(IF(AND(H39&gt;0,I39&gt;0,J39&gt;0),ROUNDUP(F39/(H39*I39*J39),0),""),"")</x:f>
      </x:c>
      <x:c r="L39" t="str">
        <x:v>Not validated</x:v>
      </x:c>
    </x:row>
    <x:row r="40">
      <x:c r="A40" t="str">
        <x:v>BHS-SLQ</x:v>
      </x:c>
      <x:c r="B40" t="str">
        <x:v>Welding</x:v>
      </x:c>
      <x:c r="C40" t="str">
        <x:v>m</x:v>
      </x:c>
      <x:c r="D40"/>
      <x:c r="E40" t="n">
        <x:v>0</x:v>
      </x:c>
      <x:c r="F40" t="str">
        <x:f>IF(D40="","",MAX(0,D40-E40))</x:f>
      </x:c>
      <x:c r="G40"/>
      <x:c r="H40" t="str">
        <x:f>IFERROR(IF(G40&gt;0,E40/G40,""),"")</x:f>
      </x:c>
      <x:c r="I40"/>
      <x:c r="J40"/>
      <x:c r="K40" t="str">
        <x:f>IFERROR(IF(AND(H40&gt;0,I40&gt;0,J40&gt;0),ROUNDUP(F40/(H40*I40*J40),0),""),"")</x:f>
      </x:c>
      <x:c r="L40" t="str">
        <x:v>Not validated</x:v>
      </x:c>
    </x:row>
    <x:row r="41">
      <x:c r="A41" t="str">
        <x:v>BHS-SLQ</x:v>
      </x:c>
      <x:c r="B41" t="str">
        <x:v>NDT</x:v>
      </x:c>
      <x:c r="C41" t="str">
        <x:v>joints</x:v>
      </x:c>
      <x:c r="D41"/>
      <x:c r="E41" t="n">
        <x:v>0</x:v>
      </x:c>
      <x:c r="F41" t="str">
        <x:f>IF(D41="","",MAX(0,D41-E41))</x:f>
      </x:c>
      <x:c r="G41"/>
      <x:c r="H41" t="str">
        <x:f>IFERROR(IF(G41&gt;0,E41/G41,""),"")</x:f>
      </x:c>
      <x:c r="I41"/>
      <x:c r="J41"/>
      <x:c r="K41" t="str">
        <x:f>IFERROR(IF(AND(H41&gt;0,I41&gt;0,J41&gt;0),ROUNDUP(F41/(H41*I41*J41),0),""),"")</x:f>
      </x:c>
      <x:c r="L41" t="str">
        <x:v>Not validated</x:v>
      </x:c>
    </x:row>
    <x:row r="42">
      <x:c r="A42" t="str">
        <x:v>BHS-SLQ</x:v>
      </x:c>
      <x:c r="B42" t="str">
        <x:v>Coating</x:v>
      </x:c>
      <x:c r="C42" t="str">
        <x:v>m2</x:v>
      </x:c>
      <x:c r="D42"/>
      <x:c r="E42" t="n">
        <x:v>0</x:v>
      </x:c>
      <x:c r="F42" t="str">
        <x:f>IF(D42="","",MAX(0,D42-E42))</x:f>
      </x:c>
      <x:c r="G42"/>
      <x:c r="H42" t="str">
        <x:f>IFERROR(IF(G42&gt;0,E42/G42,""),"")</x:f>
      </x:c>
      <x:c r="I42"/>
      <x:c r="J42"/>
      <x:c r="K42" t="str">
        <x:f>IFERROR(IF(AND(H42&gt;0,I42&gt;0,J42&gt;0),ROUNDUP(F42/(H42*I42*J42),0),""),"")</x:f>
      </x:c>
      <x:c r="L42" t="str">
        <x:v>Not validated</x:v>
      </x:c>
    </x:row>
    <x:row r="43">
      <x:c r="A43" t="str">
        <x:v>BHS-SLQ</x:v>
      </x:c>
      <x:c r="B43" t="str">
        <x:v>Demolition</x:v>
      </x:c>
      <x:c r="C43" t="str">
        <x:v>MT</x:v>
      </x:c>
      <x:c r="D43"/>
      <x:c r="E43" t="n">
        <x:v>0</x:v>
      </x:c>
      <x:c r="F43" t="str">
        <x:f>IF(D43="","",MAX(0,D43-E43))</x:f>
      </x:c>
      <x:c r="G43"/>
      <x:c r="H43" t="str">
        <x:f>IFERROR(IF(G43&gt;0,E43/G43,""),"")</x:f>
      </x:c>
      <x:c r="I43"/>
      <x:c r="J43"/>
      <x:c r="K43" t="str">
        <x:f>IFERROR(IF(AND(H43&gt;0,I43&gt;0,J43&gt;0),ROUNDUP(F43/(H43*I43*J43),0),""),"")</x:f>
      </x:c>
      <x:c r="L43" t="str">
        <x:v>Not validated</x:v>
      </x:c>
    </x:row>
    <x:row r="44">
      <x:c r="A44" t="str">
        <x:v>BHS-SLQ</x:v>
      </x:c>
      <x:c r="B44" t="str">
        <x:v>Handrails</x:v>
      </x:c>
      <x:c r="C44" t="str">
        <x:v>m</x:v>
      </x:c>
      <x:c r="D44"/>
      <x:c r="E44" t="n">
        <x:v>0</x:v>
      </x:c>
      <x:c r="F44" t="str">
        <x:f>IF(D44="","",MAX(0,D44-E44))</x:f>
      </x:c>
      <x:c r="G44"/>
      <x:c r="H44" t="str">
        <x:f>IFERROR(IF(G44&gt;0,E44/G44,""),"")</x:f>
      </x:c>
      <x:c r="I44"/>
      <x:c r="J44"/>
      <x:c r="K44" t="str">
        <x:f>IFERROR(IF(AND(H44&gt;0,I44&gt;0,J44&gt;0),ROUNDUP(F44/(H44*I44*J44),0),""),"")</x:f>
      </x:c>
      <x:c r="L44" t="str">
        <x:v>Not validated</x:v>
      </x:c>
    </x:row>
    <x:row r="45">
      <x:c r="A45" t="str">
        <x:v>BHS-SLQ</x:v>
      </x:c>
      <x:c r="B45" t="str">
        <x:v>Grating</x:v>
      </x:c>
      <x:c r="C45" t="str">
        <x:v>m2</x:v>
      </x:c>
      <x:c r="D45"/>
      <x:c r="E45" t="n">
        <x:v>0</x:v>
      </x:c>
      <x:c r="F45" t="str">
        <x:f>IF(D45="","",MAX(0,D45-E45))</x:f>
      </x:c>
      <x:c r="G45"/>
      <x:c r="H45" t="str">
        <x:f>IFERROR(IF(G45&gt;0,E45/G45,""),"")</x:f>
      </x:c>
      <x:c r="I45"/>
      <x:c r="J45"/>
      <x:c r="K45" t="str">
        <x:f>IFERROR(IF(AND(H45&gt;0,I45&gt;0,J45&gt;0),ROUNDUP(F45/(H45*I45*J45),0),""),"")</x:f>
      </x:c>
      <x:c r="L45" t="str">
        <x:v>Not validated</x:v>
      </x:c>
    </x:row>
    <x:row r="46">
      <x:c r="A46" t="str">
        <x:v>BHS-SLQ</x:v>
      </x:c>
      <x:c r="B46" t="str">
        <x:v>GI sheeting</x:v>
      </x:c>
      <x:c r="C46" t="str">
        <x:v>m2</x:v>
      </x:c>
      <x:c r="D46"/>
      <x:c r="E46" t="n">
        <x:v>0</x:v>
      </x:c>
      <x:c r="F46" t="str">
        <x:f>IF(D46="","",MAX(0,D46-E46))</x:f>
      </x:c>
      <x:c r="G46"/>
      <x:c r="H46" t="str">
        <x:f>IFERROR(IF(G46&gt;0,E46/G46,""),"")</x:f>
      </x:c>
      <x:c r="I46"/>
      <x:c r="J46"/>
      <x:c r="K46" t="str">
        <x:f>IFERROR(IF(AND(H46&gt;0,I46&gt;0,J46&gt;0),ROUNDUP(F46/(H46*I46*J46),0),""),"")</x:f>
      </x:c>
      <x:c r="L46" t="str">
        <x:v>Not validated</x:v>
      </x:c>
    </x:row>
    <x:row r="47">
      <x:c r="A47" t="str">
        <x:v>SLQ-WIS</x:v>
      </x:c>
      <x:c r="B47" t="str">
        <x:v>Structural fabrication</x:v>
      </x:c>
      <x:c r="C47" t="str">
        <x:v>MT</x:v>
      </x:c>
      <x:c r="D47"/>
      <x:c r="E47" t="n">
        <x:v>0</x:v>
      </x:c>
      <x:c r="F47" t="str">
        <x:f>IF(D47="","",MAX(0,D47-E47))</x:f>
      </x:c>
      <x:c r="G47"/>
      <x:c r="H47" t="str">
        <x:f>IFERROR(IF(G47&gt;0,E47/G47,""),"")</x:f>
      </x:c>
      <x:c r="I47"/>
      <x:c r="J47"/>
      <x:c r="K47" t="str">
        <x:f>IFERROR(IF(AND(H47&gt;0,I47&gt;0,J47&gt;0),ROUNDUP(F47/(H47*I47*J47),0),""),"")</x:f>
      </x:c>
      <x:c r="L47" t="str">
        <x:v>Not validated</x:v>
      </x:c>
    </x:row>
    <x:row r="48">
      <x:c r="A48" t="str">
        <x:v>SLQ-WIS</x:v>
      </x:c>
      <x:c r="B48" t="str">
        <x:v>Offshore installation</x:v>
      </x:c>
      <x:c r="C48" t="str">
        <x:v>MT</x:v>
      </x:c>
      <x:c r="D48"/>
      <x:c r="E48" t="n">
        <x:v>0</x:v>
      </x:c>
      <x:c r="F48" t="str">
        <x:f>IF(D48="","",MAX(0,D48-E48))</x:f>
      </x:c>
      <x:c r="G48"/>
      <x:c r="H48" t="str">
        <x:f>IFERROR(IF(G48&gt;0,E48/G48,""),"")</x:f>
      </x:c>
      <x:c r="I48"/>
      <x:c r="J48"/>
      <x:c r="K48" t="str">
        <x:f>IFERROR(IF(AND(H48&gt;0,I48&gt;0,J48&gt;0),ROUNDUP(F48/(H48*I48*J48),0),""),"")</x:f>
      </x:c>
      <x:c r="L48" t="str">
        <x:v>Not validated</x:v>
      </x:c>
    </x:row>
    <x:row r="49">
      <x:c r="A49" t="str">
        <x:v>SLQ-WIS</x:v>
      </x:c>
      <x:c r="B49" t="str">
        <x:v>Welding</x:v>
      </x:c>
      <x:c r="C49" t="str">
        <x:v>m</x:v>
      </x:c>
      <x:c r="D49"/>
      <x:c r="E49" t="n">
        <x:v>0</x:v>
      </x:c>
      <x:c r="F49" t="str">
        <x:f>IF(D49="","",MAX(0,D49-E49))</x:f>
      </x:c>
      <x:c r="G49"/>
      <x:c r="H49" t="str">
        <x:f>IFERROR(IF(G49&gt;0,E49/G49,""),"")</x:f>
      </x:c>
      <x:c r="I49"/>
      <x:c r="J49"/>
      <x:c r="K49" t="str">
        <x:f>IFERROR(IF(AND(H49&gt;0,I49&gt;0,J49&gt;0),ROUNDUP(F49/(H49*I49*J49),0),""),"")</x:f>
      </x:c>
      <x:c r="L49" t="str">
        <x:v>Not validated</x:v>
      </x:c>
    </x:row>
    <x:row r="50">
      <x:c r="A50" t="str">
        <x:v>SLQ-WIS</x:v>
      </x:c>
      <x:c r="B50" t="str">
        <x:v>NDT</x:v>
      </x:c>
      <x:c r="C50" t="str">
        <x:v>joints</x:v>
      </x:c>
      <x:c r="D50"/>
      <x:c r="E50" t="n">
        <x:v>0</x:v>
      </x:c>
      <x:c r="F50" t="str">
        <x:f>IF(D50="","",MAX(0,D50-E50))</x:f>
      </x:c>
      <x:c r="G50"/>
      <x:c r="H50" t="str">
        <x:f>IFERROR(IF(G50&gt;0,E50/G50,""),"")</x:f>
      </x:c>
      <x:c r="I50"/>
      <x:c r="J50"/>
      <x:c r="K50" t="str">
        <x:f>IFERROR(IF(AND(H50&gt;0,I50&gt;0,J50&gt;0),ROUNDUP(F50/(H50*I50*J50),0),""),"")</x:f>
      </x:c>
      <x:c r="L50" t="str">
        <x:v>Not validated</x:v>
      </x:c>
    </x:row>
    <x:row r="51">
      <x:c r="A51" t="str">
        <x:v>SLQ-WIS</x:v>
      </x:c>
      <x:c r="B51" t="str">
        <x:v>Coating</x:v>
      </x:c>
      <x:c r="C51" t="str">
        <x:v>m2</x:v>
      </x:c>
      <x:c r="D51"/>
      <x:c r="E51" t="n">
        <x:v>0</x:v>
      </x:c>
      <x:c r="F51" t="str">
        <x:f>IF(D51="","",MAX(0,D51-E51))</x:f>
      </x:c>
      <x:c r="G51"/>
      <x:c r="H51" t="str">
        <x:f>IFERROR(IF(G51&gt;0,E51/G51,""),"")</x:f>
      </x:c>
      <x:c r="I51"/>
      <x:c r="J51"/>
      <x:c r="K51" t="str">
        <x:f>IFERROR(IF(AND(H51&gt;0,I51&gt;0,J51&gt;0),ROUNDUP(F51/(H51*I51*J51),0),""),"")</x:f>
      </x:c>
      <x:c r="L51" t="str">
        <x:v>Not validated</x:v>
      </x:c>
    </x:row>
    <x:row r="52">
      <x:c r="A52" t="str">
        <x:v>SLQ-WIS</x:v>
      </x:c>
      <x:c r="B52" t="str">
        <x:v>Demolition</x:v>
      </x:c>
      <x:c r="C52" t="str">
        <x:v>MT</x:v>
      </x:c>
      <x:c r="D52"/>
      <x:c r="E52" t="n">
        <x:v>0</x:v>
      </x:c>
      <x:c r="F52" t="str">
        <x:f>IF(D52="","",MAX(0,D52-E52))</x:f>
      </x:c>
      <x:c r="G52"/>
      <x:c r="H52" t="str">
        <x:f>IFERROR(IF(G52&gt;0,E52/G52,""),"")</x:f>
      </x:c>
      <x:c r="I52"/>
      <x:c r="J52"/>
      <x:c r="K52" t="str">
        <x:f>IFERROR(IF(AND(H52&gt;0,I52&gt;0,J52&gt;0),ROUNDUP(F52/(H52*I52*J52),0),""),"")</x:f>
      </x:c>
      <x:c r="L52" t="str">
        <x:v>Not validated</x:v>
      </x:c>
    </x:row>
    <x:row r="53">
      <x:c r="A53" t="str">
        <x:v>SLQ-WIS</x:v>
      </x:c>
      <x:c r="B53" t="str">
        <x:v>Handrails</x:v>
      </x:c>
      <x:c r="C53" t="str">
        <x:v>m</x:v>
      </x:c>
      <x:c r="D53"/>
      <x:c r="E53" t="n">
        <x:v>0</x:v>
      </x:c>
      <x:c r="F53" t="str">
        <x:f>IF(D53="","",MAX(0,D53-E53))</x:f>
      </x:c>
      <x:c r="G53"/>
      <x:c r="H53" t="str">
        <x:f>IFERROR(IF(G53&gt;0,E53/G53,""),"")</x:f>
      </x:c>
      <x:c r="I53"/>
      <x:c r="J53"/>
      <x:c r="K53" t="str">
        <x:f>IFERROR(IF(AND(H53&gt;0,I53&gt;0,J53&gt;0),ROUNDUP(F53/(H53*I53*J53),0),""),"")</x:f>
      </x:c>
      <x:c r="L53" t="str">
        <x:v>Not validated</x:v>
      </x:c>
    </x:row>
    <x:row r="54">
      <x:c r="A54" t="str">
        <x:v>SLQ-WIS</x:v>
      </x:c>
      <x:c r="B54" t="str">
        <x:v>Grating</x:v>
      </x:c>
      <x:c r="C54" t="str">
        <x:v>m2</x:v>
      </x:c>
      <x:c r="D54"/>
      <x:c r="E54" t="n">
        <x:v>0</x:v>
      </x:c>
      <x:c r="F54" t="str">
        <x:f>IF(D54="","",MAX(0,D54-E54))</x:f>
      </x:c>
      <x:c r="G54"/>
      <x:c r="H54" t="str">
        <x:f>IFERROR(IF(G54&gt;0,E54/G54,""),"")</x:f>
      </x:c>
      <x:c r="I54"/>
      <x:c r="J54"/>
      <x:c r="K54" t="str">
        <x:f>IFERROR(IF(AND(H54&gt;0,I54&gt;0,J54&gt;0),ROUNDUP(F54/(H54*I54*J54),0),""),"")</x:f>
      </x:c>
      <x:c r="L54" t="str">
        <x:v>Not validated</x:v>
      </x:c>
    </x:row>
    <x:row r="55">
      <x:c r="A55" t="str">
        <x:v>SLQ-WIS</x:v>
      </x:c>
      <x:c r="B55" t="str">
        <x:v>GI sheeting</x:v>
      </x:c>
      <x:c r="C55" t="str">
        <x:v>m2</x:v>
      </x:c>
      <x:c r="D55"/>
      <x:c r="E55" t="n">
        <x:v>0</x:v>
      </x:c>
      <x:c r="F55" t="str">
        <x:f>IF(D55="","",MAX(0,D55-E55))</x:f>
      </x:c>
      <x:c r="G55"/>
      <x:c r="H55" t="str">
        <x:f>IFERROR(IF(G55&gt;0,E55/G55,""),"")</x:f>
      </x:c>
      <x:c r="I55"/>
      <x:c r="J55"/>
      <x:c r="K55" t="str">
        <x:f>IFERROR(IF(AND(H55&gt;0,I55&gt;0,J55&gt;0),ROUNDUP(F55/(H55*I55*J55),0),""),"")</x:f>
      </x:c>
      <x:c r="L55" t="str">
        <x:v>Not validated</x:v>
      </x:c>
    </x:row>
    <x:row r="56">
      <x:c r="A56" t="str">
        <x:v>NQO-NQD</x:v>
      </x:c>
      <x:c r="B56" t="str">
        <x:v>Structural fabrication</x:v>
      </x:c>
      <x:c r="C56" t="str">
        <x:v>MT</x:v>
      </x:c>
      <x:c r="D56"/>
      <x:c r="E56" t="n">
        <x:v>0</x:v>
      </x:c>
      <x:c r="F56" t="str">
        <x:f>IF(D56="","",MAX(0,D56-E56))</x:f>
      </x:c>
      <x:c r="G56"/>
      <x:c r="H56" t="str">
        <x:f>IFERROR(IF(G56&gt;0,E56/G56,""),"")</x:f>
      </x:c>
      <x:c r="I56"/>
      <x:c r="J56"/>
      <x:c r="K56" t="str">
        <x:f>IFERROR(IF(AND(H56&gt;0,I56&gt;0,J56&gt;0),ROUNDUP(F56/(H56*I56*J56),0),""),"")</x:f>
      </x:c>
      <x:c r="L56" t="str">
        <x:v>Not validated</x:v>
      </x:c>
    </x:row>
    <x:row r="57">
      <x:c r="A57" t="str">
        <x:v>NQO-NQD</x:v>
      </x:c>
      <x:c r="B57" t="str">
        <x:v>Offshore installation</x:v>
      </x:c>
      <x:c r="C57" t="str">
        <x:v>MT</x:v>
      </x:c>
      <x:c r="D57"/>
      <x:c r="E57" t="n">
        <x:v>0</x:v>
      </x:c>
      <x:c r="F57" t="str">
        <x:f>IF(D57="","",MAX(0,D57-E57))</x:f>
      </x:c>
      <x:c r="G57"/>
      <x:c r="H57" t="str">
        <x:f>IFERROR(IF(G57&gt;0,E57/G57,""),"")</x:f>
      </x:c>
      <x:c r="I57"/>
      <x:c r="J57"/>
      <x:c r="K57" t="str">
        <x:f>IFERROR(IF(AND(H57&gt;0,I57&gt;0,J57&gt;0),ROUNDUP(F57/(H57*I57*J57),0),""),"")</x:f>
      </x:c>
      <x:c r="L57" t="str">
        <x:v>Not validated</x:v>
      </x:c>
    </x:row>
    <x:row r="58">
      <x:c r="A58" t="str">
        <x:v>NQO-NQD</x:v>
      </x:c>
      <x:c r="B58" t="str">
        <x:v>Welding</x:v>
      </x:c>
      <x:c r="C58" t="str">
        <x:v>m</x:v>
      </x:c>
      <x:c r="D58"/>
      <x:c r="E58" t="n">
        <x:v>0</x:v>
      </x:c>
      <x:c r="F58" t="str">
        <x:f>IF(D58="","",MAX(0,D58-E58))</x:f>
      </x:c>
      <x:c r="G58"/>
      <x:c r="H58" t="str">
        <x:f>IFERROR(IF(G58&gt;0,E58/G58,""),"")</x:f>
      </x:c>
      <x:c r="I58"/>
      <x:c r="J58"/>
      <x:c r="K58" t="str">
        <x:f>IFERROR(IF(AND(H58&gt;0,I58&gt;0,J58&gt;0),ROUNDUP(F58/(H58*I58*J58),0),""),"")</x:f>
      </x:c>
      <x:c r="L58" t="str">
        <x:v>Not validated</x:v>
      </x:c>
    </x:row>
    <x:row r="59">
      <x:c r="A59" t="str">
        <x:v>NQO-NQD</x:v>
      </x:c>
      <x:c r="B59" t="str">
        <x:v>NDT</x:v>
      </x:c>
      <x:c r="C59" t="str">
        <x:v>joints</x:v>
      </x:c>
      <x:c r="D59"/>
      <x:c r="E59" t="n">
        <x:v>0</x:v>
      </x:c>
      <x:c r="F59" t="str">
        <x:f>IF(D59="","",MAX(0,D59-E59))</x:f>
      </x:c>
      <x:c r="G59"/>
      <x:c r="H59" t="str">
        <x:f>IFERROR(IF(G59&gt;0,E59/G59,""),"")</x:f>
      </x:c>
      <x:c r="I59"/>
      <x:c r="J59"/>
      <x:c r="K59" t="str">
        <x:f>IFERROR(IF(AND(H59&gt;0,I59&gt;0,J59&gt;0),ROUNDUP(F59/(H59*I59*J59),0),""),"")</x:f>
      </x:c>
      <x:c r="L59" t="str">
        <x:v>Not validated</x:v>
      </x:c>
    </x:row>
    <x:row r="60">
      <x:c r="A60" t="str">
        <x:v>NQO-NQD</x:v>
      </x:c>
      <x:c r="B60" t="str">
        <x:v>Coating</x:v>
      </x:c>
      <x:c r="C60" t="str">
        <x:v>m2</x:v>
      </x:c>
      <x:c r="D60"/>
      <x:c r="E60" t="n">
        <x:v>0</x:v>
      </x:c>
      <x:c r="F60" t="str">
        <x:f>IF(D60="","",MAX(0,D60-E60))</x:f>
      </x:c>
      <x:c r="G60"/>
      <x:c r="H60" t="str">
        <x:f>IFERROR(IF(G60&gt;0,E60/G60,""),"")</x:f>
      </x:c>
      <x:c r="I60"/>
      <x:c r="J60"/>
      <x:c r="K60" t="str">
        <x:f>IFERROR(IF(AND(H60&gt;0,I60&gt;0,J60&gt;0),ROUNDUP(F60/(H60*I60*J60),0),""),"")</x:f>
      </x:c>
      <x:c r="L60" t="str">
        <x:v>Not validated</x:v>
      </x:c>
    </x:row>
    <x:row r="61">
      <x:c r="A61" t="str">
        <x:v>NQO-NQD</x:v>
      </x:c>
      <x:c r="B61" t="str">
        <x:v>Demolition</x:v>
      </x:c>
      <x:c r="C61" t="str">
        <x:v>MT</x:v>
      </x:c>
      <x:c r="D61"/>
      <x:c r="E61" t="n">
        <x:v>0</x:v>
      </x:c>
      <x:c r="F61" t="str">
        <x:f>IF(D61="","",MAX(0,D61-E61))</x:f>
      </x:c>
      <x:c r="G61"/>
      <x:c r="H61" t="str">
        <x:f>IFERROR(IF(G61&gt;0,E61/G61,""),"")</x:f>
      </x:c>
      <x:c r="I61"/>
      <x:c r="J61"/>
      <x:c r="K61" t="str">
        <x:f>IFERROR(IF(AND(H61&gt;0,I61&gt;0,J61&gt;0),ROUNDUP(F61/(H61*I61*J61),0),""),"")</x:f>
      </x:c>
      <x:c r="L61" t="str">
        <x:v>Not validated</x:v>
      </x:c>
    </x:row>
    <x:row r="62">
      <x:c r="A62" t="str">
        <x:v>NQO-NQD</x:v>
      </x:c>
      <x:c r="B62" t="str">
        <x:v>Handrails</x:v>
      </x:c>
      <x:c r="C62" t="str">
        <x:v>m</x:v>
      </x:c>
      <x:c r="D62"/>
      <x:c r="E62" t="n">
        <x:v>0</x:v>
      </x:c>
      <x:c r="F62" t="str">
        <x:f>IF(D62="","",MAX(0,D62-E62))</x:f>
      </x:c>
      <x:c r="G62"/>
      <x:c r="H62" t="str">
        <x:f>IFERROR(IF(G62&gt;0,E62/G62,""),"")</x:f>
      </x:c>
      <x:c r="I62"/>
      <x:c r="J62"/>
      <x:c r="K62" t="str">
        <x:f>IFERROR(IF(AND(H62&gt;0,I62&gt;0,J62&gt;0),ROUNDUP(F62/(H62*I62*J62),0),""),"")</x:f>
      </x:c>
      <x:c r="L62" t="str">
        <x:v>Not validated</x:v>
      </x:c>
    </x:row>
    <x:row r="63">
      <x:c r="A63" t="str">
        <x:v>NQO-NQD</x:v>
      </x:c>
      <x:c r="B63" t="str">
        <x:v>Grating</x:v>
      </x:c>
      <x:c r="C63" t="str">
        <x:v>m2</x:v>
      </x:c>
      <x:c r="D63"/>
      <x:c r="E63" t="n">
        <x:v>0</x:v>
      </x:c>
      <x:c r="F63" t="str">
        <x:f>IF(D63="","",MAX(0,D63-E63))</x:f>
      </x:c>
      <x:c r="G63"/>
      <x:c r="H63" t="str">
        <x:f>IFERROR(IF(G63&gt;0,E63/G63,""),"")</x:f>
      </x:c>
      <x:c r="I63"/>
      <x:c r="J63"/>
      <x:c r="K63" t="str">
        <x:f>IFERROR(IF(AND(H63&gt;0,I63&gt;0,J63&gt;0),ROUNDUP(F63/(H63*I63*J63),0),""),"")</x:f>
      </x:c>
      <x:c r="L63" t="str">
        <x:v>Not validated</x:v>
      </x:c>
    </x:row>
    <x:row r="64">
      <x:c r="A64" t="str">
        <x:v>NQO-NQD</x:v>
      </x:c>
      <x:c r="B64" t="str">
        <x:v>GI sheeting</x:v>
      </x:c>
      <x:c r="C64" t="str">
        <x:v>m2</x:v>
      </x:c>
      <x:c r="D64"/>
      <x:c r="E64" t="n">
        <x:v>0</x:v>
      </x:c>
      <x:c r="F64" t="str">
        <x:f>IF(D64="","",MAX(0,D64-E64))</x:f>
      </x:c>
      <x:c r="G64"/>
      <x:c r="H64" t="str">
        <x:f>IFERROR(IF(G64&gt;0,E64/G64,""),"")</x:f>
      </x:c>
      <x:c r="I64"/>
      <x:c r="J64"/>
      <x:c r="K64" t="str">
        <x:f>IFERROR(IF(AND(H64&gt;0,I64&gt;0,J64&gt;0),ROUNDUP(F64/(H64*I64*J64),0),""),"")</x:f>
      </x:c>
      <x:c r="L64" t="str">
        <x:v>Not validated</x:v>
      </x:c>
    </x:row>
    <x:row r="65">
      <x:c r="A65" t="str">
        <x:v>WIN-NC</x:v>
      </x:c>
      <x:c r="B65" t="str">
        <x:v>Structural fabrication</x:v>
      </x:c>
      <x:c r="C65" t="str">
        <x:v>MT</x:v>
      </x:c>
      <x:c r="D65"/>
      <x:c r="E65" t="n">
        <x:v>0</x:v>
      </x:c>
      <x:c r="F65" t="str">
        <x:f>IF(D65="","",MAX(0,D65-E65))</x:f>
      </x:c>
      <x:c r="G65"/>
      <x:c r="H65" t="str">
        <x:f>IFERROR(IF(G65&gt;0,E65/G65,""),"")</x:f>
      </x:c>
      <x:c r="I65"/>
      <x:c r="J65"/>
      <x:c r="K65" t="str">
        <x:f>IFERROR(IF(AND(H65&gt;0,I65&gt;0,J65&gt;0),ROUNDUP(F65/(H65*I65*J65),0),""),"")</x:f>
      </x:c>
      <x:c r="L65" t="str">
        <x:v>Not validated</x:v>
      </x:c>
    </x:row>
    <x:row r="66">
      <x:c r="A66" t="str">
        <x:v>WIN-NC</x:v>
      </x:c>
      <x:c r="B66" t="str">
        <x:v>Offshore installation</x:v>
      </x:c>
      <x:c r="C66" t="str">
        <x:v>MT</x:v>
      </x:c>
      <x:c r="D66"/>
      <x:c r="E66" t="n">
        <x:v>0</x:v>
      </x:c>
      <x:c r="F66" t="str">
        <x:f>IF(D66="","",MAX(0,D66-E66))</x:f>
      </x:c>
      <x:c r="G66"/>
      <x:c r="H66" t="str">
        <x:f>IFERROR(IF(G66&gt;0,E66/G66,""),"")</x:f>
      </x:c>
      <x:c r="I66"/>
      <x:c r="J66"/>
      <x:c r="K66" t="str">
        <x:f>IFERROR(IF(AND(H66&gt;0,I66&gt;0,J66&gt;0),ROUNDUP(F66/(H66*I66*J66),0),""),"")</x:f>
      </x:c>
      <x:c r="L66" t="str">
        <x:v>Not validated</x:v>
      </x:c>
    </x:row>
    <x:row r="67">
      <x:c r="A67" t="str">
        <x:v>WIN-NC</x:v>
      </x:c>
      <x:c r="B67" t="str">
        <x:v>Welding</x:v>
      </x:c>
      <x:c r="C67" t="str">
        <x:v>m</x:v>
      </x:c>
      <x:c r="D67"/>
      <x:c r="E67" t="n">
        <x:v>0</x:v>
      </x:c>
      <x:c r="F67" t="str">
        <x:f>IF(D67="","",MAX(0,D67-E67))</x:f>
      </x:c>
      <x:c r="G67"/>
      <x:c r="H67" t="str">
        <x:f>IFERROR(IF(G67&gt;0,E67/G67,""),"")</x:f>
      </x:c>
      <x:c r="I67"/>
      <x:c r="J67"/>
      <x:c r="K67" t="str">
        <x:f>IFERROR(IF(AND(H67&gt;0,I67&gt;0,J67&gt;0),ROUNDUP(F67/(H67*I67*J67),0),""),"")</x:f>
      </x:c>
      <x:c r="L67" t="str">
        <x:v>Not validated</x:v>
      </x:c>
    </x:row>
    <x:row r="68">
      <x:c r="A68" t="str">
        <x:v>WIN-NC</x:v>
      </x:c>
      <x:c r="B68" t="str">
        <x:v>NDT</x:v>
      </x:c>
      <x:c r="C68" t="str">
        <x:v>joints</x:v>
      </x:c>
      <x:c r="D68"/>
      <x:c r="E68" t="n">
        <x:v>0</x:v>
      </x:c>
      <x:c r="F68" t="str">
        <x:f>IF(D68="","",MAX(0,D68-E68))</x:f>
      </x:c>
      <x:c r="G68"/>
      <x:c r="H68" t="str">
        <x:f>IFERROR(IF(G68&gt;0,E68/G68,""),"")</x:f>
      </x:c>
      <x:c r="I68"/>
      <x:c r="J68"/>
      <x:c r="K68" t="str">
        <x:f>IFERROR(IF(AND(H68&gt;0,I68&gt;0,J68&gt;0),ROUNDUP(F68/(H68*I68*J68),0),""),"")</x:f>
      </x:c>
      <x:c r="L68" t="str">
        <x:v>Not validated</x:v>
      </x:c>
    </x:row>
    <x:row r="69">
      <x:c r="A69" t="str">
        <x:v>WIN-NC</x:v>
      </x:c>
      <x:c r="B69" t="str">
        <x:v>Coating</x:v>
      </x:c>
      <x:c r="C69" t="str">
        <x:v>m2</x:v>
      </x:c>
      <x:c r="D69"/>
      <x:c r="E69" t="n">
        <x:v>0</x:v>
      </x:c>
      <x:c r="F69" t="str">
        <x:f>IF(D69="","",MAX(0,D69-E69))</x:f>
      </x:c>
      <x:c r="G69"/>
      <x:c r="H69" t="str">
        <x:f>IFERROR(IF(G69&gt;0,E69/G69,""),"")</x:f>
      </x:c>
      <x:c r="I69"/>
      <x:c r="J69"/>
      <x:c r="K69" t="str">
        <x:f>IFERROR(IF(AND(H69&gt;0,I69&gt;0,J69&gt;0),ROUNDUP(F69/(H69*I69*J69),0),""),"")</x:f>
      </x:c>
      <x:c r="L69" t="str">
        <x:v>Not validated</x:v>
      </x:c>
    </x:row>
    <x:row r="70">
      <x:c r="A70" t="str">
        <x:v>WIN-NC</x:v>
      </x:c>
      <x:c r="B70" t="str">
        <x:v>Demolition</x:v>
      </x:c>
      <x:c r="C70" t="str">
        <x:v>MT</x:v>
      </x:c>
      <x:c r="D70"/>
      <x:c r="E70" t="n">
        <x:v>0</x:v>
      </x:c>
      <x:c r="F70" t="str">
        <x:f>IF(D70="","",MAX(0,D70-E70))</x:f>
      </x:c>
      <x:c r="G70"/>
      <x:c r="H70" t="str">
        <x:f>IFERROR(IF(G70&gt;0,E70/G70,""),"")</x:f>
      </x:c>
      <x:c r="I70"/>
      <x:c r="J70"/>
      <x:c r="K70" t="str">
        <x:f>IFERROR(IF(AND(H70&gt;0,I70&gt;0,J70&gt;0),ROUNDUP(F70/(H70*I70*J70),0),""),"")</x:f>
      </x:c>
      <x:c r="L70" t="str">
        <x:v>Not validated</x:v>
      </x:c>
    </x:row>
    <x:row r="71">
      <x:c r="A71" t="str">
        <x:v>WIN-NC</x:v>
      </x:c>
      <x:c r="B71" t="str">
        <x:v>Handrails</x:v>
      </x:c>
      <x:c r="C71" t="str">
        <x:v>m</x:v>
      </x:c>
      <x:c r="D71"/>
      <x:c r="E71" t="n">
        <x:v>0</x:v>
      </x:c>
      <x:c r="F71" t="str">
        <x:f>IF(D71="","",MAX(0,D71-E71))</x:f>
      </x:c>
      <x:c r="G71"/>
      <x:c r="H71" t="str">
        <x:f>IFERROR(IF(G71&gt;0,E71/G71,""),"")</x:f>
      </x:c>
      <x:c r="I71"/>
      <x:c r="J71"/>
      <x:c r="K71" t="str">
        <x:f>IFERROR(IF(AND(H71&gt;0,I71&gt;0,J71&gt;0),ROUNDUP(F71/(H71*I71*J71),0),""),"")</x:f>
      </x:c>
      <x:c r="L71" t="str">
        <x:v>Not validated</x:v>
      </x:c>
    </x:row>
    <x:row r="72">
      <x:c r="A72" t="str">
        <x:v>WIN-NC</x:v>
      </x:c>
      <x:c r="B72" t="str">
        <x:v>Grating</x:v>
      </x:c>
      <x:c r="C72" t="str">
        <x:v>m2</x:v>
      </x:c>
      <x:c r="D72"/>
      <x:c r="E72" t="n">
        <x:v>0</x:v>
      </x:c>
      <x:c r="F72" t="str">
        <x:f>IF(D72="","",MAX(0,D72-E72))</x:f>
      </x:c>
      <x:c r="G72"/>
      <x:c r="H72" t="str">
        <x:f>IFERROR(IF(G72&gt;0,E72/G72,""),"")</x:f>
      </x:c>
      <x:c r="I72"/>
      <x:c r="J72"/>
      <x:c r="K72" t="str">
        <x:f>IFERROR(IF(AND(H72&gt;0,I72&gt;0,J72&gt;0),ROUNDUP(F72/(H72*I72*J72),0),""),"")</x:f>
      </x:c>
      <x:c r="L72" t="str">
        <x:v>Not validated</x:v>
      </x:c>
    </x:row>
    <x:row r="73">
      <x:c r="A73" t="str">
        <x:v>WIN-NC</x:v>
      </x:c>
      <x:c r="B73" t="str">
        <x:v>GI sheeting</x:v>
      </x:c>
      <x:c r="C73" t="str">
        <x:v>m2</x:v>
      </x:c>
      <x:c r="D73"/>
      <x:c r="E73" t="n">
        <x:v>0</x:v>
      </x:c>
      <x:c r="F73" t="str">
        <x:f>IF(D73="","",MAX(0,D73-E73))</x:f>
      </x:c>
      <x:c r="G73"/>
      <x:c r="H73" t="str">
        <x:f>IFERROR(IF(G73&gt;0,E73/G73,""),"")</x:f>
      </x:c>
      <x:c r="I73"/>
      <x:c r="J73"/>
      <x:c r="K73" t="str">
        <x:f>IFERROR(IF(AND(H73&gt;0,I73&gt;0,J73&gt;0),ROUNDUP(F73/(H73*I73*J73),0),""),"")</x:f>
      </x:c>
      <x:c r="L73" t="str">
        <x:v>Not validated</x:v>
      </x:c>
    </x:row>
    <x:row r="74">
      <x:c r="A74" t="str">
        <x:v>SCA-SC1</x:v>
      </x:c>
      <x:c r="B74" t="str">
        <x:v>Structural fabrication</x:v>
      </x:c>
      <x:c r="C74" t="str">
        <x:v>MT</x:v>
      </x:c>
      <x:c r="D74"/>
      <x:c r="E74" t="n">
        <x:v>0</x:v>
      </x:c>
      <x:c r="F74" t="str">
        <x:f>IF(D74="","",MAX(0,D74-E74))</x:f>
      </x:c>
      <x:c r="G74"/>
      <x:c r="H74" t="str">
        <x:f>IFERROR(IF(G74&gt;0,E74/G74,""),"")</x:f>
      </x:c>
      <x:c r="I74"/>
      <x:c r="J74"/>
      <x:c r="K74" t="str">
        <x:f>IFERROR(IF(AND(H74&gt;0,I74&gt;0,J74&gt;0),ROUNDUP(F74/(H74*I74*J74),0),""),"")</x:f>
      </x:c>
      <x:c r="L74" t="str">
        <x:v>Not validated</x:v>
      </x:c>
    </x:row>
    <x:row r="75">
      <x:c r="A75" t="str">
        <x:v>SCA-SC1</x:v>
      </x:c>
      <x:c r="B75" t="str">
        <x:v>Offshore installation</x:v>
      </x:c>
      <x:c r="C75" t="str">
        <x:v>MT</x:v>
      </x:c>
      <x:c r="D75"/>
      <x:c r="E75" t="n">
        <x:v>0</x:v>
      </x:c>
      <x:c r="F75" t="str">
        <x:f>IF(D75="","",MAX(0,D75-E75))</x:f>
      </x:c>
      <x:c r="G75"/>
      <x:c r="H75" t="str">
        <x:f>IFERROR(IF(G75&gt;0,E75/G75,""),"")</x:f>
      </x:c>
      <x:c r="I75"/>
      <x:c r="J75"/>
      <x:c r="K75" t="str">
        <x:f>IFERROR(IF(AND(H75&gt;0,I75&gt;0,J75&gt;0),ROUNDUP(F75/(H75*I75*J75),0),""),"")</x:f>
      </x:c>
      <x:c r="L75" t="str">
        <x:v>Not validated</x:v>
      </x:c>
    </x:row>
    <x:row r="76">
      <x:c r="A76" t="str">
        <x:v>SCA-SC1</x:v>
      </x:c>
      <x:c r="B76" t="str">
        <x:v>Welding</x:v>
      </x:c>
      <x:c r="C76" t="str">
        <x:v>m</x:v>
      </x:c>
      <x:c r="D76"/>
      <x:c r="E76" t="n">
        <x:v>0</x:v>
      </x:c>
      <x:c r="F76" t="str">
        <x:f>IF(D76="","",MAX(0,D76-E76))</x:f>
      </x:c>
      <x:c r="G76"/>
      <x:c r="H76" t="str">
        <x:f>IFERROR(IF(G76&gt;0,E76/G76,""),"")</x:f>
      </x:c>
      <x:c r="I76"/>
      <x:c r="J76"/>
      <x:c r="K76" t="str">
        <x:f>IFERROR(IF(AND(H76&gt;0,I76&gt;0,J76&gt;0),ROUNDUP(F76/(H76*I76*J76),0),""),"")</x:f>
      </x:c>
      <x:c r="L76" t="str">
        <x:v>Not validated</x:v>
      </x:c>
    </x:row>
    <x:row r="77">
      <x:c r="A77" t="str">
        <x:v>SCA-SC1</x:v>
      </x:c>
      <x:c r="B77" t="str">
        <x:v>NDT</x:v>
      </x:c>
      <x:c r="C77" t="str">
        <x:v>joints</x:v>
      </x:c>
      <x:c r="D77"/>
      <x:c r="E77" t="n">
        <x:v>0</x:v>
      </x:c>
      <x:c r="F77" t="str">
        <x:f>IF(D77="","",MAX(0,D77-E77))</x:f>
      </x:c>
      <x:c r="G77"/>
      <x:c r="H77" t="str">
        <x:f>IFERROR(IF(G77&gt;0,E77/G77,""),"")</x:f>
      </x:c>
      <x:c r="I77"/>
      <x:c r="J77"/>
      <x:c r="K77" t="str">
        <x:f>IFERROR(IF(AND(H77&gt;0,I77&gt;0,J77&gt;0),ROUNDUP(F77/(H77*I77*J77),0),""),"")</x:f>
      </x:c>
      <x:c r="L77" t="str">
        <x:v>Not validated</x:v>
      </x:c>
    </x:row>
    <x:row r="78">
      <x:c r="A78" t="str">
        <x:v>SCA-SC1</x:v>
      </x:c>
      <x:c r="B78" t="str">
        <x:v>Coating</x:v>
      </x:c>
      <x:c r="C78" t="str">
        <x:v>m2</x:v>
      </x:c>
      <x:c r="D78"/>
      <x:c r="E78" t="n">
        <x:v>0</x:v>
      </x:c>
      <x:c r="F78" t="str">
        <x:f>IF(D78="","",MAX(0,D78-E78))</x:f>
      </x:c>
      <x:c r="G78"/>
      <x:c r="H78" t="str">
        <x:f>IFERROR(IF(G78&gt;0,E78/G78,""),"")</x:f>
      </x:c>
      <x:c r="I78"/>
      <x:c r="J78"/>
      <x:c r="K78" t="str">
        <x:f>IFERROR(IF(AND(H78&gt;0,I78&gt;0,J78&gt;0),ROUNDUP(F78/(H78*I78*J78),0),""),"")</x:f>
      </x:c>
      <x:c r="L78" t="str">
        <x:v>Not validated</x:v>
      </x:c>
    </x:row>
    <x:row r="79">
      <x:c r="A79" t="str">
        <x:v>SCA-SC1</x:v>
      </x:c>
      <x:c r="B79" t="str">
        <x:v>Demolition</x:v>
      </x:c>
      <x:c r="C79" t="str">
        <x:v>MT</x:v>
      </x:c>
      <x:c r="D79"/>
      <x:c r="E79" t="n">
        <x:v>0</x:v>
      </x:c>
      <x:c r="F79" t="str">
        <x:f>IF(D79="","",MAX(0,D79-E79))</x:f>
      </x:c>
      <x:c r="G79"/>
      <x:c r="H79" t="str">
        <x:f>IFERROR(IF(G79&gt;0,E79/G79,""),"")</x:f>
      </x:c>
      <x:c r="I79"/>
      <x:c r="J79"/>
      <x:c r="K79" t="str">
        <x:f>IFERROR(IF(AND(H79&gt;0,I79&gt;0,J79&gt;0),ROUNDUP(F79/(H79*I79*J79),0),""),"")</x:f>
      </x:c>
      <x:c r="L79" t="str">
        <x:v>Not validated</x:v>
      </x:c>
    </x:row>
    <x:row r="80">
      <x:c r="A80" t="str">
        <x:v>SCA-SC1</x:v>
      </x:c>
      <x:c r="B80" t="str">
        <x:v>Handrails</x:v>
      </x:c>
      <x:c r="C80" t="str">
        <x:v>m</x:v>
      </x:c>
      <x:c r="D80"/>
      <x:c r="E80" t="n">
        <x:v>0</x:v>
      </x:c>
      <x:c r="F80" t="str">
        <x:f>IF(D80="","",MAX(0,D80-E80))</x:f>
      </x:c>
      <x:c r="G80"/>
      <x:c r="H80" t="str">
        <x:f>IFERROR(IF(G80&gt;0,E80/G80,""),"")</x:f>
      </x:c>
      <x:c r="I80"/>
      <x:c r="J80"/>
      <x:c r="K80" t="str">
        <x:f>IFERROR(IF(AND(H80&gt;0,I80&gt;0,J80&gt;0),ROUNDUP(F80/(H80*I80*J80),0),""),"")</x:f>
      </x:c>
      <x:c r="L80" t="str">
        <x:v>Not validated</x:v>
      </x:c>
    </x:row>
    <x:row r="81">
      <x:c r="A81" t="str">
        <x:v>SCA-SC1</x:v>
      </x:c>
      <x:c r="B81" t="str">
        <x:v>Grating</x:v>
      </x:c>
      <x:c r="C81" t="str">
        <x:v>m2</x:v>
      </x:c>
      <x:c r="D81"/>
      <x:c r="E81" t="n">
        <x:v>0</x:v>
      </x:c>
      <x:c r="F81" t="str">
        <x:f>IF(D81="","",MAX(0,D81-E81))</x:f>
      </x:c>
      <x:c r="G81"/>
      <x:c r="H81" t="str">
        <x:f>IFERROR(IF(G81&gt;0,E81/G81,""),"")</x:f>
      </x:c>
      <x:c r="I81"/>
      <x:c r="J81"/>
      <x:c r="K81" t="str">
        <x:f>IFERROR(IF(AND(H81&gt;0,I81&gt;0,J81&gt;0),ROUNDUP(F81/(H81*I81*J81),0),""),"")</x:f>
      </x:c>
      <x:c r="L81" t="str">
        <x:v>Not validated</x:v>
      </x:c>
    </x:row>
    <x:row r="82">
      <x:c r="A82" t="str">
        <x:v>SCA-SC1</x:v>
      </x:c>
      <x:c r="B82" t="str">
        <x:v>GI sheeting</x:v>
      </x:c>
      <x:c r="C82" t="str">
        <x:v>m2</x:v>
      </x:c>
      <x:c r="D82"/>
      <x:c r="E82" t="n">
        <x:v>0</x:v>
      </x:c>
      <x:c r="F82" t="str">
        <x:f>IF(D82="","",MAX(0,D82-E82))</x:f>
      </x:c>
      <x:c r="G82"/>
      <x:c r="H82" t="str">
        <x:f>IFERROR(IF(G82&gt;0,E82/G82,""),"")</x:f>
      </x:c>
      <x:c r="I82"/>
      <x:c r="J82"/>
      <x:c r="K82" t="str">
        <x:f>IFERROR(IF(AND(H82&gt;0,I82&gt;0,J82&gt;0),ROUNDUP(F82/(H82*I82*J82),0),""),"")</x:f>
      </x:c>
      <x:c r="L82" t="str">
        <x:v>Not validated</x:v>
      </x:c>
    </x:row>
    <x:row r="83">
      <x:c r="A83" t="str">
        <x:v>SCA-SCF</x:v>
      </x:c>
      <x:c r="B83" t="str">
        <x:v>Structural fabrication</x:v>
      </x:c>
      <x:c r="C83" t="str">
        <x:v>MT</x:v>
      </x:c>
      <x:c r="D83"/>
      <x:c r="E83" t="n">
        <x:v>0</x:v>
      </x:c>
      <x:c r="F83" t="str">
        <x:f>IF(D83="","",MAX(0,D83-E83))</x:f>
      </x:c>
      <x:c r="G83"/>
      <x:c r="H83" t="str">
        <x:f>IFERROR(IF(G83&gt;0,E83/G83,""),"")</x:f>
      </x:c>
      <x:c r="I83"/>
      <x:c r="J83"/>
      <x:c r="K83" t="str">
        <x:f>IFERROR(IF(AND(H83&gt;0,I83&gt;0,J83&gt;0),ROUNDUP(F83/(H83*I83*J83),0),""),"")</x:f>
      </x:c>
      <x:c r="L83" t="str">
        <x:v>Not validated</x:v>
      </x:c>
    </x:row>
    <x:row r="84">
      <x:c r="A84" t="str">
        <x:v>SCA-SCF</x:v>
      </x:c>
      <x:c r="B84" t="str">
        <x:v>Offshore installation</x:v>
      </x:c>
      <x:c r="C84" t="str">
        <x:v>MT</x:v>
      </x:c>
      <x:c r="D84"/>
      <x:c r="E84" t="n">
        <x:v>0</x:v>
      </x:c>
      <x:c r="F84" t="str">
        <x:f>IF(D84="","",MAX(0,D84-E84))</x:f>
      </x:c>
      <x:c r="G84"/>
      <x:c r="H84" t="str">
        <x:f>IFERROR(IF(G84&gt;0,E84/G84,""),"")</x:f>
      </x:c>
      <x:c r="I84"/>
      <x:c r="J84"/>
      <x:c r="K84" t="str">
        <x:f>IFERROR(IF(AND(H84&gt;0,I84&gt;0,J84&gt;0),ROUNDUP(F84/(H84*I84*J84),0),""),"")</x:f>
      </x:c>
      <x:c r="L84" t="str">
        <x:v>Not validated</x:v>
      </x:c>
    </x:row>
    <x:row r="85">
      <x:c r="A85" t="str">
        <x:v>SCA-SCF</x:v>
      </x:c>
      <x:c r="B85" t="str">
        <x:v>Welding</x:v>
      </x:c>
      <x:c r="C85" t="str">
        <x:v>m</x:v>
      </x:c>
      <x:c r="D85"/>
      <x:c r="E85" t="n">
        <x:v>0</x:v>
      </x:c>
      <x:c r="F85" t="str">
        <x:f>IF(D85="","",MAX(0,D85-E85))</x:f>
      </x:c>
      <x:c r="G85"/>
      <x:c r="H85" t="str">
        <x:f>IFERROR(IF(G85&gt;0,E85/G85,""),"")</x:f>
      </x:c>
      <x:c r="I85"/>
      <x:c r="J85"/>
      <x:c r="K85" t="str">
        <x:f>IFERROR(IF(AND(H85&gt;0,I85&gt;0,J85&gt;0),ROUNDUP(F85/(H85*I85*J85),0),""),"")</x:f>
      </x:c>
      <x:c r="L85" t="str">
        <x:v>Not validated</x:v>
      </x:c>
    </x:row>
    <x:row r="86">
      <x:c r="A86" t="str">
        <x:v>SCA-SCF</x:v>
      </x:c>
      <x:c r="B86" t="str">
        <x:v>NDT</x:v>
      </x:c>
      <x:c r="C86" t="str">
        <x:v>joints</x:v>
      </x:c>
      <x:c r="D86"/>
      <x:c r="E86" t="n">
        <x:v>0</x:v>
      </x:c>
      <x:c r="F86" t="str">
        <x:f>IF(D86="","",MAX(0,D86-E86))</x:f>
      </x:c>
      <x:c r="G86"/>
      <x:c r="H86" t="str">
        <x:f>IFERROR(IF(G86&gt;0,E86/G86,""),"")</x:f>
      </x:c>
      <x:c r="I86"/>
      <x:c r="J86"/>
      <x:c r="K86" t="str">
        <x:f>IFERROR(IF(AND(H86&gt;0,I86&gt;0,J86&gt;0),ROUNDUP(F86/(H86*I86*J86),0),""),"")</x:f>
      </x:c>
      <x:c r="L86" t="str">
        <x:v>Not validated</x:v>
      </x:c>
    </x:row>
    <x:row r="87">
      <x:c r="A87" t="str">
        <x:v>SCA-SCF</x:v>
      </x:c>
      <x:c r="B87" t="str">
        <x:v>Coating</x:v>
      </x:c>
      <x:c r="C87" t="str">
        <x:v>m2</x:v>
      </x:c>
      <x:c r="D87"/>
      <x:c r="E87" t="n">
        <x:v>0</x:v>
      </x:c>
      <x:c r="F87" t="str">
        <x:f>IF(D87="","",MAX(0,D87-E87))</x:f>
      </x:c>
      <x:c r="G87"/>
      <x:c r="H87" t="str">
        <x:f>IFERROR(IF(G87&gt;0,E87/G87,""),"")</x:f>
      </x:c>
      <x:c r="I87"/>
      <x:c r="J87"/>
      <x:c r="K87" t="str">
        <x:f>IFERROR(IF(AND(H87&gt;0,I87&gt;0,J87&gt;0),ROUNDUP(F87/(H87*I87*J87),0),""),"")</x:f>
      </x:c>
      <x:c r="L87" t="str">
        <x:v>Not validated</x:v>
      </x:c>
    </x:row>
    <x:row r="88">
      <x:c r="A88" t="str">
        <x:v>SCA-SCF</x:v>
      </x:c>
      <x:c r="B88" t="str">
        <x:v>Demolition</x:v>
      </x:c>
      <x:c r="C88" t="str">
        <x:v>MT</x:v>
      </x:c>
      <x:c r="D88"/>
      <x:c r="E88" t="n">
        <x:v>0</x:v>
      </x:c>
      <x:c r="F88" t="str">
        <x:f>IF(D88="","",MAX(0,D88-E88))</x:f>
      </x:c>
      <x:c r="G88"/>
      <x:c r="H88" t="str">
        <x:f>IFERROR(IF(G88&gt;0,E88/G88,""),"")</x:f>
      </x:c>
      <x:c r="I88"/>
      <x:c r="J88"/>
      <x:c r="K88" t="str">
        <x:f>IFERROR(IF(AND(H88&gt;0,I88&gt;0,J88&gt;0),ROUNDUP(F88/(H88*I88*J88),0),""),"")</x:f>
      </x:c>
      <x:c r="L88" t="str">
        <x:v>Not validated</x:v>
      </x:c>
    </x:row>
    <x:row r="89">
      <x:c r="A89" t="str">
        <x:v>SCA-SCF</x:v>
      </x:c>
      <x:c r="B89" t="str">
        <x:v>Handrails</x:v>
      </x:c>
      <x:c r="C89" t="str">
        <x:v>m</x:v>
      </x:c>
      <x:c r="D89"/>
      <x:c r="E89" t="n">
        <x:v>0</x:v>
      </x:c>
      <x:c r="F89" t="str">
        <x:f>IF(D89="","",MAX(0,D89-E89))</x:f>
      </x:c>
      <x:c r="G89"/>
      <x:c r="H89" t="str">
        <x:f>IFERROR(IF(G89&gt;0,E89/G89,""),"")</x:f>
      </x:c>
      <x:c r="I89"/>
      <x:c r="J89"/>
      <x:c r="K89" t="str">
        <x:f>IFERROR(IF(AND(H89&gt;0,I89&gt;0,J89&gt;0),ROUNDUP(F89/(H89*I89*J89),0),""),"")</x:f>
      </x:c>
      <x:c r="L89" t="str">
        <x:v>Not validated</x:v>
      </x:c>
    </x:row>
    <x:row r="90">
      <x:c r="A90" t="str">
        <x:v>SCA-SCF</x:v>
      </x:c>
      <x:c r="B90" t="str">
        <x:v>Grating</x:v>
      </x:c>
      <x:c r="C90" t="str">
        <x:v>m2</x:v>
      </x:c>
      <x:c r="D90"/>
      <x:c r="E90" t="n">
        <x:v>0</x:v>
      </x:c>
      <x:c r="F90" t="str">
        <x:f>IF(D90="","",MAX(0,D90-E90))</x:f>
      </x:c>
      <x:c r="G90"/>
      <x:c r="H90" t="str">
        <x:f>IFERROR(IF(G90&gt;0,E90/G90,""),"")</x:f>
      </x:c>
      <x:c r="I90"/>
      <x:c r="J90"/>
      <x:c r="K90" t="str">
        <x:f>IFERROR(IF(AND(H90&gt;0,I90&gt;0,J90&gt;0),ROUNDUP(F90/(H90*I90*J90),0),""),"")</x:f>
      </x:c>
      <x:c r="L90" t="str">
        <x:v>Not validated</x:v>
      </x:c>
    </x:row>
    <x:row r="91">
      <x:c r="A91" t="str">
        <x:v>SCA-SCF</x:v>
      </x:c>
      <x:c r="B91" t="str">
        <x:v>GI sheeting</x:v>
      </x:c>
      <x:c r="C91" t="str">
        <x:v>m2</x:v>
      </x:c>
      <x:c r="D91"/>
      <x:c r="E91" t="n">
        <x:v>0</x:v>
      </x:c>
      <x:c r="F91" t="str">
        <x:f>IF(D91="","",MAX(0,D91-E91))</x:f>
      </x:c>
      <x:c r="G91"/>
      <x:c r="H91" t="str">
        <x:f>IFERROR(IF(G91&gt;0,E91/G91,""),"")</x:f>
      </x:c>
      <x:c r="I91"/>
      <x:c r="J91"/>
      <x:c r="K91" t="str">
        <x:f>IFERROR(IF(AND(H91&gt;0,I91&gt;0,J91&gt;0),ROUNDUP(F91/(H91*I91*J91),0),""),"")</x:f>
      </x:c>
      <x:c r="L91" t="str">
        <x:v>Not validated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4" t="str">
        <x:v>Date</x:v>
      </x:c>
      <x:c r="B1" s="4" t="str">
        <x:v>Bridge</x:v>
      </x:c>
      <x:c r="C1" s="4" t="str">
        <x:v>Workpack activity</x:v>
      </x:c>
      <x:c r="D1" s="4" t="str">
        <x:v>Crew ID</x:v>
      </x:c>
      <x:c r="E1" s="4" t="str">
        <x:v>Persons</x:v>
      </x:c>
      <x:c r="F1" s="4" t="str">
        <x:v>Shift hours</x:v>
      </x:c>
      <x:c r="G1" s="4" t="str">
        <x:v>Productive crew-day fraction</x:v>
      </x:c>
      <x:c r="H1" s="4" t="str">
        <x:v>Accepted qty</x:v>
      </x:c>
      <x:c r="I1" s="4" t="str">
        <x:v>Unit</x:v>
      </x:c>
      <x:c r="J1" s="4" t="str">
        <x:v>Vessel</x:v>
      </x:c>
      <x:c r="K1" s="4" t="str">
        <x:v>Delay category</x:v>
      </x:c>
      <x:c r="L1" s="4" t="str">
        <x:v>Lost hours</x:v>
      </x:c>
      <x:c r="M1" s="4" t="str">
        <x:v>Inspection ref</x:v>
      </x:c>
      <x:c r="N1" s="4" t="str">
        <x:v>Supervisor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4" t="str">
        <x:v>ID</x:v>
      </x:c>
      <x:c r="B1" s="4" t="str">
        <x:v>Bridge</x:v>
      </x:c>
      <x:c r="C1" s="4" t="str">
        <x:v>Workpack</x:v>
      </x:c>
      <x:c r="D1" s="4" t="str">
        <x:v>Constraint</x:v>
      </x:c>
      <x:c r="E1" s="4" t="str">
        <x:v>Category</x:v>
      </x:c>
      <x:c r="F1" s="4" t="str">
        <x:v>Owner</x:v>
      </x:c>
      <x:c r="G1" s="4" t="str">
        <x:v>Raised</x:v>
      </x:c>
      <x:c r="H1" s="4" t="str">
        <x:v>Need by</x:v>
      </x:c>
      <x:c r="I1" s="4" t="str">
        <x:v>Status</x:v>
      </x:c>
      <x:c r="J1" s="4" t="str">
        <x:v>Closure evidence</x:v>
      </x:c>
      <x:c r="K1" s="4" t="str">
        <x:v>Impact days</x:v>
      </x:c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>
      <x:c r="A4"/>
      <x:c r="B4"/>
      <x:c r="C4"/>
      <x:c r="D4"/>
      <x:c r="E4"/>
      <x:c r="F4"/>
      <x:c r="G4"/>
      <x:c r="H4"/>
      <x:c r="I4"/>
      <x:c r="J4"/>
      <x:c r="K4"/>
    </x:row>
    <x:row r="5">
      <x:c r="A5"/>
      <x:c r="B5"/>
      <x:c r="C5"/>
      <x:c r="D5"/>
      <x:c r="E5"/>
      <x:c r="F5"/>
      <x:c r="G5"/>
      <x:c r="H5"/>
      <x:c r="I5"/>
      <x:c r="J5"/>
      <x:c r="K5"/>
    </x:row>
    <x:row r="6">
      <x:c r="A6"/>
      <x:c r="B6"/>
      <x:c r="C6"/>
      <x:c r="D6"/>
      <x:c r="E6"/>
      <x:c r="F6"/>
      <x:c r="G6"/>
      <x:c r="H6"/>
      <x:c r="I6"/>
      <x:c r="J6"/>
      <x:c r="K6"/>
    </x:row>
    <x:row r="7">
      <x:c r="A7"/>
      <x:c r="B7"/>
      <x:c r="C7"/>
      <x:c r="D7"/>
      <x:c r="E7"/>
      <x:c r="F7"/>
      <x:c r="G7"/>
      <x:c r="H7"/>
      <x:c r="I7"/>
      <x:c r="J7"/>
      <x:c r="K7"/>
    </x:row>
    <x:row r="8">
      <x:c r="A8"/>
      <x:c r="B8"/>
      <x:c r="C8"/>
      <x:c r="D8"/>
      <x:c r="E8"/>
      <x:c r="F8"/>
      <x:c r="G8"/>
      <x:c r="H8"/>
      <x:c r="I8"/>
      <x:c r="J8"/>
      <x:c r="K8"/>
    </x:row>
    <x:row r="9">
      <x:c r="A9"/>
      <x:c r="B9"/>
      <x:c r="C9"/>
      <x:c r="D9"/>
      <x:c r="E9"/>
      <x:c r="F9"/>
      <x:c r="G9"/>
      <x:c r="H9"/>
      <x:c r="I9"/>
      <x:c r="J9"/>
      <x:c r="K9"/>
    </x:row>
    <x:row r="10">
      <x:c r="A10"/>
      <x:c r="B10"/>
      <x:c r="C10"/>
      <x:c r="D10"/>
      <x:c r="E10"/>
      <x:c r="F10"/>
      <x:c r="G10"/>
      <x:c r="H10"/>
      <x:c r="I10"/>
      <x:c r="J10"/>
      <x:c r="K10"/>
    </x:row>
    <x:row r="11">
      <x:c r="A11"/>
      <x:c r="B11"/>
      <x:c r="C11"/>
      <x:c r="D11"/>
      <x:c r="E11"/>
      <x:c r="F11"/>
      <x:c r="G11"/>
      <x:c r="H11"/>
      <x:c r="I11"/>
      <x:c r="J11"/>
      <x:c r="K11"/>
    </x:row>
    <x:row r="12">
      <x:c r="A12"/>
      <x:c r="B12"/>
      <x:c r="C12"/>
      <x:c r="D12"/>
      <x:c r="E12"/>
      <x:c r="F12"/>
      <x:c r="G12"/>
      <x:c r="H12"/>
      <x:c r="I12"/>
      <x:c r="J12"/>
      <x:c r="K12"/>
    </x:row>
    <x:row r="13">
      <x:c r="A13"/>
      <x:c r="B13"/>
      <x:c r="C13"/>
      <x:c r="D13"/>
      <x:c r="E13"/>
      <x:c r="F13"/>
      <x:c r="G13"/>
      <x:c r="H13"/>
      <x:c r="I13"/>
      <x:c r="J13"/>
      <x:c r="K13"/>
    </x:row>
    <x:row r="14">
      <x:c r="A14"/>
      <x:c r="B14"/>
      <x:c r="C14"/>
      <x:c r="D14"/>
      <x:c r="E14"/>
      <x:c r="F14"/>
      <x:c r="G14"/>
      <x:c r="H14"/>
      <x:c r="I14"/>
      <x:c r="J14"/>
      <x:c r="K14"/>
    </x:row>
    <x:row r="15">
      <x:c r="A15"/>
      <x:c r="B15"/>
      <x:c r="C15"/>
      <x:c r="D15"/>
      <x:c r="E15"/>
      <x:c r="F15"/>
      <x:c r="G15"/>
      <x:c r="H15"/>
      <x:c r="I15"/>
      <x:c r="J15"/>
      <x:c r="K15"/>
    </x:row>
    <x:row r="16">
      <x:c r="A16"/>
      <x:c r="B16"/>
      <x:c r="C16"/>
      <x:c r="D16"/>
      <x:c r="E16"/>
      <x:c r="F16"/>
      <x:c r="G16"/>
      <x:c r="H16"/>
      <x:c r="I16"/>
      <x:c r="J16"/>
      <x:c r="K16"/>
    </x:row>
    <x:row r="17">
      <x:c r="A17"/>
      <x:c r="B17"/>
      <x:c r="C17"/>
      <x:c r="D17"/>
      <x:c r="E17"/>
      <x:c r="F17"/>
      <x:c r="G17"/>
      <x:c r="H17"/>
      <x:c r="I17"/>
      <x:c r="J17"/>
      <x:c r="K17"/>
    </x:row>
    <x:row r="18">
      <x:c r="A18"/>
      <x:c r="B18"/>
      <x:c r="C18"/>
      <x:c r="D18"/>
      <x:c r="E18"/>
      <x:c r="F18"/>
      <x:c r="G18"/>
      <x:c r="H18"/>
      <x:c r="I18"/>
      <x:c r="J18"/>
      <x:c r="K18"/>
    </x:row>
    <x:row r="19">
      <x:c r="A19"/>
      <x:c r="B19"/>
      <x:c r="C19"/>
      <x:c r="D19"/>
      <x:c r="E19"/>
      <x:c r="F19"/>
      <x:c r="G19"/>
      <x:c r="H19"/>
      <x:c r="I19"/>
      <x:c r="J19"/>
      <x:c r="K19"/>
    </x:row>
    <x:row r="20">
      <x:c r="A20"/>
      <x:c r="B20"/>
      <x:c r="C20"/>
      <x:c r="D20"/>
      <x:c r="E20"/>
      <x:c r="F20"/>
      <x:c r="G20"/>
      <x:c r="H20"/>
      <x:c r="I20"/>
      <x:c r="J20"/>
      <x:c r="K20"/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/>
      <x:c r="B22"/>
      <x:c r="C22"/>
      <x:c r="D22"/>
      <x:c r="E22"/>
      <x:c r="F22"/>
      <x:c r="G22"/>
      <x:c r="H22"/>
      <x:c r="I22"/>
      <x:c r="J22"/>
      <x:c r="K22"/>
    </x:row>
    <x:row r="23">
      <x:c r="A23"/>
      <x:c r="B23"/>
      <x:c r="C23"/>
      <x:c r="D23"/>
      <x:c r="E23"/>
      <x:c r="F23"/>
      <x:c r="G23"/>
      <x:c r="H23"/>
      <x:c r="I23"/>
      <x:c r="J23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  <x:row r="26">
      <x:c r="A26"/>
      <x:c r="B26"/>
      <x:c r="C26"/>
      <x:c r="D26"/>
      <x:c r="E26"/>
      <x:c r="F26"/>
      <x:c r="G26"/>
      <x:c r="H26"/>
      <x:c r="I26"/>
      <x:c r="J26"/>
      <x:c r="K26"/>
    </x:row>
    <x:row r="27">
      <x:c r="A27"/>
      <x:c r="B27"/>
      <x:c r="C27"/>
      <x:c r="D27"/>
      <x:c r="E27"/>
      <x:c r="F27"/>
      <x:c r="G27"/>
      <x:c r="H27"/>
      <x:c r="I27"/>
      <x:c r="J27"/>
      <x:c r="K27"/>
    </x:row>
    <x:row r="28">
      <x:c r="A28"/>
      <x:c r="B28"/>
      <x:c r="C28"/>
      <x:c r="D28"/>
      <x:c r="E28"/>
      <x:c r="F28"/>
      <x:c r="G28"/>
      <x:c r="H28"/>
      <x:c r="I28"/>
      <x:c r="J28"/>
      <x:c r="K28"/>
    </x:row>
    <x:row r="29">
      <x:c r="A29"/>
      <x:c r="B29"/>
      <x:c r="C29"/>
      <x:c r="D29"/>
      <x:c r="E29"/>
      <x:c r="F29"/>
      <x:c r="G29"/>
      <x:c r="H29"/>
      <x:c r="I29"/>
      <x:c r="J29"/>
      <x:c r="K29"/>
    </x:row>
    <x:row r="30">
      <x:c r="A30"/>
      <x:c r="B30"/>
      <x:c r="C30"/>
      <x:c r="D30"/>
      <x:c r="E30"/>
      <x:c r="F30"/>
      <x:c r="G30"/>
      <x:c r="H30"/>
      <x:c r="I30"/>
      <x:c r="J30"/>
      <x:c r="K30"/>
    </x:row>
    <x:row r="31">
      <x:c r="A31"/>
      <x:c r="B31"/>
      <x:c r="C31"/>
      <x:c r="D31"/>
      <x:c r="E31"/>
      <x:c r="F31"/>
      <x:c r="G31"/>
      <x:c r="H31"/>
      <x:c r="I31"/>
      <x:c r="J31"/>
      <x:c r="K31"/>
    </x:row>
    <x:row r="32">
      <x:c r="A32"/>
      <x:c r="B32"/>
      <x:c r="C32"/>
      <x:c r="D32"/>
      <x:c r="E32"/>
      <x:c r="F32"/>
      <x:c r="G32"/>
      <x:c r="H32"/>
      <x:c r="I32"/>
      <x:c r="J32"/>
      <x:c r="K32"/>
    </x:row>
    <x:row r="33">
      <x:c r="A33"/>
      <x:c r="B33"/>
      <x:c r="C33"/>
      <x:c r="D33"/>
      <x:c r="E33"/>
      <x:c r="F33"/>
      <x:c r="G33"/>
      <x:c r="H33"/>
      <x:c r="I33"/>
      <x:c r="J33"/>
      <x:c r="K33"/>
    </x:row>
    <x:row r="34">
      <x:c r="A34"/>
      <x:c r="B34"/>
      <x:c r="C34"/>
      <x:c r="D34"/>
      <x:c r="E34"/>
      <x:c r="F34"/>
      <x:c r="G34"/>
      <x:c r="H34"/>
      <x:c r="I34"/>
      <x:c r="J34"/>
      <x:c r="K34"/>
    </x:row>
    <x:row r="35">
      <x:c r="A35"/>
      <x:c r="B35"/>
      <x:c r="C35"/>
      <x:c r="D35"/>
      <x:c r="E35"/>
      <x:c r="F35"/>
      <x:c r="G35"/>
      <x:c r="H35"/>
      <x:c r="I35"/>
      <x:c r="J35"/>
      <x:c r="K35"/>
    </x:row>
    <x:row r="36">
      <x:c r="A36"/>
      <x:c r="B36"/>
      <x:c r="C36"/>
      <x:c r="D36"/>
      <x:c r="E36"/>
      <x:c r="F36"/>
      <x:c r="G36"/>
      <x:c r="H36"/>
      <x:c r="I36"/>
      <x:c r="J36"/>
      <x:c r="K36"/>
    </x:row>
    <x:row r="37">
      <x:c r="A37"/>
      <x:c r="B37"/>
      <x:c r="C37"/>
      <x:c r="D37"/>
      <x:c r="E37"/>
      <x:c r="F37"/>
      <x:c r="G37"/>
      <x:c r="H37"/>
      <x:c r="I37"/>
      <x:c r="J37"/>
      <x:c r="K37"/>
    </x:row>
    <x:row r="38">
      <x:c r="A38"/>
      <x:c r="B38"/>
      <x:c r="C38"/>
      <x:c r="D38"/>
      <x:c r="E38"/>
      <x:c r="F38"/>
      <x:c r="G38"/>
      <x:c r="H38"/>
      <x:c r="I38"/>
      <x:c r="J38"/>
      <x:c r="K38"/>
    </x:row>
    <x:row r="39">
      <x:c r="A39"/>
      <x:c r="B39"/>
      <x:c r="C39"/>
      <x:c r="D39"/>
      <x:c r="E39"/>
      <x:c r="F39"/>
      <x:c r="G39"/>
      <x:c r="H39"/>
      <x:c r="I39"/>
      <x:c r="J39"/>
      <x:c r="K39"/>
    </x:row>
    <x:row r="40">
      <x:c r="A40"/>
      <x:c r="B40"/>
      <x:c r="C40"/>
      <x:c r="D40"/>
      <x:c r="E40"/>
      <x:c r="F40"/>
      <x:c r="G40"/>
      <x:c r="H40"/>
      <x:c r="I40"/>
      <x:c r="J40"/>
      <x:c r="K40"/>
    </x:row>
    <x:row r="41">
      <x:c r="A41"/>
      <x:c r="B41"/>
      <x:c r="C41"/>
      <x:c r="D41"/>
      <x:c r="E41"/>
      <x:c r="F41"/>
      <x:c r="G41"/>
      <x:c r="H41"/>
      <x:c r="I41"/>
      <x:c r="J41"/>
      <x:c r="K41"/>
    </x:row>
    <x:row r="42">
      <x:c r="A42"/>
      <x:c r="B42"/>
      <x:c r="C42"/>
      <x:c r="D42"/>
      <x:c r="E42"/>
      <x:c r="F42"/>
      <x:c r="G42"/>
      <x:c r="H42"/>
      <x:c r="I42"/>
      <x:c r="J42"/>
      <x:c r="K42"/>
    </x:row>
    <x:row r="43">
      <x:c r="A43"/>
      <x:c r="B43"/>
      <x:c r="C43"/>
      <x:c r="D43"/>
      <x:c r="E43"/>
      <x:c r="F43"/>
      <x:c r="G43"/>
      <x:c r="H43"/>
      <x:c r="I43"/>
      <x:c r="J43"/>
      <x:c r="K43"/>
    </x:row>
    <x:row r="44">
      <x:c r="A44"/>
      <x:c r="B44"/>
      <x:c r="C44"/>
      <x:c r="D44"/>
      <x:c r="E44"/>
      <x:c r="F44"/>
      <x:c r="G44"/>
      <x:c r="H44"/>
      <x:c r="I44"/>
      <x:c r="J44"/>
      <x:c r="K44"/>
    </x:row>
    <x:row r="45">
      <x:c r="A45"/>
      <x:c r="B45"/>
      <x:c r="C45"/>
      <x:c r="D45"/>
      <x:c r="E45"/>
      <x:c r="F45"/>
      <x:c r="G45"/>
      <x:c r="H45"/>
      <x:c r="I45"/>
      <x:c r="J45"/>
      <x:c r="K45"/>
    </x:row>
    <x:row r="46">
      <x:c r="A46"/>
      <x:c r="B46"/>
      <x:c r="C46"/>
      <x:c r="D46"/>
      <x:c r="E46"/>
      <x:c r="F46"/>
      <x:c r="G46"/>
      <x:c r="H46"/>
      <x:c r="I46"/>
      <x:c r="J46"/>
      <x:c r="K46"/>
    </x:row>
    <x:row r="47">
      <x:c r="A47"/>
      <x:c r="B47"/>
      <x:c r="C47"/>
      <x:c r="D47"/>
      <x:c r="E47"/>
      <x:c r="F47"/>
      <x:c r="G47"/>
      <x:c r="H47"/>
      <x:c r="I47"/>
      <x:c r="J47"/>
      <x:c r="K47"/>
    </x:row>
    <x:row r="48">
      <x:c r="A48"/>
      <x:c r="B48"/>
      <x:c r="C48"/>
      <x:c r="D48"/>
      <x:c r="E48"/>
      <x:c r="F48"/>
      <x:c r="G48"/>
      <x:c r="H48"/>
      <x:c r="I48"/>
      <x:c r="J48"/>
      <x:c r="K48"/>
    </x:row>
    <x:row r="49">
      <x:c r="A49"/>
      <x:c r="B49"/>
      <x:c r="C49"/>
      <x:c r="D49"/>
      <x:c r="E49"/>
      <x:c r="F49"/>
      <x:c r="G49"/>
      <x:c r="H49"/>
      <x:c r="I49"/>
      <x:c r="J49"/>
      <x:c r="K49"/>
    </x:row>
    <x:row r="50">
      <x:c r="A50"/>
      <x:c r="B50"/>
      <x:c r="C50"/>
      <x:c r="D50"/>
      <x:c r="E50"/>
      <x:c r="F50"/>
      <x:c r="G50"/>
      <x:c r="H50"/>
      <x:c r="I50"/>
      <x:c r="J50"/>
      <x:c r="K50"/>
    </x:row>
    <x:row r="51">
      <x:c r="A51"/>
      <x:c r="B51"/>
      <x:c r="C51"/>
      <x:c r="D51"/>
      <x:c r="E51"/>
      <x:c r="F51"/>
      <x:c r="G51"/>
      <x:c r="H51"/>
      <x:c r="I51"/>
      <x:c r="J51"/>
      <x:c r="K51"/>
    </x:row>
    <x:row r="52">
      <x:c r="A52"/>
      <x:c r="B52"/>
      <x:c r="C52"/>
      <x:c r="D52"/>
      <x:c r="E52"/>
      <x:c r="F52"/>
      <x:c r="G52"/>
      <x:c r="H52"/>
      <x:c r="I52"/>
      <x:c r="J52"/>
      <x:c r="K52"/>
    </x:row>
    <x:row r="53">
      <x:c r="A53"/>
      <x:c r="B53"/>
      <x:c r="C53"/>
      <x:c r="D53"/>
      <x:c r="E53"/>
      <x:c r="F53"/>
      <x:c r="G53"/>
      <x:c r="H53"/>
      <x:c r="I53"/>
      <x:c r="J53"/>
      <x:c r="K53"/>
    </x:row>
    <x:row r="54">
      <x:c r="A54"/>
      <x:c r="B54"/>
      <x:c r="C54"/>
      <x:c r="D54"/>
      <x:c r="E54"/>
      <x:c r="F54"/>
      <x:c r="G54"/>
      <x:c r="H54"/>
      <x:c r="I54"/>
      <x:c r="J54"/>
      <x:c r="K54"/>
    </x:row>
    <x:row r="55">
      <x:c r="A55"/>
      <x:c r="B55"/>
      <x:c r="C55"/>
      <x:c r="D55"/>
      <x:c r="E55"/>
      <x:c r="F55"/>
      <x:c r="G55"/>
      <x:c r="H55"/>
      <x:c r="I55"/>
      <x:c r="J55"/>
      <x:c r="K55"/>
    </x:row>
    <x:row r="56">
      <x:c r="A56"/>
      <x:c r="B56"/>
      <x:c r="C56"/>
      <x:c r="D56"/>
      <x:c r="E56"/>
      <x:c r="F56"/>
      <x:c r="G56"/>
      <x:c r="H56"/>
      <x:c r="I56"/>
      <x:c r="J56"/>
      <x:c r="K56"/>
    </x:row>
    <x:row r="57">
      <x:c r="A57"/>
      <x:c r="B57"/>
      <x:c r="C57"/>
      <x:c r="D57"/>
      <x:c r="E57"/>
      <x:c r="F57"/>
      <x:c r="G57"/>
      <x:c r="H57"/>
      <x:c r="I57"/>
      <x:c r="J57"/>
      <x:c r="K57"/>
    </x:row>
    <x:row r="58">
      <x:c r="A58"/>
      <x:c r="B58"/>
      <x:c r="C58"/>
      <x:c r="D58"/>
      <x:c r="E58"/>
      <x:c r="F58"/>
      <x:c r="G58"/>
      <x:c r="H58"/>
      <x:c r="I58"/>
      <x:c r="J58"/>
      <x:c r="K58"/>
    </x:row>
    <x:row r="59">
      <x:c r="A59"/>
      <x:c r="B59"/>
      <x:c r="C59"/>
      <x:c r="D59"/>
      <x:c r="E59"/>
      <x:c r="F59"/>
      <x:c r="G59"/>
      <x:c r="H59"/>
      <x:c r="I59"/>
      <x:c r="J59"/>
      <x:c r="K59"/>
    </x:row>
    <x:row r="60">
      <x:c r="A60"/>
      <x:c r="B60"/>
      <x:c r="C60"/>
      <x:c r="D60"/>
      <x:c r="E60"/>
      <x:c r="F60"/>
      <x:c r="G60"/>
      <x:c r="H60"/>
      <x:c r="I60"/>
      <x:c r="J60"/>
      <x:c r="K60"/>
    </x:row>
    <x:row r="61">
      <x:c r="A61"/>
      <x:c r="B61"/>
      <x:c r="C61"/>
      <x:c r="D61"/>
      <x:c r="E61"/>
      <x:c r="F61"/>
      <x:c r="G61"/>
      <x:c r="H61"/>
      <x:c r="I61"/>
      <x:c r="J61"/>
      <x:c r="K61"/>
    </x:row>
    <x:row r="62">
      <x:c r="A62"/>
      <x:c r="B62"/>
      <x:c r="C62"/>
      <x:c r="D62"/>
      <x:c r="E62"/>
      <x:c r="F62"/>
      <x:c r="G62"/>
      <x:c r="H62"/>
      <x:c r="I62"/>
      <x:c r="J62"/>
      <x:c r="K62"/>
    </x:row>
    <x:row r="63">
      <x:c r="A63"/>
      <x:c r="B63"/>
      <x:c r="C63"/>
      <x:c r="D63"/>
      <x:c r="E63"/>
      <x:c r="F63"/>
      <x:c r="G63"/>
      <x:c r="H63"/>
      <x:c r="I63"/>
      <x:c r="J63"/>
      <x:c r="K63"/>
    </x:row>
    <x:row r="64">
      <x:c r="A64"/>
      <x:c r="B64"/>
      <x:c r="C64"/>
      <x:c r="D64"/>
      <x:c r="E64"/>
      <x:c r="F64"/>
      <x:c r="G64"/>
      <x:c r="H64"/>
      <x:c r="I64"/>
      <x:c r="J64"/>
      <x:c r="K64"/>
    </x:row>
    <x:row r="65">
      <x:c r="A65"/>
      <x:c r="B65"/>
      <x:c r="C65"/>
      <x:c r="D65"/>
      <x:c r="E65"/>
      <x:c r="F65"/>
      <x:c r="G65"/>
      <x:c r="H65"/>
      <x:c r="I65"/>
      <x:c r="J65"/>
      <x:c r="K65"/>
    </x:row>
    <x:row r="66">
      <x:c r="A66"/>
      <x:c r="B66"/>
      <x:c r="C66"/>
      <x:c r="D66"/>
      <x:c r="E66"/>
      <x:c r="F66"/>
      <x:c r="G66"/>
      <x:c r="H66"/>
      <x:c r="I66"/>
      <x:c r="J66"/>
      <x:c r="K66"/>
    </x:row>
    <x:row r="67">
      <x:c r="A67"/>
      <x:c r="B67"/>
      <x:c r="C67"/>
      <x:c r="D67"/>
      <x:c r="E67"/>
      <x:c r="F67"/>
      <x:c r="G67"/>
      <x:c r="H67"/>
      <x:c r="I67"/>
      <x:c r="J67"/>
      <x:c r="K67"/>
    </x:row>
    <x:row r="68">
      <x:c r="A68"/>
      <x:c r="B68"/>
      <x:c r="C68"/>
      <x:c r="D68"/>
      <x:c r="E68"/>
      <x:c r="F68"/>
      <x:c r="G68"/>
      <x:c r="H68"/>
      <x:c r="I68"/>
      <x:c r="J68"/>
      <x:c r="K68"/>
    </x:row>
    <x:row r="69">
      <x:c r="A69"/>
      <x:c r="B69"/>
      <x:c r="C69"/>
      <x:c r="D69"/>
      <x:c r="E69"/>
      <x:c r="F69"/>
      <x:c r="G69"/>
      <x:c r="H69"/>
      <x:c r="I69"/>
      <x:c r="J69"/>
      <x:c r="K69"/>
    </x:row>
    <x:row r="70">
      <x:c r="A70"/>
      <x:c r="B70"/>
      <x:c r="C70"/>
      <x:c r="D70"/>
      <x:c r="E70"/>
      <x:c r="F70"/>
      <x:c r="G70"/>
      <x:c r="H70"/>
      <x:c r="I70"/>
      <x:c r="J70"/>
      <x:c r="K70"/>
    </x:row>
    <x:row r="71">
      <x:c r="A71"/>
      <x:c r="B71"/>
      <x:c r="C71"/>
      <x:c r="D71"/>
      <x:c r="E71"/>
      <x:c r="F71"/>
      <x:c r="G71"/>
      <x:c r="H71"/>
      <x:c r="I71"/>
      <x:c r="J71"/>
      <x:c r="K71"/>
    </x:row>
    <x:row r="72">
      <x:c r="A72"/>
      <x:c r="B72"/>
      <x:c r="C72"/>
      <x:c r="D72"/>
      <x:c r="E72"/>
      <x:c r="F72"/>
      <x:c r="G72"/>
      <x:c r="H72"/>
      <x:c r="I72"/>
      <x:c r="J72"/>
      <x:c r="K72"/>
    </x:row>
    <x:row r="73">
      <x:c r="A73"/>
      <x:c r="B73"/>
      <x:c r="C73"/>
      <x:c r="D73"/>
      <x:c r="E73"/>
      <x:c r="F73"/>
      <x:c r="G73"/>
      <x:c r="H73"/>
      <x:c r="I73"/>
      <x:c r="J73"/>
      <x:c r="K73"/>
    </x:row>
    <x:row r="74">
      <x:c r="A74"/>
      <x:c r="B74"/>
      <x:c r="C74"/>
      <x:c r="D74"/>
      <x:c r="E74"/>
      <x:c r="F74"/>
      <x:c r="G74"/>
      <x:c r="H74"/>
      <x:c r="I74"/>
      <x:c r="J74"/>
      <x:c r="K74"/>
    </x:row>
    <x:row r="75">
      <x:c r="A75"/>
      <x:c r="B75"/>
      <x:c r="C75"/>
      <x:c r="D75"/>
      <x:c r="E75"/>
      <x:c r="F75"/>
      <x:c r="G75"/>
      <x:c r="H75"/>
      <x:c r="I75"/>
      <x:c r="J75"/>
      <x:c r="K75"/>
    </x:row>
    <x:row r="76">
      <x:c r="A76"/>
      <x:c r="B76"/>
      <x:c r="C76"/>
      <x:c r="D76"/>
      <x:c r="E76"/>
      <x:c r="F76"/>
      <x:c r="G76"/>
      <x:c r="H76"/>
      <x:c r="I76"/>
      <x:c r="J76"/>
      <x:c r="K76"/>
    </x:row>
    <x:row r="77">
      <x:c r="A77"/>
      <x:c r="B77"/>
      <x:c r="C77"/>
      <x:c r="D77"/>
      <x:c r="E77"/>
      <x:c r="F77"/>
      <x:c r="G77"/>
      <x:c r="H77"/>
      <x:c r="I77"/>
      <x:c r="J77"/>
      <x:c r="K77"/>
    </x:row>
    <x:row r="78">
      <x:c r="A78"/>
      <x:c r="B78"/>
      <x:c r="C78"/>
      <x:c r="D78"/>
      <x:c r="E78"/>
      <x:c r="F78"/>
      <x:c r="G78"/>
      <x:c r="H78"/>
      <x:c r="I78"/>
      <x:c r="J78"/>
      <x:c r="K78"/>
    </x:row>
    <x:row r="79">
      <x:c r="A79"/>
      <x:c r="B79"/>
      <x:c r="C79"/>
      <x:c r="D79"/>
      <x:c r="E79"/>
      <x:c r="F79"/>
      <x:c r="G79"/>
      <x:c r="H79"/>
      <x:c r="I79"/>
      <x:c r="J79"/>
      <x:c r="K79"/>
    </x:row>
    <x:row r="80">
      <x:c r="A80"/>
      <x:c r="B80"/>
      <x:c r="C80"/>
      <x:c r="D80"/>
      <x:c r="E80"/>
      <x:c r="F80"/>
      <x:c r="G80"/>
      <x:c r="H80"/>
      <x:c r="I80"/>
      <x:c r="J80"/>
      <x:c r="K80"/>
    </x:row>
    <x:row r="81">
      <x:c r="A81"/>
      <x:c r="B81"/>
      <x:c r="C81"/>
      <x:c r="D81"/>
      <x:c r="E81"/>
      <x:c r="F81"/>
      <x:c r="G81"/>
      <x:c r="H81"/>
      <x:c r="I81"/>
      <x:c r="J81"/>
      <x:c r="K8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4" t="str">
        <x:v>Date</x:v>
      </x:c>
      <x:c r="B1" s="4" t="str">
        <x:v>Vessel</x:v>
      </x:c>
      <x:c r="C1" s="4" t="str">
        <x:v>Bridge</x:v>
      </x:c>
      <x:c r="D1" s="4" t="str">
        <x:v>Committed days</x:v>
      </x:c>
      <x:c r="E1" s="4" t="str">
        <x:v>Productive days</x:v>
      </x:c>
      <x:c r="F1" s="4" t="str">
        <x:v>Transit days</x:v>
      </x:c>
      <x:c r="G1" s="4" t="str">
        <x:v>Weather standby</x:v>
      </x:c>
      <x:c r="H1" s="4" t="str">
        <x:v>Permit standby</x:v>
      </x:c>
      <x:c r="I1" s="4" t="str">
        <x:v>Engineering standby</x:v>
      </x:c>
      <x:c r="J1" s="4" t="str">
        <x:v>Material standby</x:v>
      </x:c>
      <x:c r="K1" s="4" t="str">
        <x:v>Breakdown days</x:v>
      </x:c>
      <x:c r="L1" s="4" t="str">
        <x:v>Other days</x:v>
      </x:c>
      <x:c r="M1" s="4" t="str">
        <x:v>Utilisation %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 s="8" t="str">
        <x:f>IFERROR(E2/D2,"")</x:f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 s="8" t="str">
        <x:f>IFERROR(E3/D3,"")</x:f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 s="8" t="str">
        <x:f>IFERROR(E4/D4,"")</x:f>
      </x:c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 s="8" t="str">
        <x:f>IFERROR(E5/D5,"")</x:f>
      </x:c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 s="8" t="str">
        <x:f>IFERROR(E6/D6,"")</x:f>
      </x:c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 s="8" t="str">
        <x:f>IFERROR(E7/D7,"")</x:f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 s="8" t="str">
        <x:f>IFERROR(E8/D8,"")</x:f>
      </x:c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 s="8" t="str">
        <x:f>IFERROR(E9/D9,"")</x:f>
      </x:c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 s="8" t="str">
        <x:f>IFERROR(E10/D10,"")</x:f>
      </x:c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 s="8" t="str">
        <x:f>IFERROR(E11/D11,"")</x:f>
      </x:c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 s="8" t="str">
        <x:f>IFERROR(E12/D12,"")</x:f>
      </x:c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 s="8" t="str">
        <x:f>IFERROR(E13/D13,"")</x:f>
      </x:c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 s="8" t="str">
        <x:f>IFERROR(E14/D14,"")</x:f>
      </x:c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 s="8" t="str">
        <x:f>IFERROR(E15/D15,"")</x:f>
      </x:c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 s="8" t="str">
        <x:f>IFERROR(E16/D16,"")</x:f>
      </x:c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 s="8" t="str">
        <x:f>IFERROR(E17/D17,"")</x:f>
      </x:c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 s="8" t="str">
        <x:f>IFERROR(E18/D18,"")</x:f>
      </x:c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 s="8" t="str">
        <x:f>IFERROR(E19/D19,"")</x:f>
      </x:c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 s="8" t="str">
        <x:f>IFERROR(E20/D20,"")</x:f>
      </x:c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 s="8" t="str">
        <x:f>IFERROR(E21/D21,"")</x:f>
      </x:c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 s="8" t="str">
        <x:f>IFERROR(E22/D22,"")</x:f>
      </x:c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 s="8" t="str">
        <x:f>IFERROR(E23/D23,"")</x:f>
      </x:c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 s="8" t="str">
        <x:f>IFERROR(E24/D24,"")</x:f>
      </x:c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 s="8" t="str">
        <x:f>IFERROR(E25/D25,"")</x:f>
      </x:c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 s="8" t="str">
        <x:f>IFERROR(E26/D26,"")</x:f>
      </x:c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 s="8" t="str">
        <x:f>IFERROR(E27/D27,"")</x:f>
      </x:c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 s="8" t="str">
        <x:f>IFERROR(E28/D28,"")</x:f>
      </x:c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 s="8" t="str">
        <x:f>IFERROR(E29/D29,"")</x:f>
      </x:c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 s="8" t="str">
        <x:f>IFERROR(E30/D30,"")</x:f>
      </x:c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 s="8" t="str">
        <x:f>IFERROR(E31/D31,"")</x:f>
      </x:c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 s="8" t="str">
        <x:f>IFERROR(E32/D32,"")</x:f>
      </x:c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 s="8" t="str">
        <x:f>IFERROR(E33/D33,"")</x:f>
      </x:c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 s="8" t="str">
        <x:f>IFERROR(E34/D34,"")</x:f>
      </x:c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 s="8" t="str">
        <x:f>IFERROR(E35/D35,"")</x:f>
      </x:c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 s="8" t="str">
        <x:f>IFERROR(E36/D36,"")</x:f>
      </x:c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 s="8" t="str">
        <x:f>IFERROR(E37/D37,"")</x:f>
      </x:c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 s="8" t="str">
        <x:f>IFERROR(E38/D38,"")</x:f>
      </x:c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 s="8" t="str">
        <x:f>IFERROR(E39/D39,"")</x:f>
      </x:c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 s="8" t="str">
        <x:f>IFERROR(E40/D40,"")</x:f>
      </x:c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 s="8" t="str">
        <x:f>IFERROR(E41/D41,"")</x:f>
      </x:c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 s="8" t="str">
        <x:f>IFERROR(E42/D42,"")</x:f>
      </x:c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 s="8" t="str">
        <x:f>IFERROR(E43/D43,"")</x:f>
      </x:c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 s="8" t="str">
        <x:f>IFERROR(E44/D44,"")</x:f>
      </x:c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 s="8" t="str">
        <x:f>IFERROR(E45/D45,"")</x:f>
      </x:c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 s="8" t="str">
        <x:f>IFERROR(E46/D46,"")</x:f>
      </x:c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 s="8" t="str">
        <x:f>IFERROR(E47/D47,"")</x:f>
      </x:c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 s="8" t="str">
        <x:f>IFERROR(E48/D48,"")</x:f>
      </x:c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 s="8" t="str">
        <x:f>IFERROR(E49/D49,"")</x:f>
      </x:c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 s="8" t="str">
        <x:f>IFERROR(E50/D50,"")</x:f>
      </x:c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 s="8" t="str">
        <x:f>IFERROR(E51/D51,"")</x:f>
      </x:c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 s="8" t="str">
        <x:f>IFERROR(E52/D52,"")</x:f>
      </x:c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 s="8" t="str">
        <x:f>IFERROR(E53/D53,"")</x:f>
      </x:c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 s="8" t="str">
        <x:f>IFERROR(E54/D54,"")</x:f>
      </x:c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 s="8" t="str">
        <x:f>IFERROR(E55/D55,"")</x:f>
      </x:c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 s="8" t="str">
        <x:f>IFERROR(E56/D56,"")</x:f>
      </x:c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 s="8" t="str">
        <x:f>IFERROR(E57/D57,"")</x:f>
      </x:c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 s="8" t="str">
        <x:f>IFERROR(E58/D58,"")</x:f>
      </x:c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 s="8" t="str">
        <x:f>IFERROR(E59/D59,"")</x:f>
      </x:c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 s="8" t="str">
        <x:f>IFERROR(E60/D60,"")</x:f>
      </x:c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 s="8" t="str">
        <x:f>IFERROR(E61/D61,"")</x:f>
      </x:c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 s="8" t="str">
        <x:f>IFERROR(E62/D62,"")</x:f>
      </x:c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 s="8" t="str">
        <x:f>IFERROR(E63/D63,"")</x:f>
      </x:c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 s="8" t="str">
        <x:f>IFERROR(E64/D64,"")</x:f>
      </x:c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 s="8" t="str">
        <x:f>IFERROR(E65/D65,"")</x:f>
      </x:c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 s="8" t="str">
        <x:f>IFERROR(E66/D66,"")</x:f>
      </x:c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 s="8" t="str">
        <x:f>IFERROR(E67/D67,"")</x:f>
      </x:c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 s="8" t="str">
        <x:f>IFERROR(E68/D68,"")</x:f>
      </x:c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 s="8" t="str">
        <x:f>IFERROR(E69/D69,"")</x:f>
      </x:c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 s="8" t="str">
        <x:f>IFERROR(E70/D70,"")</x:f>
      </x:c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 s="8" t="str">
        <x:f>IFERROR(E71/D71,"")</x:f>
      </x:c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 s="8" t="str">
        <x:f>IFERROR(E72/D72,"")</x:f>
      </x:c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 s="8" t="str">
        <x:f>IFERROR(E73/D73,"")</x:f>
      </x:c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 s="8" t="str">
        <x:f>IFERROR(E74/D74,"")</x:f>
      </x:c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 s="8" t="str">
        <x:f>IFERROR(E75/D75,"")</x:f>
      </x:c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 s="8" t="str">
        <x:f>IFERROR(E76/D76,"")</x:f>
      </x:c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 s="8" t="str">
        <x:f>IFERROR(E77/D77,"")</x:f>
      </x:c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 s="8" t="str">
        <x:f>IFERROR(E78/D78,"")</x:f>
      </x:c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 s="8" t="str">
        <x:f>IFERROR(E79/D79,"")</x:f>
      </x:c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 s="8" t="str">
        <x:f>IFERROR(E80/D80,"")</x:f>
      </x:c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 s="8" t="str">
        <x:f>IFERROR(E81/D81,"")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4" t="str">
        <x:v>Date</x:v>
      </x:c>
      <x:c r="B1" s="4" t="str">
        <x:v>Bridge</x:v>
      </x:c>
      <x:c r="C1" s="4" t="str">
        <x:v>Workpack</x:v>
      </x:c>
      <x:c r="D1" s="4" t="str">
        <x:v>Planned qty</x:v>
      </x:c>
      <x:c r="E1" s="4" t="str">
        <x:v>Unit</x:v>
      </x:c>
      <x:c r="F1" s="4" t="str">
        <x:v>Assigned crew</x:v>
      </x:c>
      <x:c r="G1" s="4" t="str">
        <x:v>Vessel/equipment</x:v>
      </x:c>
      <x:c r="H1" s="4" t="str">
        <x:v>Engineering ready</x:v>
      </x:c>
      <x:c r="I1" s="4" t="str">
        <x:v>Materials ready</x:v>
      </x:c>
      <x:c r="J1" s="4" t="str">
        <x:v>Permit ready</x:v>
      </x:c>
      <x:c r="K1" s="4" t="str">
        <x:v>Inspection ready</x:v>
      </x:c>
      <x:c r="L1" s="4" t="str">
        <x:v>Released?</x:v>
      </x:c>
      <x:c r="M1" s="4" t="str">
        <x:v>Actual accepted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 t="str">
        <x:f>IF(C2="","",IF(AND(H2="Yes",I2="Yes",J2="Yes",K2="Yes"),"READY","BLOCKED"))</x:f>
      </x:c>
      <x:c r="M2"/>
    </x:row>
    <x:row r="3">
      <x:c r="A3"/>
      <x:c r="B3"/>
      <x:c r="C3"/>
      <x:c r="D3"/>
      <x:c r="E3"/>
      <x:c r="F3"/>
      <x:c r="G3"/>
      <x:c r="H3"/>
      <x:c r="I3"/>
      <x:c r="J3"/>
      <x:c r="K3"/>
      <x:c r="L3" t="str">
        <x:f>IF(C3="","",IF(AND(H3="Yes",I3="Yes",J3="Yes",K3="Yes"),"READY","BLOCKED"))</x:f>
      </x:c>
      <x:c r="M3"/>
    </x:row>
    <x:row r="4">
      <x:c r="A4"/>
      <x:c r="B4"/>
      <x:c r="C4"/>
      <x:c r="D4"/>
      <x:c r="E4"/>
      <x:c r="F4"/>
      <x:c r="G4"/>
      <x:c r="H4"/>
      <x:c r="I4"/>
      <x:c r="J4"/>
      <x:c r="K4"/>
      <x:c r="L4" t="str">
        <x:f>IF(C4="","",IF(AND(H4="Yes",I4="Yes",J4="Yes",K4="Yes"),"READY","BLOCKED"))</x:f>
      </x:c>
      <x:c r="M4"/>
    </x:row>
    <x:row r="5">
      <x:c r="A5"/>
      <x:c r="B5"/>
      <x:c r="C5"/>
      <x:c r="D5"/>
      <x:c r="E5"/>
      <x:c r="F5"/>
      <x:c r="G5"/>
      <x:c r="H5"/>
      <x:c r="I5"/>
      <x:c r="J5"/>
      <x:c r="K5"/>
      <x:c r="L5" t="str">
        <x:f>IF(C5="","",IF(AND(H5="Yes",I5="Yes",J5="Yes",K5="Yes"),"READY","BLOCKED"))</x:f>
      </x:c>
      <x:c r="M5"/>
    </x:row>
    <x:row r="6">
      <x:c r="A6"/>
      <x:c r="B6"/>
      <x:c r="C6"/>
      <x:c r="D6"/>
      <x:c r="E6"/>
      <x:c r="F6"/>
      <x:c r="G6"/>
      <x:c r="H6"/>
      <x:c r="I6"/>
      <x:c r="J6"/>
      <x:c r="K6"/>
      <x:c r="L6" t="str">
        <x:f>IF(C6="","",IF(AND(H6="Yes",I6="Yes",J6="Yes",K6="Yes"),"READY","BLOCKED"))</x:f>
      </x:c>
      <x:c r="M6"/>
    </x:row>
    <x:row r="7">
      <x:c r="A7"/>
      <x:c r="B7"/>
      <x:c r="C7"/>
      <x:c r="D7"/>
      <x:c r="E7"/>
      <x:c r="F7"/>
      <x:c r="G7"/>
      <x:c r="H7"/>
      <x:c r="I7"/>
      <x:c r="J7"/>
      <x:c r="K7"/>
      <x:c r="L7" t="str">
        <x:f>IF(C7="","",IF(AND(H7="Yes",I7="Yes",J7="Yes",K7="Yes"),"READY","BLOCKED"))</x:f>
      </x:c>
      <x:c r="M7"/>
    </x:row>
    <x:row r="8">
      <x:c r="A8"/>
      <x:c r="B8"/>
      <x:c r="C8"/>
      <x:c r="D8"/>
      <x:c r="E8"/>
      <x:c r="F8"/>
      <x:c r="G8"/>
      <x:c r="H8"/>
      <x:c r="I8"/>
      <x:c r="J8"/>
      <x:c r="K8"/>
      <x:c r="L8" t="str">
        <x:f>IF(C8="","",IF(AND(H8="Yes",I8="Yes",J8="Yes",K8="Yes"),"READY","BLOCKED"))</x:f>
      </x:c>
      <x:c r="M8"/>
    </x:row>
    <x:row r="9">
      <x:c r="A9"/>
      <x:c r="B9"/>
      <x:c r="C9"/>
      <x:c r="D9"/>
      <x:c r="E9"/>
      <x:c r="F9"/>
      <x:c r="G9"/>
      <x:c r="H9"/>
      <x:c r="I9"/>
      <x:c r="J9"/>
      <x:c r="K9"/>
      <x:c r="L9" t="str">
        <x:f>IF(C9="","",IF(AND(H9="Yes",I9="Yes",J9="Yes",K9="Yes"),"READY","BLOCKED"))</x:f>
      </x:c>
      <x:c r="M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 t="str">
        <x:f>IF(C10="","",IF(AND(H10="Yes",I10="Yes",J10="Yes",K10="Yes"),"READY","BLOCKED"))</x:f>
      </x:c>
      <x:c r="M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 t="str">
        <x:f>IF(C11="","",IF(AND(H11="Yes",I11="Yes",J11="Yes",K11="Yes"),"READY","BLOCKED"))</x:f>
      </x:c>
      <x:c r="M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 t="str">
        <x:f>IF(C12="","",IF(AND(H12="Yes",I12="Yes",J12="Yes",K12="Yes"),"READY","BLOCKED"))</x:f>
      </x:c>
      <x:c r="M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 t="str">
        <x:f>IF(C13="","",IF(AND(H13="Yes",I13="Yes",J13="Yes",K13="Yes"),"READY","BLOCKED"))</x:f>
      </x:c>
      <x:c r="M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 t="str">
        <x:f>IF(C14="","",IF(AND(H14="Yes",I14="Yes",J14="Yes",K14="Yes"),"READY","BLOCKED"))</x:f>
      </x:c>
      <x:c r="M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 t="str">
        <x:f>IF(C15="","",IF(AND(H15="Yes",I15="Yes",J15="Yes",K15="Yes"),"READY","BLOCKED"))</x:f>
      </x:c>
      <x:c r="M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 t="str">
        <x:f>IF(C16="","",IF(AND(H16="Yes",I16="Yes",J16="Yes",K16="Yes"),"READY","BLOCKED"))</x:f>
      </x:c>
      <x:c r="M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 t="str">
        <x:f>IF(C17="","",IF(AND(H17="Yes",I17="Yes",J17="Yes",K17="Yes"),"READY","BLOCKED"))</x:f>
      </x:c>
      <x:c r="M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 t="str">
        <x:f>IF(C18="","",IF(AND(H18="Yes",I18="Yes",J18="Yes",K18="Yes"),"READY","BLOCKED"))</x:f>
      </x:c>
      <x:c r="M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 t="str">
        <x:f>IF(C19="","",IF(AND(H19="Yes",I19="Yes",J19="Yes",K19="Yes"),"READY","BLOCKED"))</x:f>
      </x:c>
      <x:c r="M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 t="str">
        <x:f>IF(C20="","",IF(AND(H20="Yes",I20="Yes",J20="Yes",K20="Yes"),"READY","BLOCKED"))</x:f>
      </x:c>
      <x:c r="M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 t="str">
        <x:f>IF(C21="","",IF(AND(H21="Yes",I21="Yes",J21="Yes",K21="Yes"),"READY","BLOCKED"))</x:f>
      </x:c>
      <x:c r="M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 t="str">
        <x:f>IF(C22="","",IF(AND(H22="Yes",I22="Yes",J22="Yes",K22="Yes"),"READY","BLOCKED"))</x:f>
      </x:c>
      <x:c r="M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 t="str">
        <x:f>IF(C23="","",IF(AND(H23="Yes",I23="Yes",J23="Yes",K23="Yes"),"READY","BLOCKED"))</x:f>
      </x:c>
      <x:c r="M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 t="str">
        <x:f>IF(C24="","",IF(AND(H24="Yes",I24="Yes",J24="Yes",K24="Yes"),"READY","BLOCKED"))</x:f>
      </x:c>
      <x:c r="M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 t="str">
        <x:f>IF(C25="","",IF(AND(H25="Yes",I25="Yes",J25="Yes",K25="Yes"),"READY","BLOCKED"))</x:f>
      </x:c>
      <x:c r="M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 t="str">
        <x:f>IF(C26="","",IF(AND(H26="Yes",I26="Yes",J26="Yes",K26="Yes"),"READY","BLOCKED"))</x:f>
      </x:c>
      <x:c r="M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 t="str">
        <x:f>IF(C27="","",IF(AND(H27="Yes",I27="Yes",J27="Yes",K27="Yes"),"READY","BLOCKED"))</x:f>
      </x:c>
      <x:c r="M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 t="str">
        <x:f>IF(C28="","",IF(AND(H28="Yes",I28="Yes",J28="Yes",K28="Yes"),"READY","BLOCKED"))</x:f>
      </x:c>
      <x:c r="M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 t="str">
        <x:f>IF(C29="","",IF(AND(H29="Yes",I29="Yes",J29="Yes",K29="Yes"),"READY","BLOCKED"))</x:f>
      </x:c>
      <x:c r="M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 t="str">
        <x:f>IF(C30="","",IF(AND(H30="Yes",I30="Yes",J30="Yes",K30="Yes"),"READY","BLOCKED"))</x:f>
      </x:c>
      <x:c r="M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 t="str">
        <x:f>IF(C31="","",IF(AND(H31="Yes",I31="Yes",J31="Yes",K31="Yes"),"READY","BLOCKED"))</x:f>
      </x:c>
      <x:c r="M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 t="str">
        <x:f>IF(C32="","",IF(AND(H32="Yes",I32="Yes",J32="Yes",K32="Yes"),"READY","BLOCKED"))</x:f>
      </x:c>
      <x:c r="M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 t="str">
        <x:f>IF(C33="","",IF(AND(H33="Yes",I33="Yes",J33="Yes",K33="Yes"),"READY","BLOCKED"))</x:f>
      </x:c>
      <x:c r="M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 t="str">
        <x:f>IF(C34="","",IF(AND(H34="Yes",I34="Yes",J34="Yes",K34="Yes"),"READY","BLOCKED"))</x:f>
      </x:c>
      <x:c r="M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 t="str">
        <x:f>IF(C35="","",IF(AND(H35="Yes",I35="Yes",J35="Yes",K35="Yes"),"READY","BLOCKED"))</x:f>
      </x:c>
      <x:c r="M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 t="str">
        <x:f>IF(C36="","",IF(AND(H36="Yes",I36="Yes",J36="Yes",K36="Yes"),"READY","BLOCKED"))</x:f>
      </x:c>
      <x:c r="M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 t="str">
        <x:f>IF(C37="","",IF(AND(H37="Yes",I37="Yes",J37="Yes",K37="Yes"),"READY","BLOCKED"))</x:f>
      </x:c>
      <x:c r="M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 t="str">
        <x:f>IF(C38="","",IF(AND(H38="Yes",I38="Yes",J38="Yes",K38="Yes"),"READY","BLOCKED"))</x:f>
      </x:c>
      <x:c r="M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 t="str">
        <x:f>IF(C39="","",IF(AND(H39="Yes",I39="Yes",J39="Yes",K39="Yes"),"READY","BLOCKED"))</x:f>
      </x:c>
      <x:c r="M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 t="str">
        <x:f>IF(C40="","",IF(AND(H40="Yes",I40="Yes",J40="Yes",K40="Yes"),"READY","BLOCKED"))</x:f>
      </x:c>
      <x:c r="M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 t="str">
        <x:f>IF(C41="","",IF(AND(H41="Yes",I41="Yes",J41="Yes",K41="Yes"),"READY","BLOCKED"))</x:f>
      </x:c>
      <x:c r="M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 t="str">
        <x:f>IF(C42="","",IF(AND(H42="Yes",I42="Yes",J42="Yes",K42="Yes"),"READY","BLOCKED"))</x:f>
      </x:c>
      <x:c r="M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 t="str">
        <x:f>IF(C43="","",IF(AND(H43="Yes",I43="Yes",J43="Yes",K43="Yes"),"READY","BLOCKED"))</x:f>
      </x:c>
      <x:c r="M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 t="str">
        <x:f>IF(C44="","",IF(AND(H44="Yes",I44="Yes",J44="Yes",K44="Yes"),"READY","BLOCKED"))</x:f>
      </x:c>
      <x:c r="M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 t="str">
        <x:f>IF(C45="","",IF(AND(H45="Yes",I45="Yes",J45="Yes",K45="Yes"),"READY","BLOCKED"))</x:f>
      </x:c>
      <x:c r="M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 t="str">
        <x:f>IF(C46="","",IF(AND(H46="Yes",I46="Yes",J46="Yes",K46="Yes"),"READY","BLOCKED"))</x:f>
      </x:c>
      <x:c r="M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 t="str">
        <x:f>IF(C47="","",IF(AND(H47="Yes",I47="Yes",J47="Yes",K47="Yes"),"READY","BLOCKED"))</x:f>
      </x:c>
      <x:c r="M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 t="str">
        <x:f>IF(C48="","",IF(AND(H48="Yes",I48="Yes",J48="Yes",K48="Yes"),"READY","BLOCKED"))</x:f>
      </x:c>
      <x:c r="M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 t="str">
        <x:f>IF(C49="","",IF(AND(H49="Yes",I49="Yes",J49="Yes",K49="Yes"),"READY","BLOCKED"))</x:f>
      </x:c>
      <x:c r="M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 t="str">
        <x:f>IF(C50="","",IF(AND(H50="Yes",I50="Yes",J50="Yes",K50="Yes"),"READY","BLOCKED"))</x:f>
      </x:c>
      <x:c r="M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 t="str">
        <x:f>IF(C51="","",IF(AND(H51="Yes",I51="Yes",J51="Yes",K51="Yes"),"READY","BLOCKED"))</x:f>
      </x:c>
      <x:c r="M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 t="str">
        <x:f>IF(C52="","",IF(AND(H52="Yes",I52="Yes",J52="Yes",K52="Yes"),"READY","BLOCKED"))</x:f>
      </x:c>
      <x:c r="M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 t="str">
        <x:f>IF(C53="","",IF(AND(H53="Yes",I53="Yes",J53="Yes",K53="Yes"),"READY","BLOCKED"))</x:f>
      </x:c>
      <x:c r="M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 t="str">
        <x:f>IF(C54="","",IF(AND(H54="Yes",I54="Yes",J54="Yes",K54="Yes"),"READY","BLOCKED"))</x:f>
      </x:c>
      <x:c r="M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 t="str">
        <x:f>IF(C55="","",IF(AND(H55="Yes",I55="Yes",J55="Yes",K55="Yes"),"READY","BLOCKED"))</x:f>
      </x:c>
      <x:c r="M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 t="str">
        <x:f>IF(C56="","",IF(AND(H56="Yes",I56="Yes",J56="Yes",K56="Yes"),"READY","BLOCKED"))</x:f>
      </x:c>
      <x:c r="M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 t="str">
        <x:f>IF(C57="","",IF(AND(H57="Yes",I57="Yes",J57="Yes",K57="Yes"),"READY","BLOCKED"))</x:f>
      </x:c>
      <x:c r="M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 t="str">
        <x:f>IF(C58="","",IF(AND(H58="Yes",I58="Yes",J58="Yes",K58="Yes"),"READY","BLOCKED"))</x:f>
      </x:c>
      <x:c r="M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 t="str">
        <x:f>IF(C59="","",IF(AND(H59="Yes",I59="Yes",J59="Yes",K59="Yes"),"READY","BLOCKED"))</x:f>
      </x:c>
      <x:c r="M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 t="str">
        <x:f>IF(C60="","",IF(AND(H60="Yes",I60="Yes",J60="Yes",K60="Yes"),"READY","BLOCKED"))</x:f>
      </x:c>
      <x:c r="M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 t="str">
        <x:f>IF(C61="","",IF(AND(H61="Yes",I61="Yes",J61="Yes",K61="Yes"),"READY","BLOCKED"))</x:f>
      </x:c>
      <x:c r="M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 t="str">
        <x:f>IF(C62="","",IF(AND(H62="Yes",I62="Yes",J62="Yes",K62="Yes"),"READY","BLOCKED"))</x:f>
      </x:c>
      <x:c r="M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 t="str">
        <x:f>IF(C63="","",IF(AND(H63="Yes",I63="Yes",J63="Yes",K63="Yes"),"READY","BLOCKED"))</x:f>
      </x:c>
      <x:c r="M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 t="str">
        <x:f>IF(C64="","",IF(AND(H64="Yes",I64="Yes",J64="Yes",K64="Yes"),"READY","BLOCKED"))</x:f>
      </x:c>
      <x:c r="M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 t="str">
        <x:f>IF(C65="","",IF(AND(H65="Yes",I65="Yes",J65="Yes",K65="Yes"),"READY","BLOCKED"))</x:f>
      </x:c>
      <x:c r="M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 t="str">
        <x:f>IF(C66="","",IF(AND(H66="Yes",I66="Yes",J66="Yes",K66="Yes"),"READY","BLOCKED"))</x:f>
      </x:c>
      <x:c r="M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 t="str">
        <x:f>IF(C67="","",IF(AND(H67="Yes",I67="Yes",J67="Yes",K67="Yes"),"READY","BLOCKED"))</x:f>
      </x:c>
      <x:c r="M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 t="str">
        <x:f>IF(C68="","",IF(AND(H68="Yes",I68="Yes",J68="Yes",K68="Yes"),"READY","BLOCKED"))</x:f>
      </x:c>
      <x:c r="M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 t="str">
        <x:f>IF(C69="","",IF(AND(H69="Yes",I69="Yes",J69="Yes",K69="Yes"),"READY","BLOCKED"))</x:f>
      </x:c>
      <x:c r="M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 t="str">
        <x:f>IF(C70="","",IF(AND(H70="Yes",I70="Yes",J70="Yes",K70="Yes"),"READY","BLOCKED"))</x:f>
      </x:c>
      <x:c r="M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 t="str">
        <x:f>IF(C71="","",IF(AND(H71="Yes",I71="Yes",J71="Yes",K71="Yes"),"READY","BLOCKED"))</x:f>
      </x:c>
      <x:c r="M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 t="str">
        <x:f>IF(C72="","",IF(AND(H72="Yes",I72="Yes",J72="Yes",K72="Yes"),"READY","BLOCKED"))</x:f>
      </x:c>
      <x:c r="M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 t="str">
        <x:f>IF(C73="","",IF(AND(H73="Yes",I73="Yes",J73="Yes",K73="Yes"),"READY","BLOCKED"))</x:f>
      </x:c>
      <x:c r="M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 t="str">
        <x:f>IF(C74="","",IF(AND(H74="Yes",I74="Yes",J74="Yes",K74="Yes"),"READY","BLOCKED"))</x:f>
      </x:c>
      <x:c r="M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 t="str">
        <x:f>IF(C75="","",IF(AND(H75="Yes",I75="Yes",J75="Yes",K75="Yes"),"READY","BLOCKED"))</x:f>
      </x:c>
      <x:c r="M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 t="str">
        <x:f>IF(C76="","",IF(AND(H76="Yes",I76="Yes",J76="Yes",K76="Yes"),"READY","BLOCKED"))</x:f>
      </x:c>
      <x:c r="M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 t="str">
        <x:f>IF(C77="","",IF(AND(H77="Yes",I77="Yes",J77="Yes",K77="Yes"),"READY","BLOCKED"))</x:f>
      </x:c>
      <x:c r="M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 t="str">
        <x:f>IF(C78="","",IF(AND(H78="Yes",I78="Yes",J78="Yes",K78="Yes"),"READY","BLOCKED"))</x:f>
      </x:c>
      <x:c r="M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 t="str">
        <x:f>IF(C79="","",IF(AND(H79="Yes",I79="Yes",J79="Yes",K79="Yes"),"READY","BLOCKED"))</x:f>
      </x:c>
      <x:c r="M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 t="str">
        <x:f>IF(C80="","",IF(AND(H80="Yes",I80="Yes",J80="Yes",K80="Yes"),"READY","BLOCKED"))</x:f>
      </x:c>
      <x:c r="M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 t="str">
        <x:f>IF(C81="","",IF(AND(H81="Yes",I81="Yes",J81="Yes",K81="Yes"),"READY","BLOCKED"))</x:f>
      </x:c>
      <x:c r="M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 t="str">
        <x:f>IF(C82="","",IF(AND(H82="Yes",I82="Yes",J82="Yes",K82="Yes"),"READY","BLOCKED"))</x:f>
      </x:c>
      <x:c r="M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 t="str">
        <x:f>IF(C83="","",IF(AND(H83="Yes",I83="Yes",J83="Yes",K83="Yes"),"READY","BLOCKED"))</x:f>
      </x:c>
      <x:c r="M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 t="str">
        <x:f>IF(C84="","",IF(AND(H84="Yes",I84="Yes",J84="Yes",K84="Yes"),"READY","BLOCKED"))</x:f>
      </x:c>
      <x:c r="M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 t="str">
        <x:f>IF(C85="","",IF(AND(H85="Yes",I85="Yes",J85="Yes",K85="Yes"),"READY","BLOCKED"))</x:f>
      </x:c>
      <x:c r="M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 t="str">
        <x:f>IF(C86="","",IF(AND(H86="Yes",I86="Yes",J86="Yes",K86="Yes"),"READY","BLOCKED"))</x:f>
      </x:c>
      <x:c r="M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 t="str">
        <x:f>IF(C87="","",IF(AND(H87="Yes",I87="Yes",J87="Yes",K87="Yes"),"READY","BLOCKED"))</x:f>
      </x:c>
      <x:c r="M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 t="str">
        <x:f>IF(C88="","",IF(AND(H88="Yes",I88="Yes",J88="Yes",K88="Yes"),"READY","BLOCKED"))</x:f>
      </x:c>
      <x:c r="M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 t="str">
        <x:f>IF(C89="","",IF(AND(H89="Yes",I89="Yes",J89="Yes",K89="Yes"),"READY","BLOCKED"))</x:f>
      </x:c>
      <x:c r="M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 t="str">
        <x:f>IF(C90="","",IF(AND(H90="Yes",I90="Yes",J90="Yes",K90="Yes"),"READY","BLOCKED"))</x:f>
      </x:c>
      <x:c r="M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 t="str">
        <x:f>IF(C91="","",IF(AND(H91="Yes",I91="Yes",J91="Yes",K91="Yes"),"READY","BLOCKED"))</x:f>
      </x:c>
      <x:c r="M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 t="str">
        <x:f>IF(C92="","",IF(AND(H92="Yes",I92="Yes",J92="Yes",K92="Yes"),"READY","BLOCKED"))</x:f>
      </x:c>
      <x:c r="M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 t="str">
        <x:f>IF(C93="","",IF(AND(H93="Yes",I93="Yes",J93="Yes",K93="Yes"),"READY","BLOCKED"))</x:f>
      </x:c>
      <x:c r="M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 t="str">
        <x:f>IF(C94="","",IF(AND(H94="Yes",I94="Yes",J94="Yes",K94="Yes"),"READY","BLOCKED"))</x:f>
      </x:c>
      <x:c r="M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 t="str">
        <x:f>IF(C95="","",IF(AND(H95="Yes",I95="Yes",J95="Yes",K95="Yes"),"READY","BLOCKED"))</x:f>
      </x:c>
      <x:c r="M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 t="str">
        <x:f>IF(C96="","",IF(AND(H96="Yes",I96="Yes",J96="Yes",K96="Yes"),"READY","BLOCKED"))</x:f>
      </x:c>
      <x:c r="M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 t="str">
        <x:f>IF(C97="","",IF(AND(H97="Yes",I97="Yes",J97="Yes",K97="Yes"),"READY","BLOCKED"))</x:f>
      </x:c>
      <x:c r="M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 t="str">
        <x:f>IF(C98="","",IF(AND(H98="Yes",I98="Yes",J98="Yes",K98="Yes"),"READY","BLOCKED"))</x:f>
      </x:c>
      <x:c r="M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 t="str">
        <x:f>IF(C99="","",IF(AND(H99="Yes",I99="Yes",J99="Yes",K99="Yes"),"READY","BLOCKED"))</x:f>
      </x:c>
      <x:c r="M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 t="str">
        <x:f>IF(C100="","",IF(AND(H100="Yes",I100="Yes",J100="Yes",K100="Yes"),"READY","BLOCKED"))</x:f>
      </x:c>
      <x:c r="M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 t="str">
        <x:f>IF(C101="","",IF(AND(H101="Yes",I101="Yes",J101="Yes",K101="Yes"),"READY","BLOCKED"))</x:f>
      </x:c>
      <x:c r="M10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4" t="str">
        <x:v>Metric</x:v>
      </x:c>
      <x:c r="B1" s="4" t="str">
        <x:v>Proposed trigger</x:v>
      </x:c>
      <x:c r="C1" s="4" t="str">
        <x:v>Escalation owner</x:v>
      </x:c>
      <x:c r="D1" s="4" t="str">
        <x:v>Required response</x:v>
      </x:c>
    </x:row>
    <x:row r="2">
      <x:c r="A2" t="str">
        <x:v>Crew productivity</x:v>
      </x:c>
      <x:c r="B2" t="str">
        <x:v>&lt;80% of validated plan for two weeks</x:v>
      </x:c>
      <x:c r="C2" t="str">
        <x:v>Construction Manager</x:v>
      </x:c>
      <x:c r="D2" t="str">
        <x:v>Analyse access, tools, methods and crew allocation</x:v>
      </x:c>
    </x:row>
    <x:row r="3">
      <x:c r="A3" t="str">
        <x:v>Accepted fabrication</x:v>
      </x:c>
      <x:c r="B3" t="str">
        <x:v>&lt;90% of validated plan for two weeks</x:v>
      </x:c>
      <x:c r="C3" t="str">
        <x:v>Fabrication Manager</x:v>
      </x:c>
      <x:c r="D3" t="str">
        <x:v>Remove bottlenecks; evaluate shifts</x:v>
      </x:c>
    </x:row>
    <x:row r="4">
      <x:c r="A4" t="str">
        <x:v>Critical engineering release</x:v>
      </x:c>
      <x:c r="B4" t="str">
        <x:v>&gt;7 days later than required</x:v>
      </x:c>
      <x:c r="C4" t="str">
        <x:v>Engineering Manager</x:v>
      </x:c>
      <x:c r="D4" t="str">
        <x:v>Reprioritise design and checking</x:v>
      </x:c>
    </x:row>
    <x:row r="5">
      <x:c r="A5" t="str">
        <x:v>Vessel mobilisation</x:v>
      </x:c>
      <x:c r="B5" t="str">
        <x:v>&gt;7 days slippage</x:v>
      </x:c>
      <x:c r="C5" t="str">
        <x:v>Marine Manager</x:v>
      </x:c>
      <x:c r="D5" t="str">
        <x:v>Assess backup marine option</x:v>
      </x:c>
    </x:row>
    <x:row r="6">
      <x:c r="A6" t="str">
        <x:v>Forecast offshore completion</x:v>
      </x:c>
      <x:c r="B6" t="str">
        <x:v>Later than approved milestone</x:v>
      </x:c>
      <x:c r="C6" t="str">
        <x:v>Project Director</x:v>
      </x:c>
      <x:c r="D6" t="str">
        <x:v>Run recovery CPM and quantify cost</x:v>
      </x:c>
    </x:row>
    <x:row r="7">
      <x:c r="A7" t="str">
        <x:v>NCR / inspection hold</x:v>
      </x:c>
      <x:c r="B7" t="str">
        <x:v>Any blocking critical work</x:v>
      </x:c>
      <x:c r="C7" t="str">
        <x:v>QA/QC Manager</x:v>
      </x:c>
      <x:c r="D7" t="str">
        <x:v>Resolve before further release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30" customHeight="1">
      <x:c r="A1" s="4" t="str">
        <x:v>Item</x:v>
      </x:c>
      <x:c r="B1" s="4" t="str">
        <x:v>Basis / instruction</x:v>
      </x:c>
    </x:row>
    <x:row r="2">
      <x:c r="A2" t="str">
        <x:v>Status</x:v>
      </x:c>
      <x:c r="B2" t="str">
        <x:v>Pre-award planning tool; no construction activity has been confirmed</x:v>
      </x:c>
    </x:row>
    <x:row r="3">
      <x:c r="A3" t="str">
        <x:v>Provisional start</x:v>
      </x:c>
      <x:c r="B3" t="str">
        <x:v>1 Nov 2026; replace with actual contractual commencement</x:v>
      </x:c>
    </x:row>
    <x:row r="4">
      <x:c r="A4" t="str">
        <x:v>Structural MTO</x:v>
      </x:c>
      <x:c r="B4" t="str">
        <x:v>Printed 1142 MT; ten transcribed bridge rows 1141 MT; 1 MT unresolved</x:v>
      </x:c>
    </x:row>
    <x:row r="5">
      <x:c r="A5" t="str">
        <x:v>Demolition MTO</x:v>
      </x:c>
      <x:c r="B5" t="str">
        <x:v>357 MT transcribed rows; validate against original contract</x:v>
      </x:c>
    </x:row>
    <x:row r="6">
      <x:c r="A6" t="str">
        <x:v>Secondary works</x:v>
      </x:c>
      <x:c r="B6" t="str">
        <x:v>Handrails 1168 m; grating 719 m2; GI sheeting 1274 m2 (aggregate only)</x:v>
      </x:c>
    </x:row>
    <x:row r="7">
      <x:c r="A7" t="str">
        <x:v>Input discipline</x:v>
      </x:c>
      <x:c r="B7" t="str">
        <x:v>Populate approved quantities from drawings; enter daily accepted quantities only after QA verification</x:v>
      </x:c>
    </x:row>
    <x:row r="8">
      <x:c r="A8" t="str">
        <x:v>No mixed-unit totals</x:v>
      </x:c>
      <x:c r="B8" t="str">
        <x:v>Do not sum MT, metres, joints and m2; use budget-weighted progress</x:v>
      </x:c>
    </x:row>
    <x:row r="9">
      <x:c r="A9" t="str">
        <x:v>Forecast logic</x:v>
      </x:c>
      <x:c r="B9" t="str">
        <x:v>Forecast calendar days requires measured crew productivity, crews and workability</x:v>
      </x:c>
    </x:row>
    <x:row r="10">
      <x:c r="A10" t="str">
        <x:v>Marine readiness</x:v>
      </x:c>
      <x:c r="B10" t="str">
        <x:v>Lifts and demolition require independently approved methods, vessel suitability and ONGC release</x:v>
      </x:c>
    </x:row>
    <x:row r="11">
      <x:c r="A11" t="str">
        <x:v>Stage 31 continuity</x:v>
      </x:c>
      <x:c r="B11" t="str">
        <x:v>This is a complementary Stage 32 control model, not an automatic live connection to Stage 31</x:v>
      </x:c>
    </x:row>
    <x:row r="12">
      <x:c r="A12" t="str">
        <x:v>Financial linkage</x:v>
      </x:c>
      <x:c r="B12" t="str">
        <x:v>Connect accepted workpack progress to the Stage 26-27 approved budget and invoice milestones</x:v>
      </x:c>
    </x:row>
    <x:row r="13">
      <x:c r="A13" t="str">
        <x:v>Contractual caveat</x:v>
      </x:c>
      <x:c r="B13" t="str">
        <x:v>Monsoon and 360-day completion must follow SCC and approved schedule</x:v>
      </x:c>
    </x:row>
  </x:sheetData>
  <x:pageMargins left="0.7" right="0.7" top="0.75" bottom="0.75" header="0.3" footer="0.3"/>
</x:worksheet>
</file>