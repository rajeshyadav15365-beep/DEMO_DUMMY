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d3a799ab7c43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is" sheetId="1" r:id="R33634fef75e641e2"/>
    <x:sheet xmlns:r="http://schemas.openxmlformats.org/officeDocument/2006/relationships" name="Workpack Readiness" sheetId="2" r:id="R5a8010e6e0904623"/>
    <x:sheet xmlns:r="http://schemas.openxmlformats.org/officeDocument/2006/relationships" name="Daily Production" sheetId="3" r:id="R7686249e36c94044"/>
    <x:sheet xmlns:r="http://schemas.openxmlformats.org/officeDocument/2006/relationships" name="14 Day Lookahead" sheetId="4" r:id="R468ffe68258d487a"/>
    <x:sheet xmlns:r="http://schemas.openxmlformats.org/officeDocument/2006/relationships" name="6 Week Constraints" sheetId="5" r:id="Rdba6f11e20194f2f"/>
    <x:sheet xmlns:r="http://schemas.openxmlformats.org/officeDocument/2006/relationships" name="Weekly Resources" sheetId="6" r:id="Rbd361f931f8d4869"/>
    <x:sheet xmlns:r="http://schemas.openxmlformats.org/officeDocument/2006/relationships" name="Bridge MTO" sheetId="7" r:id="R2adf1181e48b44d5"/>
    <x:sheet xmlns:r="http://schemas.openxmlformats.org/officeDocument/2006/relationships" name="CEO Daily Dashboard" sheetId="8" r:id="R58ee2df0d924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44A"/>
      </x:patternFill>
    </x:fill>
    <x:fill>
      <x:patternFill patternType="solid">
        <x:fgColor rgb="FFFFF0CF"/>
      </x:patternFill>
    </x:fill>
    <x:fill>
      <x:patternFill patternType="solid">
        <x:fgColor rgb="FFEAF4F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3b43c00154ecd" /><Relationship Type="http://schemas.openxmlformats.org/officeDocument/2006/relationships/theme" Target="/xl/theme/theme1.xml" Id="R7baa9dcde3e9475d" /><Relationship Type="http://schemas.openxmlformats.org/officeDocument/2006/relationships/sharedStrings" Target="/xl/sharedStrings.xml" Id="R2152e61414c6471e" /><Relationship Type="http://schemas.openxmlformats.org/officeDocument/2006/relationships/worksheet" Target="/xl/worksheets/sheet1.xml" Id="R33634fef75e641e2" /><Relationship Type="http://schemas.openxmlformats.org/officeDocument/2006/relationships/worksheet" Target="/xl/worksheets/sheet2.xml" Id="R5a8010e6e0904623" /><Relationship Type="http://schemas.openxmlformats.org/officeDocument/2006/relationships/worksheet" Target="/xl/worksheets/sheet3.xml" Id="R7686249e36c94044" /><Relationship Type="http://schemas.openxmlformats.org/officeDocument/2006/relationships/worksheet" Target="/xl/worksheets/sheet4.xml" Id="R468ffe68258d487a" /><Relationship Type="http://schemas.openxmlformats.org/officeDocument/2006/relationships/worksheet" Target="/xl/worksheets/sheet5.xml" Id="Rdba6f11e20194f2f" /><Relationship Type="http://schemas.openxmlformats.org/officeDocument/2006/relationships/worksheet" Target="/xl/worksheets/sheet6.xml" Id="Rbd361f931f8d4869" /><Relationship Type="http://schemas.openxmlformats.org/officeDocument/2006/relationships/worksheet" Target="/xl/worksheets/sheet7.xml" Id="R2adf1181e48b44d5" /><Relationship Type="http://schemas.openxmlformats.org/officeDocument/2006/relationships/worksheet" Target="/xl/worksheets/sheet8.xml" Id="R58ee2df0d92446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45" hidden="0" customWidth="1"/>
  </x:cols>
  <x:sheetData>
    <x:row r="1" ht="29" customHeight="1">
      <x:c r="A1" s="3" t="str">
        <x:v>Item</x:v>
      </x:c>
      <x:c r="B1" s="3" t="str">
        <x:v>Basis / instruction</x:v>
      </x:c>
    </x:row>
    <x:row r="2">
      <x:c r="A2" t="str">
        <x:v>Project</x:v>
      </x:c>
      <x:c r="B2" t="str">
        <x:v>ONGC BRRP — Shivansh conditional pre-award planning</x:v>
      </x:c>
    </x:row>
    <x:row r="3">
      <x:c r="A3" t="str">
        <x:v>Assumed Day 1</x:v>
      </x:c>
      <x:c r="B3" t="str">
        <x:v>2026-11-01 (NOT confirmed award date)</x:v>
      </x:c>
    </x:row>
    <x:row r="4">
      <x:c r="A4" t="str">
        <x:v>Contract</x:v>
      </x:c>
      <x:c r="B4" t="str">
        <x:v>360 calendar days; verify SCC and monsoon clauses</x:v>
      </x:c>
    </x:row>
    <x:row r="5">
      <x:c r="A5" t="str">
        <x:v>Bridge packages</x:v>
      </x:c>
      <x:c r="B5" t="n">
        <x:v>10</x:v>
      </x:c>
    </x:row>
    <x:row r="6">
      <x:c r="A6" t="str">
        <x:v>Structural quantity printed MTO</x:v>
      </x:c>
      <x:c r="B6" t="n">
        <x:v>1142</x:v>
      </x:c>
    </x:row>
    <x:row r="7">
      <x:c r="A7" t="str">
        <x:v>Sum of bridge-wise rows</x:v>
      </x:c>
      <x:c r="B7" t="n">
        <x:v>1141</x:v>
      </x:c>
    </x:row>
    <x:row r="8">
      <x:c r="A8" t="str">
        <x:v>Difference to reconcile</x:v>
      </x:c>
      <x:c r="B8" t="n">
        <x:v>1</x:v>
      </x:c>
    </x:row>
    <x:row r="9">
      <x:c r="A9" t="str">
        <x:v>Demolition MT</x:v>
      </x:c>
      <x:c r="B9" t="n">
        <x:v>357</x:v>
      </x:c>
    </x:row>
    <x:row r="10">
      <x:c r="A10" t="str">
        <x:v>Workpack count</x:v>
      </x:c>
      <x:c r="B10" t="n">
        <x:v>80</x:v>
      </x:c>
    </x:row>
    <x:row r="11">
      <x:c r="A11" t="str">
        <x:v>Use</x:v>
      </x:c>
      <x:c r="B11" t="str">
        <x:v>Enter verified data only; blank readiness fields are NOT approvals</x:v>
      </x:c>
    </x:row>
    <x:row r="12">
      <x:c r="A12" t="str">
        <x:v>Safety</x:v>
      </x:c>
      <x:c r="B12" t="str">
        <x:v>All lifting, demolition and structural methods require qualified engineering and ONGC authorisation</x:v>
      </x:c>
    </x:row>
    <x:row r="13">
      <x:c r="A13" t="str">
        <x:v>Standards reference</x:v>
      </x:c>
      <x:c r="B13" t="str">
        <x:v>CII Advanced Work Packaging; IMCA LR006</x:v>
      </x:c>
    </x:row>
    <x:row r="14">
      <x:c r="A14" t="str">
        <x:v>Resource figures</x:v>
      </x:c>
      <x:c r="B14" t="str">
        <x:v>No actual crew productivity, vessel charter or yard capacity verified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29" customHeight="1">
      <x:c r="A1" s="3" t="str">
        <x:v>Workpack ID</x:v>
      </x:c>
      <x:c r="B1" s="3" t="str">
        <x:v>Bridge</x:v>
      </x:c>
      <x:c r="C1" s="3" t="str">
        <x:v>Activity</x:v>
      </x:c>
      <x:c r="D1" s="3" t="str">
        <x:v>Unit</x:v>
      </x:c>
      <x:c r="E1" s="3" t="str">
        <x:v>Indicative Qty*</x:v>
      </x:c>
      <x:c r="F1" s="3" t="str">
        <x:v>Verified Qty</x:v>
      </x:c>
      <x:c r="G1" s="3" t="str">
        <x:v>Drawing AFC</x:v>
      </x:c>
      <x:c r="H1" s="3" t="str">
        <x:v>Materials</x:v>
      </x:c>
      <x:c r="I1" s="3" t="str">
        <x:v>Access / PTW</x:v>
      </x:c>
      <x:c r="J1" s="3" t="str">
        <x:v>Crew / Tools</x:v>
      </x:c>
      <x:c r="K1" s="3" t="str">
        <x:v>QA ITP</x:v>
      </x:c>
      <x:c r="L1" s="3" t="str">
        <x:v>Marine / SIMOPS</x:v>
      </x:c>
      <x:c r="M1" s="3" t="str">
        <x:v>Method Approved</x:v>
      </x:c>
      <x:c r="N1" s="3" t="str">
        <x:v>ONGC Release</x:v>
      </x:c>
      <x:c r="O1" s="3" t="str">
        <x:v>Readiness</x:v>
      </x:c>
      <x:c r="P1" s="3" t="str">
        <x:v>Owner</x:v>
      </x:c>
    </x:row>
    <x:row r="2">
      <x:c r="A2" t="str">
        <x:v>B01-I01</x:v>
      </x:c>
      <x:c r="B2" t="str">
        <x:v>ICW-ICG UD</x:v>
      </x:c>
      <x:c r="C2" t="str">
        <x:v>Survey &amp; access</x:v>
      </x:c>
      <x:c r="D2" t="str">
        <x:v>work pack</x:v>
      </x:c>
      <x:c r="E2" s="6"/>
      <x:c r="F2" s="8"/>
      <x:c r="G2" s="8"/>
      <x:c r="H2" s="8"/>
      <x:c r="I2" s="8"/>
      <x:c r="J2" s="8"/>
      <x:c r="K2" s="8"/>
      <x:c r="L2" s="8"/>
      <x:c r="M2" s="8"/>
      <x:c r="N2" s="8"/>
      <x:c r="O2" t="str">
        <x:f>IF(COUNTIF(G2:N2,"Yes")=8,"READY",IF(COUNTIF(G2:N2,"No")&gt;0,"BLOCKED","NOT READY"))</x:f>
        <x:v>NOT READY</x:v>
      </x:c>
      <x:c r="P2"/>
    </x:row>
    <x:row r="3">
      <x:c r="A3" t="str">
        <x:v>B01-I02</x:v>
      </x:c>
      <x:c r="B3" t="str">
        <x:v>ICW-ICG UD</x:v>
      </x:c>
      <x:c r="C3" t="str">
        <x:v>Temporary works</x:v>
      </x:c>
      <x:c r="D3" t="str">
        <x:v>work pack</x:v>
      </x:c>
      <x:c r="E3" s="6"/>
      <x:c r="F3" s="8"/>
      <x:c r="G3" s="8"/>
      <x:c r="H3" s="8"/>
      <x:c r="I3" s="8"/>
      <x:c r="J3" s="8"/>
      <x:c r="K3" s="8"/>
      <x:c r="L3" s="8"/>
      <x:c r="M3" s="8"/>
      <x:c r="N3" s="8"/>
      <x:c r="O3" t="str">
        <x:f>IF(COUNTIF(G3:N3,"Yes")=8,"READY",IF(COUNTIF(G3:N3,"No")&gt;0,"BLOCKED","NOT READY"))</x:f>
        <x:v>NOT READY</x:v>
      </x:c>
      <x:c r="P3"/>
    </x:row>
    <x:row r="4">
      <x:c r="A4" t="str">
        <x:v>B01-I03</x:v>
      </x:c>
      <x:c r="B4" t="str">
        <x:v>ICW-ICG UD</x:v>
      </x:c>
      <x:c r="C4" t="str">
        <x:v>Shop fabrication</x:v>
      </x:c>
      <x:c r="D4" t="str">
        <x:v>MT</x:v>
      </x:c>
      <x:c r="E4" s="6" t="n">
        <x:v>49</x:v>
      </x:c>
      <x:c r="F4" s="8"/>
      <x:c r="G4" s="8"/>
      <x:c r="H4" s="8"/>
      <x:c r="I4" s="8"/>
      <x:c r="J4" s="8"/>
      <x:c r="K4" s="8"/>
      <x:c r="L4" s="8"/>
      <x:c r="M4" s="8"/>
      <x:c r="N4" s="8"/>
      <x:c r="O4" t="str">
        <x:f>IF(COUNTIF(G4:N4,"Yes")=8,"READY",IF(COUNTIF(G4:N4,"No")&gt;0,"BLOCKED","NOT READY"))</x:f>
        <x:v>NOT READY</x:v>
      </x:c>
      <x:c r="P4"/>
    </x:row>
    <x:row r="5">
      <x:c r="A5" t="str">
        <x:v>B01-I04</x:v>
      </x:c>
      <x:c r="B5" t="str">
        <x:v>ICW-ICG UD</x:v>
      </x:c>
      <x:c r="C5" t="str">
        <x:v>Offshore installation</x:v>
      </x:c>
      <x:c r="D5" t="str">
        <x:v>MT</x:v>
      </x:c>
      <x:c r="E5" s="6" t="n">
        <x:v>49</x:v>
      </x:c>
      <x:c r="F5" s="8"/>
      <x:c r="G5" s="8"/>
      <x:c r="H5" s="8"/>
      <x:c r="I5" s="8"/>
      <x:c r="J5" s="8"/>
      <x:c r="K5" s="8"/>
      <x:c r="L5" s="8"/>
      <x:c r="M5" s="8"/>
      <x:c r="N5" s="8"/>
      <x:c r="O5" t="str">
        <x:f>IF(COUNTIF(G5:N5,"Yes")=8,"READY",IF(COUNTIF(G5:N5,"No")&gt;0,"BLOCKED","NOT READY"))</x:f>
        <x:v>NOT READY</x:v>
      </x:c>
      <x:c r="P5"/>
    </x:row>
    <x:row r="6">
      <x:c r="A6" t="str">
        <x:v>B01-I05</x:v>
      </x:c>
      <x:c r="B6" t="str">
        <x:v>ICW-ICG UD</x:v>
      </x:c>
      <x:c r="C6" t="str">
        <x:v>Welding &amp; NDT</x:v>
      </x:c>
      <x:c r="D6" t="str">
        <x:v>work pack</x:v>
      </x:c>
      <x:c r="E6" s="6"/>
      <x:c r="F6" s="8"/>
      <x:c r="G6" s="8"/>
      <x:c r="H6" s="8"/>
      <x:c r="I6" s="8"/>
      <x:c r="J6" s="8"/>
      <x:c r="K6" s="8"/>
      <x:c r="L6" s="8"/>
      <x:c r="M6" s="8"/>
      <x:c r="N6" s="8"/>
      <x:c r="O6" t="str">
        <x:f>IF(COUNTIF(G6:N6,"Yes")=8,"READY",IF(COUNTIF(G6:N6,"No")&gt;0,"BLOCKED","NOT READY"))</x:f>
        <x:v>NOT READY</x:v>
      </x:c>
      <x:c r="P6"/>
    </x:row>
    <x:row r="7">
      <x:c r="A7" t="str">
        <x:v>B01-I06</x:v>
      </x:c>
      <x:c r="B7" t="str">
        <x:v>ICW-ICG UD</x:v>
      </x:c>
      <x:c r="C7" t="str">
        <x:v>Demolition</x:v>
      </x:c>
      <x:c r="D7" t="str">
        <x:v>MT</x:v>
      </x:c>
      <x:c r="E7" s="6" t="n">
        <x:v>25</x:v>
      </x:c>
      <x:c r="F7" s="8"/>
      <x:c r="G7" s="8"/>
      <x:c r="H7" s="8"/>
      <x:c r="I7" s="8"/>
      <x:c r="J7" s="8"/>
      <x:c r="K7" s="8"/>
      <x:c r="L7" s="8"/>
      <x:c r="M7" s="8"/>
      <x:c r="N7" s="8"/>
      <x:c r="O7" t="str">
        <x:f>IF(COUNTIF(G7:N7,"Yes")=8,"READY",IF(COUNTIF(G7:N7,"No")&gt;0,"BLOCKED","NOT READY"))</x:f>
        <x:v>NOT READY</x:v>
      </x:c>
      <x:c r="P7"/>
    </x:row>
    <x:row r="8">
      <x:c r="A8" t="str">
        <x:v>B01-I07</x:v>
      </x:c>
      <x:c r="B8" t="str">
        <x:v>ICW-ICG UD</x:v>
      </x:c>
      <x:c r="C8" t="str">
        <x:v>Coating / finishing</x:v>
      </x:c>
      <x:c r="D8" t="str">
        <x:v>m2</x:v>
      </x:c>
      <x:c r="E8" s="6"/>
      <x:c r="F8" s="8"/>
      <x:c r="G8" s="8"/>
      <x:c r="H8" s="8"/>
      <x:c r="I8" s="8"/>
      <x:c r="J8" s="8"/>
      <x:c r="K8" s="8"/>
      <x:c r="L8" s="8"/>
      <x:c r="M8" s="8"/>
      <x:c r="N8" s="8"/>
      <x:c r="O8" t="str">
        <x:f>IF(COUNTIF(G8:N8,"Yes")=8,"READY",IF(COUNTIF(G8:N8,"No")&gt;0,"BLOCKED","NOT READY"))</x:f>
        <x:v>NOT READY</x:v>
      </x:c>
      <x:c r="P8"/>
    </x:row>
    <x:row r="9">
      <x:c r="A9" t="str">
        <x:v>B01-I08</x:v>
      </x:c>
      <x:c r="B9" t="str">
        <x:v>ICW-ICG UD</x:v>
      </x:c>
      <x:c r="C9" t="str">
        <x:v>Completion &amp; dossier</x:v>
      </x:c>
      <x:c r="D9" t="str">
        <x:v>work pack</x:v>
      </x:c>
      <x:c r="E9" s="6"/>
      <x:c r="F9" s="8"/>
      <x:c r="G9" s="8"/>
      <x:c r="H9" s="8"/>
      <x:c r="I9" s="8"/>
      <x:c r="J9" s="8"/>
      <x:c r="K9" s="8"/>
      <x:c r="L9" s="8"/>
      <x:c r="M9" s="8"/>
      <x:c r="N9" s="8"/>
      <x:c r="O9" t="str">
        <x:f>IF(COUNTIF(G9:N9,"Yes")=8,"READY",IF(COUNTIF(G9:N9,"No")&gt;0,"BLOCKED","NOT READY"))</x:f>
        <x:v>NOT READY</x:v>
      </x:c>
      <x:c r="P9"/>
    </x:row>
    <x:row r="10">
      <x:c r="A10" t="str">
        <x:v>B02-I01</x:v>
      </x:c>
      <x:c r="B10" t="str">
        <x:v>ICW-ICG LD</x:v>
      </x:c>
      <x:c r="C10" t="str">
        <x:v>Survey &amp; access</x:v>
      </x:c>
      <x:c r="D10" t="str">
        <x:v>work pack</x:v>
      </x:c>
      <x:c r="E10" s="6"/>
      <x:c r="F10" s="8"/>
      <x:c r="G10" s="8"/>
      <x:c r="H10" s="8"/>
      <x:c r="I10" s="8"/>
      <x:c r="J10" s="8"/>
      <x:c r="K10" s="8"/>
      <x:c r="L10" s="8"/>
      <x:c r="M10" s="8"/>
      <x:c r="N10" s="8"/>
      <x:c r="O10" t="str">
        <x:f>IF(COUNTIF(G10:N10,"Yes")=8,"READY",IF(COUNTIF(G10:N10,"No")&gt;0,"BLOCKED","NOT READY"))</x:f>
        <x:v>NOT READY</x:v>
      </x:c>
      <x:c r="P10"/>
    </x:row>
    <x:row r="11">
      <x:c r="A11" t="str">
        <x:v>B02-I02</x:v>
      </x:c>
      <x:c r="B11" t="str">
        <x:v>ICW-ICG LD</x:v>
      </x:c>
      <x:c r="C11" t="str">
        <x:v>Temporary works</x:v>
      </x:c>
      <x:c r="D11" t="str">
        <x:v>work pack</x:v>
      </x:c>
      <x:c r="E11" s="6"/>
      <x:c r="F11" s="8"/>
      <x:c r="G11" s="8"/>
      <x:c r="H11" s="8"/>
      <x:c r="I11" s="8"/>
      <x:c r="J11" s="8"/>
      <x:c r="K11" s="8"/>
      <x:c r="L11" s="8"/>
      <x:c r="M11" s="8"/>
      <x:c r="N11" s="8"/>
      <x:c r="O11" t="str">
        <x:f>IF(COUNTIF(G11:N11,"Yes")=8,"READY",IF(COUNTIF(G11:N11,"No")&gt;0,"BLOCKED","NOT READY"))</x:f>
        <x:v>NOT READY</x:v>
      </x:c>
      <x:c r="P11"/>
    </x:row>
    <x:row r="12">
      <x:c r="A12" t="str">
        <x:v>B02-I03</x:v>
      </x:c>
      <x:c r="B12" t="str">
        <x:v>ICW-ICG LD</x:v>
      </x:c>
      <x:c r="C12" t="str">
        <x:v>Shop fabrication</x:v>
      </x:c>
      <x:c r="D12" t="str">
        <x:v>MT</x:v>
      </x:c>
      <x:c r="E12" s="6" t="n">
        <x:v>122</x:v>
      </x:c>
      <x:c r="F12" s="8"/>
      <x:c r="G12" s="8"/>
      <x:c r="H12" s="8"/>
      <x:c r="I12" s="8"/>
      <x:c r="J12" s="8"/>
      <x:c r="K12" s="8"/>
      <x:c r="L12" s="8"/>
      <x:c r="M12" s="8"/>
      <x:c r="N12" s="8"/>
      <x:c r="O12" t="str">
        <x:f>IF(COUNTIF(G12:N12,"Yes")=8,"READY",IF(COUNTIF(G12:N12,"No")&gt;0,"BLOCKED","NOT READY"))</x:f>
        <x:v>NOT READY</x:v>
      </x:c>
      <x:c r="P12"/>
    </x:row>
    <x:row r="13">
      <x:c r="A13" t="str">
        <x:v>B02-I04</x:v>
      </x:c>
      <x:c r="B13" t="str">
        <x:v>ICW-ICG LD</x:v>
      </x:c>
      <x:c r="C13" t="str">
        <x:v>Offshore installation</x:v>
      </x:c>
      <x:c r="D13" t="str">
        <x:v>MT</x:v>
      </x:c>
      <x:c r="E13" s="6" t="n">
        <x:v>122</x:v>
      </x:c>
      <x:c r="F13" s="8"/>
      <x:c r="G13" s="8"/>
      <x:c r="H13" s="8"/>
      <x:c r="I13" s="8"/>
      <x:c r="J13" s="8"/>
      <x:c r="K13" s="8"/>
      <x:c r="L13" s="8"/>
      <x:c r="M13" s="8"/>
      <x:c r="N13" s="8"/>
      <x:c r="O13" t="str">
        <x:f>IF(COUNTIF(G13:N13,"Yes")=8,"READY",IF(COUNTIF(G13:N13,"No")&gt;0,"BLOCKED","NOT READY"))</x:f>
        <x:v>NOT READY</x:v>
      </x:c>
      <x:c r="P13"/>
    </x:row>
    <x:row r="14">
      <x:c r="A14" t="str">
        <x:v>B02-I05</x:v>
      </x:c>
      <x:c r="B14" t="str">
        <x:v>ICW-ICG LD</x:v>
      </x:c>
      <x:c r="C14" t="str">
        <x:v>Welding &amp; NDT</x:v>
      </x:c>
      <x:c r="D14" t="str">
        <x:v>work pack</x:v>
      </x:c>
      <x:c r="E14" s="6"/>
      <x:c r="F14" s="8"/>
      <x:c r="G14" s="8"/>
      <x:c r="H14" s="8"/>
      <x:c r="I14" s="8"/>
      <x:c r="J14" s="8"/>
      <x:c r="K14" s="8"/>
      <x:c r="L14" s="8"/>
      <x:c r="M14" s="8"/>
      <x:c r="N14" s="8"/>
      <x:c r="O14" t="str">
        <x:f>IF(COUNTIF(G14:N14,"Yes")=8,"READY",IF(COUNTIF(G14:N14,"No")&gt;0,"BLOCKED","NOT READY"))</x:f>
        <x:v>NOT READY</x:v>
      </x:c>
      <x:c r="P14"/>
    </x:row>
    <x:row r="15">
      <x:c r="A15" t="str">
        <x:v>B02-I06</x:v>
      </x:c>
      <x:c r="B15" t="str">
        <x:v>ICW-ICG LD</x:v>
      </x:c>
      <x:c r="C15" t="str">
        <x:v>Demolition</x:v>
      </x:c>
      <x:c r="D15" t="str">
        <x:v>MT</x:v>
      </x:c>
      <x:c r="E15" s="6" t="n">
        <x:v>1</x:v>
      </x:c>
      <x:c r="F15" s="8"/>
      <x:c r="G15" s="8"/>
      <x:c r="H15" s="8"/>
      <x:c r="I15" s="8"/>
      <x:c r="J15" s="8"/>
      <x:c r="K15" s="8"/>
      <x:c r="L15" s="8"/>
      <x:c r="M15" s="8"/>
      <x:c r="N15" s="8"/>
      <x:c r="O15" t="str">
        <x:f>IF(COUNTIF(G15:N15,"Yes")=8,"READY",IF(COUNTIF(G15:N15,"No")&gt;0,"BLOCKED","NOT READY"))</x:f>
        <x:v>NOT READY</x:v>
      </x:c>
      <x:c r="P15"/>
    </x:row>
    <x:row r="16">
      <x:c r="A16" t="str">
        <x:v>B02-I07</x:v>
      </x:c>
      <x:c r="B16" t="str">
        <x:v>ICW-ICG LD</x:v>
      </x:c>
      <x:c r="C16" t="str">
        <x:v>Coating / finishing</x:v>
      </x:c>
      <x:c r="D16" t="str">
        <x:v>m2</x:v>
      </x:c>
      <x:c r="E16" s="6"/>
      <x:c r="F16" s="8"/>
      <x:c r="G16" s="8"/>
      <x:c r="H16" s="8"/>
      <x:c r="I16" s="8"/>
      <x:c r="J16" s="8"/>
      <x:c r="K16" s="8"/>
      <x:c r="L16" s="8"/>
      <x:c r="M16" s="8"/>
      <x:c r="N16" s="8"/>
      <x:c r="O16" t="str">
        <x:f>IF(COUNTIF(G16:N16,"Yes")=8,"READY",IF(COUNTIF(G16:N16,"No")&gt;0,"BLOCKED","NOT READY"))</x:f>
        <x:v>NOT READY</x:v>
      </x:c>
      <x:c r="P16"/>
    </x:row>
    <x:row r="17">
      <x:c r="A17" t="str">
        <x:v>B02-I08</x:v>
      </x:c>
      <x:c r="B17" t="str">
        <x:v>ICW-ICG LD</x:v>
      </x:c>
      <x:c r="C17" t="str">
        <x:v>Completion &amp; dossier</x:v>
      </x:c>
      <x:c r="D17" t="str">
        <x:v>work pack</x:v>
      </x:c>
      <x:c r="E17" s="6"/>
      <x:c r="F17" s="8"/>
      <x:c r="G17" s="8"/>
      <x:c r="H17" s="8"/>
      <x:c r="I17" s="8"/>
      <x:c r="J17" s="8"/>
      <x:c r="K17" s="8"/>
      <x:c r="L17" s="8"/>
      <x:c r="M17" s="8"/>
      <x:c r="N17" s="8"/>
      <x:c r="O17" t="str">
        <x:f>IF(COUNTIF(G17:N17,"Yes")=8,"READY",IF(COUNTIF(G17:N17,"No")&gt;0,"BLOCKED","NOT READY"))</x:f>
        <x:v>NOT READY</x:v>
      </x:c>
      <x:c r="P17"/>
    </x:row>
    <x:row r="18">
      <x:c r="A18" t="str">
        <x:v>B03-I01</x:v>
      </x:c>
      <x:c r="B18" t="str">
        <x:v>ICG-ICP UD</x:v>
      </x:c>
      <x:c r="C18" t="str">
        <x:v>Survey &amp; access</x:v>
      </x:c>
      <x:c r="D18" t="str">
        <x:v>work pack</x:v>
      </x:c>
      <x:c r="E18" s="6"/>
      <x:c r="F18" s="8"/>
      <x:c r="G18" s="8"/>
      <x:c r="H18" s="8"/>
      <x:c r="I18" s="8"/>
      <x:c r="J18" s="8"/>
      <x:c r="K18" s="8"/>
      <x:c r="L18" s="8"/>
      <x:c r="M18" s="8"/>
      <x:c r="N18" s="8"/>
      <x:c r="O18" t="str">
        <x:f>IF(COUNTIF(G18:N18,"Yes")=8,"READY",IF(COUNTIF(G18:N18,"No")&gt;0,"BLOCKED","NOT READY"))</x:f>
        <x:v>NOT READY</x:v>
      </x:c>
      <x:c r="P18"/>
    </x:row>
    <x:row r="19">
      <x:c r="A19" t="str">
        <x:v>B03-I02</x:v>
      </x:c>
      <x:c r="B19" t="str">
        <x:v>ICG-ICP UD</x:v>
      </x:c>
      <x:c r="C19" t="str">
        <x:v>Temporary works</x:v>
      </x:c>
      <x:c r="D19" t="str">
        <x:v>work pack</x:v>
      </x:c>
      <x:c r="E19" s="6"/>
      <x:c r="F19" s="8"/>
      <x:c r="G19" s="8"/>
      <x:c r="H19" s="8"/>
      <x:c r="I19" s="8"/>
      <x:c r="J19" s="8"/>
      <x:c r="K19" s="8"/>
      <x:c r="L19" s="8"/>
      <x:c r="M19" s="8"/>
      <x:c r="N19" s="8"/>
      <x:c r="O19" t="str">
        <x:f>IF(COUNTIF(G19:N19,"Yes")=8,"READY",IF(COUNTIF(G19:N19,"No")&gt;0,"BLOCKED","NOT READY"))</x:f>
        <x:v>NOT READY</x:v>
      </x:c>
      <x:c r="P19"/>
    </x:row>
    <x:row r="20">
      <x:c r="A20" t="str">
        <x:v>B03-I03</x:v>
      </x:c>
      <x:c r="B20" t="str">
        <x:v>ICG-ICP UD</x:v>
      </x:c>
      <x:c r="C20" t="str">
        <x:v>Shop fabrication</x:v>
      </x:c>
      <x:c r="D20" t="str">
        <x:v>MT</x:v>
      </x:c>
      <x:c r="E20" s="6" t="n">
        <x:v>116</x:v>
      </x:c>
      <x:c r="F20" s="8"/>
      <x:c r="G20" s="8"/>
      <x:c r="H20" s="8"/>
      <x:c r="I20" s="8"/>
      <x:c r="J20" s="8"/>
      <x:c r="K20" s="8"/>
      <x:c r="L20" s="8"/>
      <x:c r="M20" s="8"/>
      <x:c r="N20" s="8"/>
      <x:c r="O20" t="str">
        <x:f>IF(COUNTIF(G20:N20,"Yes")=8,"READY",IF(COUNTIF(G20:N20,"No")&gt;0,"BLOCKED","NOT READY"))</x:f>
        <x:v>NOT READY</x:v>
      </x:c>
      <x:c r="P20"/>
    </x:row>
    <x:row r="21">
      <x:c r="A21" t="str">
        <x:v>B03-I04</x:v>
      </x:c>
      <x:c r="B21" t="str">
        <x:v>ICG-ICP UD</x:v>
      </x:c>
      <x:c r="C21" t="str">
        <x:v>Offshore installation</x:v>
      </x:c>
      <x:c r="D21" t="str">
        <x:v>MT</x:v>
      </x:c>
      <x:c r="E21" s="6" t="n">
        <x:v>116</x:v>
      </x:c>
      <x:c r="F21" s="8"/>
      <x:c r="G21" s="8"/>
      <x:c r="H21" s="8"/>
      <x:c r="I21" s="8"/>
      <x:c r="J21" s="8"/>
      <x:c r="K21" s="8"/>
      <x:c r="L21" s="8"/>
      <x:c r="M21" s="8"/>
      <x:c r="N21" s="8"/>
      <x:c r="O21" t="str">
        <x:f>IF(COUNTIF(G21:N21,"Yes")=8,"READY",IF(COUNTIF(G21:N21,"No")&gt;0,"BLOCKED","NOT READY"))</x:f>
        <x:v>NOT READY</x:v>
      </x:c>
      <x:c r="P21"/>
    </x:row>
    <x:row r="22">
      <x:c r="A22" t="str">
        <x:v>B03-I05</x:v>
      </x:c>
      <x:c r="B22" t="str">
        <x:v>ICG-ICP UD</x:v>
      </x:c>
      <x:c r="C22" t="str">
        <x:v>Welding &amp; NDT</x:v>
      </x:c>
      <x:c r="D22" t="str">
        <x:v>work pack</x:v>
      </x:c>
      <x:c r="E22" s="6"/>
      <x:c r="F22" s="8"/>
      <x:c r="G22" s="8"/>
      <x:c r="H22" s="8"/>
      <x:c r="I22" s="8"/>
      <x:c r="J22" s="8"/>
      <x:c r="K22" s="8"/>
      <x:c r="L22" s="8"/>
      <x:c r="M22" s="8"/>
      <x:c r="N22" s="8"/>
      <x:c r="O22" t="str">
        <x:f>IF(COUNTIF(G22:N22,"Yes")=8,"READY",IF(COUNTIF(G22:N22,"No")&gt;0,"BLOCKED","NOT READY"))</x:f>
        <x:v>NOT READY</x:v>
      </x:c>
      <x:c r="P22"/>
    </x:row>
    <x:row r="23">
      <x:c r="A23" t="str">
        <x:v>B03-I06</x:v>
      </x:c>
      <x:c r="B23" t="str">
        <x:v>ICG-ICP UD</x:v>
      </x:c>
      <x:c r="C23" t="str">
        <x:v>Demolition</x:v>
      </x:c>
      <x:c r="D23" t="str">
        <x:v>MT</x:v>
      </x:c>
      <x:c r="E23" s="6" t="n">
        <x:v>25</x:v>
      </x:c>
      <x:c r="F23" s="8"/>
      <x:c r="G23" s="8"/>
      <x:c r="H23" s="8"/>
      <x:c r="I23" s="8"/>
      <x:c r="J23" s="8"/>
      <x:c r="K23" s="8"/>
      <x:c r="L23" s="8"/>
      <x:c r="M23" s="8"/>
      <x:c r="N23" s="8"/>
      <x:c r="O23" t="str">
        <x:f>IF(COUNTIF(G23:N23,"Yes")=8,"READY",IF(COUNTIF(G23:N23,"No")&gt;0,"BLOCKED","NOT READY"))</x:f>
        <x:v>NOT READY</x:v>
      </x:c>
      <x:c r="P23"/>
    </x:row>
    <x:row r="24">
      <x:c r="A24" t="str">
        <x:v>B03-I07</x:v>
      </x:c>
      <x:c r="B24" t="str">
        <x:v>ICG-ICP UD</x:v>
      </x:c>
      <x:c r="C24" t="str">
        <x:v>Coating / finishing</x:v>
      </x:c>
      <x:c r="D24" t="str">
        <x:v>m2</x:v>
      </x:c>
      <x:c r="E24" s="6"/>
      <x:c r="F24" s="8"/>
      <x:c r="G24" s="8"/>
      <x:c r="H24" s="8"/>
      <x:c r="I24" s="8"/>
      <x:c r="J24" s="8"/>
      <x:c r="K24" s="8"/>
      <x:c r="L24" s="8"/>
      <x:c r="M24" s="8"/>
      <x:c r="N24" s="8"/>
      <x:c r="O24" t="str">
        <x:f>IF(COUNTIF(G24:N24,"Yes")=8,"READY",IF(COUNTIF(G24:N24,"No")&gt;0,"BLOCKED","NOT READY"))</x:f>
        <x:v>NOT READY</x:v>
      </x:c>
      <x:c r="P24"/>
    </x:row>
    <x:row r="25">
      <x:c r="A25" t="str">
        <x:v>B03-I08</x:v>
      </x:c>
      <x:c r="B25" t="str">
        <x:v>ICG-ICP UD</x:v>
      </x:c>
      <x:c r="C25" t="str">
        <x:v>Completion &amp; dossier</x:v>
      </x:c>
      <x:c r="D25" t="str">
        <x:v>work pack</x:v>
      </x:c>
      <x:c r="E25" s="6"/>
      <x:c r="F25" s="8"/>
      <x:c r="G25" s="8"/>
      <x:c r="H25" s="8"/>
      <x:c r="I25" s="8"/>
      <x:c r="J25" s="8"/>
      <x:c r="K25" s="8"/>
      <x:c r="L25" s="8"/>
      <x:c r="M25" s="8"/>
      <x:c r="N25" s="8"/>
      <x:c r="O25" t="str">
        <x:f>IF(COUNTIF(G25:N25,"Yes")=8,"READY",IF(COUNTIF(G25:N25,"No")&gt;0,"BLOCKED","NOT READY"))</x:f>
        <x:v>NOT READY</x:v>
      </x:c>
      <x:c r="P25"/>
    </x:row>
    <x:row r="26">
      <x:c r="A26" t="str">
        <x:v>B04-I01</x:v>
      </x:c>
      <x:c r="B26" t="str">
        <x:v>ICG-ICP LD</x:v>
      </x:c>
      <x:c r="C26" t="str">
        <x:v>Survey &amp; access</x:v>
      </x:c>
      <x:c r="D26" t="str">
        <x:v>work pack</x:v>
      </x:c>
      <x:c r="E26" s="6"/>
      <x:c r="F26" s="8"/>
      <x:c r="G26" s="8"/>
      <x:c r="H26" s="8"/>
      <x:c r="I26" s="8"/>
      <x:c r="J26" s="8"/>
      <x:c r="K26" s="8"/>
      <x:c r="L26" s="8"/>
      <x:c r="M26" s="8"/>
      <x:c r="N26" s="8"/>
      <x:c r="O26" t="str">
        <x:f>IF(COUNTIF(G26:N26,"Yes")=8,"READY",IF(COUNTIF(G26:N26,"No")&gt;0,"BLOCKED","NOT READY"))</x:f>
        <x:v>NOT READY</x:v>
      </x:c>
      <x:c r="P26"/>
    </x:row>
    <x:row r="27">
      <x:c r="A27" t="str">
        <x:v>B04-I02</x:v>
      </x:c>
      <x:c r="B27" t="str">
        <x:v>ICG-ICP LD</x:v>
      </x:c>
      <x:c r="C27" t="str">
        <x:v>Temporary works</x:v>
      </x:c>
      <x:c r="D27" t="str">
        <x:v>work pack</x:v>
      </x:c>
      <x:c r="E27" s="6"/>
      <x:c r="F27" s="8"/>
      <x:c r="G27" s="8"/>
      <x:c r="H27" s="8"/>
      <x:c r="I27" s="8"/>
      <x:c r="J27" s="8"/>
      <x:c r="K27" s="8"/>
      <x:c r="L27" s="8"/>
      <x:c r="M27" s="8"/>
      <x:c r="N27" s="8"/>
      <x:c r="O27" t="str">
        <x:f>IF(COUNTIF(G27:N27,"Yes")=8,"READY",IF(COUNTIF(G27:N27,"No")&gt;0,"BLOCKED","NOT READY"))</x:f>
        <x:v>NOT READY</x:v>
      </x:c>
      <x:c r="P27"/>
    </x:row>
    <x:row r="28">
      <x:c r="A28" t="str">
        <x:v>B04-I03</x:v>
      </x:c>
      <x:c r="B28" t="str">
        <x:v>ICG-ICP LD</x:v>
      </x:c>
      <x:c r="C28" t="str">
        <x:v>Shop fabrication</x:v>
      </x:c>
      <x:c r="D28" t="str">
        <x:v>MT</x:v>
      </x:c>
      <x:c r="E28" s="6" t="n">
        <x:v>160</x:v>
      </x:c>
      <x:c r="F28" s="8"/>
      <x:c r="G28" s="8"/>
      <x:c r="H28" s="8"/>
      <x:c r="I28" s="8"/>
      <x:c r="J28" s="8"/>
      <x:c r="K28" s="8"/>
      <x:c r="L28" s="8"/>
      <x:c r="M28" s="8"/>
      <x:c r="N28" s="8"/>
      <x:c r="O28" t="str">
        <x:f>IF(COUNTIF(G28:N28,"Yes")=8,"READY",IF(COUNTIF(G28:N28,"No")&gt;0,"BLOCKED","NOT READY"))</x:f>
        <x:v>NOT READY</x:v>
      </x:c>
      <x:c r="P28"/>
    </x:row>
    <x:row r="29">
      <x:c r="A29" t="str">
        <x:v>B04-I04</x:v>
      </x:c>
      <x:c r="B29" t="str">
        <x:v>ICG-ICP LD</x:v>
      </x:c>
      <x:c r="C29" t="str">
        <x:v>Offshore installation</x:v>
      </x:c>
      <x:c r="D29" t="str">
        <x:v>MT</x:v>
      </x:c>
      <x:c r="E29" s="6" t="n">
        <x:v>160</x:v>
      </x:c>
      <x:c r="F29" s="8"/>
      <x:c r="G29" s="8"/>
      <x:c r="H29" s="8"/>
      <x:c r="I29" s="8"/>
      <x:c r="J29" s="8"/>
      <x:c r="K29" s="8"/>
      <x:c r="L29" s="8"/>
      <x:c r="M29" s="8"/>
      <x:c r="N29" s="8"/>
      <x:c r="O29" t="str">
        <x:f>IF(COUNTIF(G29:N29,"Yes")=8,"READY",IF(COUNTIF(G29:N29,"No")&gt;0,"BLOCKED","NOT READY"))</x:f>
        <x:v>NOT READY</x:v>
      </x:c>
      <x:c r="P29"/>
    </x:row>
    <x:row r="30">
      <x:c r="A30" t="str">
        <x:v>B04-I05</x:v>
      </x:c>
      <x:c r="B30" t="str">
        <x:v>ICG-ICP LD</x:v>
      </x:c>
      <x:c r="C30" t="str">
        <x:v>Welding &amp; NDT</x:v>
      </x:c>
      <x:c r="D30" t="str">
        <x:v>work pack</x:v>
      </x:c>
      <x:c r="E30" s="6"/>
      <x:c r="F30" s="8"/>
      <x:c r="G30" s="8"/>
      <x:c r="H30" s="8"/>
      <x:c r="I30" s="8"/>
      <x:c r="J30" s="8"/>
      <x:c r="K30" s="8"/>
      <x:c r="L30" s="8"/>
      <x:c r="M30" s="8"/>
      <x:c r="N30" s="8"/>
      <x:c r="O30" t="str">
        <x:f>IF(COUNTIF(G30:N30,"Yes")=8,"READY",IF(COUNTIF(G30:N30,"No")&gt;0,"BLOCKED","NOT READY"))</x:f>
        <x:v>NOT READY</x:v>
      </x:c>
      <x:c r="P30"/>
    </x:row>
    <x:row r="31">
      <x:c r="A31" t="str">
        <x:v>B04-I06</x:v>
      </x:c>
      <x:c r="B31" t="str">
        <x:v>ICG-ICP LD</x:v>
      </x:c>
      <x:c r="C31" t="str">
        <x:v>Demolition</x:v>
      </x:c>
      <x:c r="D31" t="str">
        <x:v>MT</x:v>
      </x:c>
      <x:c r="E31" s="6" t="n">
        <x:v>1</x:v>
      </x:c>
      <x:c r="F31" s="8"/>
      <x:c r="G31" s="8"/>
      <x:c r="H31" s="8"/>
      <x:c r="I31" s="8"/>
      <x:c r="J31" s="8"/>
      <x:c r="K31" s="8"/>
      <x:c r="L31" s="8"/>
      <x:c r="M31" s="8"/>
      <x:c r="N31" s="8"/>
      <x:c r="O31" t="str">
        <x:f>IF(COUNTIF(G31:N31,"Yes")=8,"READY",IF(COUNTIF(G31:N31,"No")&gt;0,"BLOCKED","NOT READY"))</x:f>
        <x:v>NOT READY</x:v>
      </x:c>
      <x:c r="P31"/>
    </x:row>
    <x:row r="32">
      <x:c r="A32" t="str">
        <x:v>B04-I07</x:v>
      </x:c>
      <x:c r="B32" t="str">
        <x:v>ICG-ICP LD</x:v>
      </x:c>
      <x:c r="C32" t="str">
        <x:v>Coating / finishing</x:v>
      </x:c>
      <x:c r="D32" t="str">
        <x:v>m2</x:v>
      </x:c>
      <x:c r="E32" s="6"/>
      <x:c r="F32" s="8"/>
      <x:c r="G32" s="8"/>
      <x:c r="H32" s="8"/>
      <x:c r="I32" s="8"/>
      <x:c r="J32" s="8"/>
      <x:c r="K32" s="8"/>
      <x:c r="L32" s="8"/>
      <x:c r="M32" s="8"/>
      <x:c r="N32" s="8"/>
      <x:c r="O32" t="str">
        <x:f>IF(COUNTIF(G32:N32,"Yes")=8,"READY",IF(COUNTIF(G32:N32,"No")&gt;0,"BLOCKED","NOT READY"))</x:f>
        <x:v>NOT READY</x:v>
      </x:c>
      <x:c r="P32"/>
    </x:row>
    <x:row r="33">
      <x:c r="A33" t="str">
        <x:v>B04-I08</x:v>
      </x:c>
      <x:c r="B33" t="str">
        <x:v>ICG-ICP LD</x:v>
      </x:c>
      <x:c r="C33" t="str">
        <x:v>Completion &amp; dossier</x:v>
      </x:c>
      <x:c r="D33" t="str">
        <x:v>work pack</x:v>
      </x:c>
      <x:c r="E33" s="6"/>
      <x:c r="F33" s="8"/>
      <x:c r="G33" s="8"/>
      <x:c r="H33" s="8"/>
      <x:c r="I33" s="8"/>
      <x:c r="J33" s="8"/>
      <x:c r="K33" s="8"/>
      <x:c r="L33" s="8"/>
      <x:c r="M33" s="8"/>
      <x:c r="N33" s="8"/>
      <x:c r="O33" t="str">
        <x:f>IF(COUNTIF(G33:N33,"Yes")=8,"READY",IF(COUNTIF(G33:N33,"No")&gt;0,"BLOCKED","NOT READY"))</x:f>
        <x:v>NOT READY</x:v>
      </x:c>
      <x:c r="P33"/>
    </x:row>
    <x:row r="34">
      <x:c r="A34" t="str">
        <x:v>B05-I01</x:v>
      </x:c>
      <x:c r="B34" t="str">
        <x:v>BHS-SLQ</x:v>
      </x:c>
      <x:c r="C34" t="str">
        <x:v>Survey &amp; access</x:v>
      </x:c>
      <x:c r="D34" t="str">
        <x:v>work pack</x:v>
      </x:c>
      <x:c r="E34" s="6"/>
      <x:c r="F34" s="8"/>
      <x:c r="G34" s="8"/>
      <x:c r="H34" s="8"/>
      <x:c r="I34" s="8"/>
      <x:c r="J34" s="8"/>
      <x:c r="K34" s="8"/>
      <x:c r="L34" s="8"/>
      <x:c r="M34" s="8"/>
      <x:c r="N34" s="8"/>
      <x:c r="O34" t="str">
        <x:f>IF(COUNTIF(G34:N34,"Yes")=8,"READY",IF(COUNTIF(G34:N34,"No")&gt;0,"BLOCKED","NOT READY"))</x:f>
        <x:v>NOT READY</x:v>
      </x:c>
      <x:c r="P34"/>
    </x:row>
    <x:row r="35">
      <x:c r="A35" t="str">
        <x:v>B05-I02</x:v>
      </x:c>
      <x:c r="B35" t="str">
        <x:v>BHS-SLQ</x:v>
      </x:c>
      <x:c r="C35" t="str">
        <x:v>Temporary works</x:v>
      </x:c>
      <x:c r="D35" t="str">
        <x:v>work pack</x:v>
      </x:c>
      <x:c r="E35" s="6"/>
      <x:c r="F35" s="8"/>
      <x:c r="G35" s="8"/>
      <x:c r="H35" s="8"/>
      <x:c r="I35" s="8"/>
      <x:c r="J35" s="8"/>
      <x:c r="K35" s="8"/>
      <x:c r="L35" s="8"/>
      <x:c r="M35" s="8"/>
      <x:c r="N35" s="8"/>
      <x:c r="O35" t="str">
        <x:f>IF(COUNTIF(G35:N35,"Yes")=8,"READY",IF(COUNTIF(G35:N35,"No")&gt;0,"BLOCKED","NOT READY"))</x:f>
        <x:v>NOT READY</x:v>
      </x:c>
      <x:c r="P35"/>
    </x:row>
    <x:row r="36">
      <x:c r="A36" t="str">
        <x:v>B05-I03</x:v>
      </x:c>
      <x:c r="B36" t="str">
        <x:v>BHS-SLQ</x:v>
      </x:c>
      <x:c r="C36" t="str">
        <x:v>Shop fabrication</x:v>
      </x:c>
      <x:c r="D36" t="str">
        <x:v>MT</x:v>
      </x:c>
      <x:c r="E36" s="6" t="n">
        <x:v>282</x:v>
      </x:c>
      <x:c r="F36" s="8"/>
      <x:c r="G36" s="8"/>
      <x:c r="H36" s="8"/>
      <x:c r="I36" s="8"/>
      <x:c r="J36" s="8"/>
      <x:c r="K36" s="8"/>
      <x:c r="L36" s="8"/>
      <x:c r="M36" s="8"/>
      <x:c r="N36" s="8"/>
      <x:c r="O36" t="str">
        <x:f>IF(COUNTIF(G36:N36,"Yes")=8,"READY",IF(COUNTIF(G36:N36,"No")&gt;0,"BLOCKED","NOT READY"))</x:f>
        <x:v>NOT READY</x:v>
      </x:c>
      <x:c r="P36"/>
    </x:row>
    <x:row r="37">
      <x:c r="A37" t="str">
        <x:v>B05-I04</x:v>
      </x:c>
      <x:c r="B37" t="str">
        <x:v>BHS-SLQ</x:v>
      </x:c>
      <x:c r="C37" t="str">
        <x:v>Offshore installation</x:v>
      </x:c>
      <x:c r="D37" t="str">
        <x:v>MT</x:v>
      </x:c>
      <x:c r="E37" s="6" t="n">
        <x:v>282</x:v>
      </x:c>
      <x:c r="F37" s="8"/>
      <x:c r="G37" s="8"/>
      <x:c r="H37" s="8"/>
      <x:c r="I37" s="8"/>
      <x:c r="J37" s="8"/>
      <x:c r="K37" s="8"/>
      <x:c r="L37" s="8"/>
      <x:c r="M37" s="8"/>
      <x:c r="N37" s="8"/>
      <x:c r="O37" t="str">
        <x:f>IF(COUNTIF(G37:N37,"Yes")=8,"READY",IF(COUNTIF(G37:N37,"No")&gt;0,"BLOCKED","NOT READY"))</x:f>
        <x:v>NOT READY</x:v>
      </x:c>
      <x:c r="P37"/>
    </x:row>
    <x:row r="38">
      <x:c r="A38" t="str">
        <x:v>B05-I05</x:v>
      </x:c>
      <x:c r="B38" t="str">
        <x:v>BHS-SLQ</x:v>
      </x:c>
      <x:c r="C38" t="str">
        <x:v>Welding &amp; NDT</x:v>
      </x:c>
      <x:c r="D38" t="str">
        <x:v>work pack</x:v>
      </x:c>
      <x:c r="E38" s="6"/>
      <x:c r="F38" s="8"/>
      <x:c r="G38" s="8"/>
      <x:c r="H38" s="8"/>
      <x:c r="I38" s="8"/>
      <x:c r="J38" s="8"/>
      <x:c r="K38" s="8"/>
      <x:c r="L38" s="8"/>
      <x:c r="M38" s="8"/>
      <x:c r="N38" s="8"/>
      <x:c r="O38" t="str">
        <x:f>IF(COUNTIF(G38:N38,"Yes")=8,"READY",IF(COUNTIF(G38:N38,"No")&gt;0,"BLOCKED","NOT READY"))</x:f>
        <x:v>NOT READY</x:v>
      </x:c>
      <x:c r="P38"/>
    </x:row>
    <x:row r="39">
      <x:c r="A39" t="str">
        <x:v>B05-I06</x:v>
      </x:c>
      <x:c r="B39" t="str">
        <x:v>BHS-SLQ</x:v>
      </x:c>
      <x:c r="C39" t="str">
        <x:v>Demolition</x:v>
      </x:c>
      <x:c r="D39" t="str">
        <x:v>MT</x:v>
      </x:c>
      <x:c r="E39" s="6" t="n">
        <x:v>210</x:v>
      </x:c>
      <x:c r="F39" s="8"/>
      <x:c r="G39" s="8"/>
      <x:c r="H39" s="8"/>
      <x:c r="I39" s="8"/>
      <x:c r="J39" s="8"/>
      <x:c r="K39" s="8"/>
      <x:c r="L39" s="8"/>
      <x:c r="M39" s="8"/>
      <x:c r="N39" s="8"/>
      <x:c r="O39" t="str">
        <x:f>IF(COUNTIF(G39:N39,"Yes")=8,"READY",IF(COUNTIF(G39:N39,"No")&gt;0,"BLOCKED","NOT READY"))</x:f>
        <x:v>NOT READY</x:v>
      </x:c>
      <x:c r="P39"/>
    </x:row>
    <x:row r="40">
      <x:c r="A40" t="str">
        <x:v>B05-I07</x:v>
      </x:c>
      <x:c r="B40" t="str">
        <x:v>BHS-SLQ</x:v>
      </x:c>
      <x:c r="C40" t="str">
        <x:v>Coating / finishing</x:v>
      </x:c>
      <x:c r="D40" t="str">
        <x:v>m2</x:v>
      </x:c>
      <x:c r="E40" s="6"/>
      <x:c r="F40" s="8"/>
      <x:c r="G40" s="8"/>
      <x:c r="H40" s="8"/>
      <x:c r="I40" s="8"/>
      <x:c r="J40" s="8"/>
      <x:c r="K40" s="8"/>
      <x:c r="L40" s="8"/>
      <x:c r="M40" s="8"/>
      <x:c r="N40" s="8"/>
      <x:c r="O40" t="str">
        <x:f>IF(COUNTIF(G40:N40,"Yes")=8,"READY",IF(COUNTIF(G40:N40,"No")&gt;0,"BLOCKED","NOT READY"))</x:f>
        <x:v>NOT READY</x:v>
      </x:c>
      <x:c r="P40"/>
    </x:row>
    <x:row r="41">
      <x:c r="A41" t="str">
        <x:v>B05-I08</x:v>
      </x:c>
      <x:c r="B41" t="str">
        <x:v>BHS-SLQ</x:v>
      </x:c>
      <x:c r="C41" t="str">
        <x:v>Completion &amp; dossier</x:v>
      </x:c>
      <x:c r="D41" t="str">
        <x:v>work pack</x:v>
      </x:c>
      <x:c r="E41" s="6"/>
      <x:c r="F41" s="8"/>
      <x:c r="G41" s="8"/>
      <x:c r="H41" s="8"/>
      <x:c r="I41" s="8"/>
      <x:c r="J41" s="8"/>
      <x:c r="K41" s="8"/>
      <x:c r="L41" s="8"/>
      <x:c r="M41" s="8"/>
      <x:c r="N41" s="8"/>
      <x:c r="O41" t="str">
        <x:f>IF(COUNTIF(G41:N41,"Yes")=8,"READY",IF(COUNTIF(G41:N41,"No")&gt;0,"BLOCKED","NOT READY"))</x:f>
        <x:v>NOT READY</x:v>
      </x:c>
      <x:c r="P41"/>
    </x:row>
    <x:row r="42">
      <x:c r="A42" t="str">
        <x:v>B06-I01</x:v>
      </x:c>
      <x:c r="B42" t="str">
        <x:v>SLQ-WIS</x:v>
      </x:c>
      <x:c r="C42" t="str">
        <x:v>Survey &amp; access</x:v>
      </x:c>
      <x:c r="D42" t="str">
        <x:v>work pack</x:v>
      </x:c>
      <x:c r="E42" s="6"/>
      <x:c r="F42" s="8"/>
      <x:c r="G42" s="8"/>
      <x:c r="H42" s="8"/>
      <x:c r="I42" s="8"/>
      <x:c r="J42" s="8"/>
      <x:c r="K42" s="8"/>
      <x:c r="L42" s="8"/>
      <x:c r="M42" s="8"/>
      <x:c r="N42" s="8"/>
      <x:c r="O42" t="str">
        <x:f>IF(COUNTIF(G42:N42,"Yes")=8,"READY",IF(COUNTIF(G42:N42,"No")&gt;0,"BLOCKED","NOT READY"))</x:f>
        <x:v>NOT READY</x:v>
      </x:c>
      <x:c r="P42"/>
    </x:row>
    <x:row r="43">
      <x:c r="A43" t="str">
        <x:v>B06-I02</x:v>
      </x:c>
      <x:c r="B43" t="str">
        <x:v>SLQ-WIS</x:v>
      </x:c>
      <x:c r="C43" t="str">
        <x:v>Temporary works</x:v>
      </x:c>
      <x:c r="D43" t="str">
        <x:v>work pack</x:v>
      </x:c>
      <x:c r="E43" s="6"/>
      <x:c r="F43" s="8"/>
      <x:c r="G43" s="8"/>
      <x:c r="H43" s="8"/>
      <x:c r="I43" s="8"/>
      <x:c r="J43" s="8"/>
      <x:c r="K43" s="8"/>
      <x:c r="L43" s="8"/>
      <x:c r="M43" s="8"/>
      <x:c r="N43" s="8"/>
      <x:c r="O43" t="str">
        <x:f>IF(COUNTIF(G43:N43,"Yes")=8,"READY",IF(COUNTIF(G43:N43,"No")&gt;0,"BLOCKED","NOT READY"))</x:f>
        <x:v>NOT READY</x:v>
      </x:c>
      <x:c r="P43"/>
    </x:row>
    <x:row r="44">
      <x:c r="A44" t="str">
        <x:v>B06-I03</x:v>
      </x:c>
      <x:c r="B44" t="str">
        <x:v>SLQ-WIS</x:v>
      </x:c>
      <x:c r="C44" t="str">
        <x:v>Shop fabrication</x:v>
      </x:c>
      <x:c r="D44" t="str">
        <x:v>MT</x:v>
      </x:c>
      <x:c r="E44" s="6" t="n">
        <x:v>91</x:v>
      </x:c>
      <x:c r="F44" s="8"/>
      <x:c r="G44" s="8"/>
      <x:c r="H44" s="8"/>
      <x:c r="I44" s="8"/>
      <x:c r="J44" s="8"/>
      <x:c r="K44" s="8"/>
      <x:c r="L44" s="8"/>
      <x:c r="M44" s="8"/>
      <x:c r="N44" s="8"/>
      <x:c r="O44" t="str">
        <x:f>IF(COUNTIF(G44:N44,"Yes")=8,"READY",IF(COUNTIF(G44:N44,"No")&gt;0,"BLOCKED","NOT READY"))</x:f>
        <x:v>NOT READY</x:v>
      </x:c>
      <x:c r="P44"/>
    </x:row>
    <x:row r="45">
      <x:c r="A45" t="str">
        <x:v>B06-I04</x:v>
      </x:c>
      <x:c r="B45" t="str">
        <x:v>SLQ-WIS</x:v>
      </x:c>
      <x:c r="C45" t="str">
        <x:v>Offshore installation</x:v>
      </x:c>
      <x:c r="D45" t="str">
        <x:v>MT</x:v>
      </x:c>
      <x:c r="E45" s="6" t="n">
        <x:v>91</x:v>
      </x:c>
      <x:c r="F45" s="8"/>
      <x:c r="G45" s="8"/>
      <x:c r="H45" s="8"/>
      <x:c r="I45" s="8"/>
      <x:c r="J45" s="8"/>
      <x:c r="K45" s="8"/>
      <x:c r="L45" s="8"/>
      <x:c r="M45" s="8"/>
      <x:c r="N45" s="8"/>
      <x:c r="O45" t="str">
        <x:f>IF(COUNTIF(G45:N45,"Yes")=8,"READY",IF(COUNTIF(G45:N45,"No")&gt;0,"BLOCKED","NOT READY"))</x:f>
        <x:v>NOT READY</x:v>
      </x:c>
      <x:c r="P45"/>
    </x:row>
    <x:row r="46">
      <x:c r="A46" t="str">
        <x:v>B06-I05</x:v>
      </x:c>
      <x:c r="B46" t="str">
        <x:v>SLQ-WIS</x:v>
      </x:c>
      <x:c r="C46" t="str">
        <x:v>Welding &amp; NDT</x:v>
      </x:c>
      <x:c r="D46" t="str">
        <x:v>work pack</x:v>
      </x:c>
      <x:c r="E46" s="6"/>
      <x:c r="F46" s="8"/>
      <x:c r="G46" s="8"/>
      <x:c r="H46" s="8"/>
      <x:c r="I46" s="8"/>
      <x:c r="J46" s="8"/>
      <x:c r="K46" s="8"/>
      <x:c r="L46" s="8"/>
      <x:c r="M46" s="8"/>
      <x:c r="N46" s="8"/>
      <x:c r="O46" t="str">
        <x:f>IF(COUNTIF(G46:N46,"Yes")=8,"READY",IF(COUNTIF(G46:N46,"No")&gt;0,"BLOCKED","NOT READY"))</x:f>
        <x:v>NOT READY</x:v>
      </x:c>
      <x:c r="P46"/>
    </x:row>
    <x:row r="47">
      <x:c r="A47" t="str">
        <x:v>B06-I06</x:v>
      </x:c>
      <x:c r="B47" t="str">
        <x:v>SLQ-WIS</x:v>
      </x:c>
      <x:c r="C47" t="str">
        <x:v>Demolition</x:v>
      </x:c>
      <x:c r="D47" t="str">
        <x:v>MT</x:v>
      </x:c>
      <x:c r="E47" s="6" t="n">
        <x:v>15</x:v>
      </x:c>
      <x:c r="F47" s="8"/>
      <x:c r="G47" s="8"/>
      <x:c r="H47" s="8"/>
      <x:c r="I47" s="8"/>
      <x:c r="J47" s="8"/>
      <x:c r="K47" s="8"/>
      <x:c r="L47" s="8"/>
      <x:c r="M47" s="8"/>
      <x:c r="N47" s="8"/>
      <x:c r="O47" t="str">
        <x:f>IF(COUNTIF(G47:N47,"Yes")=8,"READY",IF(COUNTIF(G47:N47,"No")&gt;0,"BLOCKED","NOT READY"))</x:f>
        <x:v>NOT READY</x:v>
      </x:c>
      <x:c r="P47"/>
    </x:row>
    <x:row r="48">
      <x:c r="A48" t="str">
        <x:v>B06-I07</x:v>
      </x:c>
      <x:c r="B48" t="str">
        <x:v>SLQ-WIS</x:v>
      </x:c>
      <x:c r="C48" t="str">
        <x:v>Coating / finishing</x:v>
      </x:c>
      <x:c r="D48" t="str">
        <x:v>m2</x:v>
      </x:c>
      <x:c r="E48" s="6"/>
      <x:c r="F48" s="8"/>
      <x:c r="G48" s="8"/>
      <x:c r="H48" s="8"/>
      <x:c r="I48" s="8"/>
      <x:c r="J48" s="8"/>
      <x:c r="K48" s="8"/>
      <x:c r="L48" s="8"/>
      <x:c r="M48" s="8"/>
      <x:c r="N48" s="8"/>
      <x:c r="O48" t="str">
        <x:f>IF(COUNTIF(G48:N48,"Yes")=8,"READY",IF(COUNTIF(G48:N48,"No")&gt;0,"BLOCKED","NOT READY"))</x:f>
        <x:v>NOT READY</x:v>
      </x:c>
      <x:c r="P48"/>
    </x:row>
    <x:row r="49">
      <x:c r="A49" t="str">
        <x:v>B06-I08</x:v>
      </x:c>
      <x:c r="B49" t="str">
        <x:v>SLQ-WIS</x:v>
      </x:c>
      <x:c r="C49" t="str">
        <x:v>Completion &amp; dossier</x:v>
      </x:c>
      <x:c r="D49" t="str">
        <x:v>work pack</x:v>
      </x:c>
      <x:c r="E49" s="6"/>
      <x:c r="F49" s="8"/>
      <x:c r="G49" s="8"/>
      <x:c r="H49" s="8"/>
      <x:c r="I49" s="8"/>
      <x:c r="J49" s="8"/>
      <x:c r="K49" s="8"/>
      <x:c r="L49" s="8"/>
      <x:c r="M49" s="8"/>
      <x:c r="N49" s="8"/>
      <x:c r="O49" t="str">
        <x:f>IF(COUNTIF(G49:N49,"Yes")=8,"READY",IF(COUNTIF(G49:N49,"No")&gt;0,"BLOCKED","NOT READY"))</x:f>
        <x:v>NOT READY</x:v>
      </x:c>
      <x:c r="P49"/>
    </x:row>
    <x:row r="50">
      <x:c r="A50" t="str">
        <x:v>B07-I01</x:v>
      </x:c>
      <x:c r="B50" t="str">
        <x:v>NQO-NQD</x:v>
      </x:c>
      <x:c r="C50" t="str">
        <x:v>Survey &amp; access</x:v>
      </x:c>
      <x:c r="D50" t="str">
        <x:v>work pack</x:v>
      </x:c>
      <x:c r="E50" s="6"/>
      <x:c r="F50" s="8"/>
      <x:c r="G50" s="8"/>
      <x:c r="H50" s="8"/>
      <x:c r="I50" s="8"/>
      <x:c r="J50" s="8"/>
      <x:c r="K50" s="8"/>
      <x:c r="L50" s="8"/>
      <x:c r="M50" s="8"/>
      <x:c r="N50" s="8"/>
      <x:c r="O50" t="str">
        <x:f>IF(COUNTIF(G50:N50,"Yes")=8,"READY",IF(COUNTIF(G50:N50,"No")&gt;0,"BLOCKED","NOT READY"))</x:f>
        <x:v>NOT READY</x:v>
      </x:c>
      <x:c r="P50"/>
    </x:row>
    <x:row r="51">
      <x:c r="A51" t="str">
        <x:v>B07-I02</x:v>
      </x:c>
      <x:c r="B51" t="str">
        <x:v>NQO-NQD</x:v>
      </x:c>
      <x:c r="C51" t="str">
        <x:v>Temporary works</x:v>
      </x:c>
      <x:c r="D51" t="str">
        <x:v>work pack</x:v>
      </x:c>
      <x:c r="E51" s="6"/>
      <x:c r="F51" s="8"/>
      <x:c r="G51" s="8"/>
      <x:c r="H51" s="8"/>
      <x:c r="I51" s="8"/>
      <x:c r="J51" s="8"/>
      <x:c r="K51" s="8"/>
      <x:c r="L51" s="8"/>
      <x:c r="M51" s="8"/>
      <x:c r="N51" s="8"/>
      <x:c r="O51" t="str">
        <x:f>IF(COUNTIF(G51:N51,"Yes")=8,"READY",IF(COUNTIF(G51:N51,"No")&gt;0,"BLOCKED","NOT READY"))</x:f>
        <x:v>NOT READY</x:v>
      </x:c>
      <x:c r="P51"/>
    </x:row>
    <x:row r="52">
      <x:c r="A52" t="str">
        <x:v>B07-I03</x:v>
      </x:c>
      <x:c r="B52" t="str">
        <x:v>NQO-NQD</x:v>
      </x:c>
      <x:c r="C52" t="str">
        <x:v>Shop fabrication</x:v>
      </x:c>
      <x:c r="D52" t="str">
        <x:v>MT</x:v>
      </x:c>
      <x:c r="E52" s="6" t="n">
        <x:v>93</x:v>
      </x:c>
      <x:c r="F52" s="8"/>
      <x:c r="G52" s="8"/>
      <x:c r="H52" s="8"/>
      <x:c r="I52" s="8"/>
      <x:c r="J52" s="8"/>
      <x:c r="K52" s="8"/>
      <x:c r="L52" s="8"/>
      <x:c r="M52" s="8"/>
      <x:c r="N52" s="8"/>
      <x:c r="O52" t="str">
        <x:f>IF(COUNTIF(G52:N52,"Yes")=8,"READY",IF(COUNTIF(G52:N52,"No")&gt;0,"BLOCKED","NOT READY"))</x:f>
        <x:v>NOT READY</x:v>
      </x:c>
      <x:c r="P52"/>
    </x:row>
    <x:row r="53">
      <x:c r="A53" t="str">
        <x:v>B07-I04</x:v>
      </x:c>
      <x:c r="B53" t="str">
        <x:v>NQO-NQD</x:v>
      </x:c>
      <x:c r="C53" t="str">
        <x:v>Offshore installation</x:v>
      </x:c>
      <x:c r="D53" t="str">
        <x:v>MT</x:v>
      </x:c>
      <x:c r="E53" s="6" t="n">
        <x:v>93</x:v>
      </x:c>
      <x:c r="F53" s="8"/>
      <x:c r="G53" s="8"/>
      <x:c r="H53" s="8"/>
      <x:c r="I53" s="8"/>
      <x:c r="J53" s="8"/>
      <x:c r="K53" s="8"/>
      <x:c r="L53" s="8"/>
      <x:c r="M53" s="8"/>
      <x:c r="N53" s="8"/>
      <x:c r="O53" t="str">
        <x:f>IF(COUNTIF(G53:N53,"Yes")=8,"READY",IF(COUNTIF(G53:N53,"No")&gt;0,"BLOCKED","NOT READY"))</x:f>
        <x:v>NOT READY</x:v>
      </x:c>
      <x:c r="P53"/>
    </x:row>
    <x:row r="54">
      <x:c r="A54" t="str">
        <x:v>B07-I05</x:v>
      </x:c>
      <x:c r="B54" t="str">
        <x:v>NQO-NQD</x:v>
      </x:c>
      <x:c r="C54" t="str">
        <x:v>Welding &amp; NDT</x:v>
      </x:c>
      <x:c r="D54" t="str">
        <x:v>work pack</x:v>
      </x:c>
      <x:c r="E54" s="6"/>
      <x:c r="F54" s="8"/>
      <x:c r="G54" s="8"/>
      <x:c r="H54" s="8"/>
      <x:c r="I54" s="8"/>
      <x:c r="J54" s="8"/>
      <x:c r="K54" s="8"/>
      <x:c r="L54" s="8"/>
      <x:c r="M54" s="8"/>
      <x:c r="N54" s="8"/>
      <x:c r="O54" t="str">
        <x:f>IF(COUNTIF(G54:N54,"Yes")=8,"READY",IF(COUNTIF(G54:N54,"No")&gt;0,"BLOCKED","NOT READY"))</x:f>
        <x:v>NOT READY</x:v>
      </x:c>
      <x:c r="P54"/>
    </x:row>
    <x:row r="55">
      <x:c r="A55" t="str">
        <x:v>B07-I06</x:v>
      </x:c>
      <x:c r="B55" t="str">
        <x:v>NQO-NQD</x:v>
      </x:c>
      <x:c r="C55" t="str">
        <x:v>Demolition</x:v>
      </x:c>
      <x:c r="D55" t="str">
        <x:v>MT</x:v>
      </x:c>
      <x:c r="E55" s="6" t="n">
        <x:v>25</x:v>
      </x:c>
      <x:c r="F55" s="8"/>
      <x:c r="G55" s="8"/>
      <x:c r="H55" s="8"/>
      <x:c r="I55" s="8"/>
      <x:c r="J55" s="8"/>
      <x:c r="K55" s="8"/>
      <x:c r="L55" s="8"/>
      <x:c r="M55" s="8"/>
      <x:c r="N55" s="8"/>
      <x:c r="O55" t="str">
        <x:f>IF(COUNTIF(G55:N55,"Yes")=8,"READY",IF(COUNTIF(G55:N55,"No")&gt;0,"BLOCKED","NOT READY"))</x:f>
        <x:v>NOT READY</x:v>
      </x:c>
      <x:c r="P55"/>
    </x:row>
    <x:row r="56">
      <x:c r="A56" t="str">
        <x:v>B07-I07</x:v>
      </x:c>
      <x:c r="B56" t="str">
        <x:v>NQO-NQD</x:v>
      </x:c>
      <x:c r="C56" t="str">
        <x:v>Coating / finishing</x:v>
      </x:c>
      <x:c r="D56" t="str">
        <x:v>m2</x:v>
      </x:c>
      <x:c r="E56" s="6"/>
      <x:c r="F56" s="8"/>
      <x:c r="G56" s="8"/>
      <x:c r="H56" s="8"/>
      <x:c r="I56" s="8"/>
      <x:c r="J56" s="8"/>
      <x:c r="K56" s="8"/>
      <x:c r="L56" s="8"/>
      <x:c r="M56" s="8"/>
      <x:c r="N56" s="8"/>
      <x:c r="O56" t="str">
        <x:f>IF(COUNTIF(G56:N56,"Yes")=8,"READY",IF(COUNTIF(G56:N56,"No")&gt;0,"BLOCKED","NOT READY"))</x:f>
        <x:v>NOT READY</x:v>
      </x:c>
      <x:c r="P56"/>
    </x:row>
    <x:row r="57">
      <x:c r="A57" t="str">
        <x:v>B07-I08</x:v>
      </x:c>
      <x:c r="B57" t="str">
        <x:v>NQO-NQD</x:v>
      </x:c>
      <x:c r="C57" t="str">
        <x:v>Completion &amp; dossier</x:v>
      </x:c>
      <x:c r="D57" t="str">
        <x:v>work pack</x:v>
      </x:c>
      <x:c r="E57" s="6"/>
      <x:c r="F57" s="8"/>
      <x:c r="G57" s="8"/>
      <x:c r="H57" s="8"/>
      <x:c r="I57" s="8"/>
      <x:c r="J57" s="8"/>
      <x:c r="K57" s="8"/>
      <x:c r="L57" s="8"/>
      <x:c r="M57" s="8"/>
      <x:c r="N57" s="8"/>
      <x:c r="O57" t="str">
        <x:f>IF(COUNTIF(G57:N57,"Yes")=8,"READY",IF(COUNTIF(G57:N57,"No")&gt;0,"BLOCKED","NOT READY"))</x:f>
        <x:v>NOT READY</x:v>
      </x:c>
      <x:c r="P57"/>
    </x:row>
    <x:row r="58">
      <x:c r="A58" t="str">
        <x:v>B08-I01</x:v>
      </x:c>
      <x:c r="B58" t="str">
        <x:v>WIN-NC</x:v>
      </x:c>
      <x:c r="C58" t="str">
        <x:v>Survey &amp; access</x:v>
      </x:c>
      <x:c r="D58" t="str">
        <x:v>work pack</x:v>
      </x:c>
      <x:c r="E58" s="6"/>
      <x:c r="F58" s="8"/>
      <x:c r="G58" s="8"/>
      <x:c r="H58" s="8"/>
      <x:c r="I58" s="8"/>
      <x:c r="J58" s="8"/>
      <x:c r="K58" s="8"/>
      <x:c r="L58" s="8"/>
      <x:c r="M58" s="8"/>
      <x:c r="N58" s="8"/>
      <x:c r="O58" t="str">
        <x:f>IF(COUNTIF(G58:N58,"Yes")=8,"READY",IF(COUNTIF(G58:N58,"No")&gt;0,"BLOCKED","NOT READY"))</x:f>
        <x:v>NOT READY</x:v>
      </x:c>
      <x:c r="P58"/>
    </x:row>
    <x:row r="59">
      <x:c r="A59" t="str">
        <x:v>B08-I02</x:v>
      </x:c>
      <x:c r="B59" t="str">
        <x:v>WIN-NC</x:v>
      </x:c>
      <x:c r="C59" t="str">
        <x:v>Temporary works</x:v>
      </x:c>
      <x:c r="D59" t="str">
        <x:v>work pack</x:v>
      </x:c>
      <x:c r="E59" s="6"/>
      <x:c r="F59" s="8"/>
      <x:c r="G59" s="8"/>
      <x:c r="H59" s="8"/>
      <x:c r="I59" s="8"/>
      <x:c r="J59" s="8"/>
      <x:c r="K59" s="8"/>
      <x:c r="L59" s="8"/>
      <x:c r="M59" s="8"/>
      <x:c r="N59" s="8"/>
      <x:c r="O59" t="str">
        <x:f>IF(COUNTIF(G59:N59,"Yes")=8,"READY",IF(COUNTIF(G59:N59,"No")&gt;0,"BLOCKED","NOT READY"))</x:f>
        <x:v>NOT READY</x:v>
      </x:c>
      <x:c r="P59"/>
    </x:row>
    <x:row r="60">
      <x:c r="A60" t="str">
        <x:v>B08-I03</x:v>
      </x:c>
      <x:c r="B60" t="str">
        <x:v>WIN-NC</x:v>
      </x:c>
      <x:c r="C60" t="str">
        <x:v>Shop fabrication</x:v>
      </x:c>
      <x:c r="D60" t="str">
        <x:v>MT</x:v>
      </x:c>
      <x:c r="E60" s="6" t="n">
        <x:v>46</x:v>
      </x:c>
      <x:c r="F60" s="8"/>
      <x:c r="G60" s="8"/>
      <x:c r="H60" s="8"/>
      <x:c r="I60" s="8"/>
      <x:c r="J60" s="8"/>
      <x:c r="K60" s="8"/>
      <x:c r="L60" s="8"/>
      <x:c r="M60" s="8"/>
      <x:c r="N60" s="8"/>
      <x:c r="O60" t="str">
        <x:f>IF(COUNTIF(G60:N60,"Yes")=8,"READY",IF(COUNTIF(G60:N60,"No")&gt;0,"BLOCKED","NOT READY"))</x:f>
        <x:v>NOT READY</x:v>
      </x:c>
      <x:c r="P60"/>
    </x:row>
    <x:row r="61">
      <x:c r="A61" t="str">
        <x:v>B08-I04</x:v>
      </x:c>
      <x:c r="B61" t="str">
        <x:v>WIN-NC</x:v>
      </x:c>
      <x:c r="C61" t="str">
        <x:v>Offshore installation</x:v>
      </x:c>
      <x:c r="D61" t="str">
        <x:v>MT</x:v>
      </x:c>
      <x:c r="E61" s="6" t="n">
        <x:v>46</x:v>
      </x:c>
      <x:c r="F61" s="8"/>
      <x:c r="G61" s="8"/>
      <x:c r="H61" s="8"/>
      <x:c r="I61" s="8"/>
      <x:c r="J61" s="8"/>
      <x:c r="K61" s="8"/>
      <x:c r="L61" s="8"/>
      <x:c r="M61" s="8"/>
      <x:c r="N61" s="8"/>
      <x:c r="O61" t="str">
        <x:f>IF(COUNTIF(G61:N61,"Yes")=8,"READY",IF(COUNTIF(G61:N61,"No")&gt;0,"BLOCKED","NOT READY"))</x:f>
        <x:v>NOT READY</x:v>
      </x:c>
      <x:c r="P61"/>
    </x:row>
    <x:row r="62">
      <x:c r="A62" t="str">
        <x:v>B08-I05</x:v>
      </x:c>
      <x:c r="B62" t="str">
        <x:v>WIN-NC</x:v>
      </x:c>
      <x:c r="C62" t="str">
        <x:v>Welding &amp; NDT</x:v>
      </x:c>
      <x:c r="D62" t="str">
        <x:v>work pack</x:v>
      </x:c>
      <x:c r="E62" s="6"/>
      <x:c r="F62" s="8"/>
      <x:c r="G62" s="8"/>
      <x:c r="H62" s="8"/>
      <x:c r="I62" s="8"/>
      <x:c r="J62" s="8"/>
      <x:c r="K62" s="8"/>
      <x:c r="L62" s="8"/>
      <x:c r="M62" s="8"/>
      <x:c r="N62" s="8"/>
      <x:c r="O62" t="str">
        <x:f>IF(COUNTIF(G62:N62,"Yes")=8,"READY",IF(COUNTIF(G62:N62,"No")&gt;0,"BLOCKED","NOT READY"))</x:f>
        <x:v>NOT READY</x:v>
      </x:c>
      <x:c r="P62"/>
    </x:row>
    <x:row r="63">
      <x:c r="A63" t="str">
        <x:v>B08-I06</x:v>
      </x:c>
      <x:c r="B63" t="str">
        <x:v>WIN-NC</x:v>
      </x:c>
      <x:c r="C63" t="str">
        <x:v>Demolition</x:v>
      </x:c>
      <x:c r="D63" t="str">
        <x:v>MT</x:v>
      </x:c>
      <x:c r="E63" s="6" t="n">
        <x:v>10</x:v>
      </x:c>
      <x:c r="F63" s="8"/>
      <x:c r="G63" s="8"/>
      <x:c r="H63" s="8"/>
      <x:c r="I63" s="8"/>
      <x:c r="J63" s="8"/>
      <x:c r="K63" s="8"/>
      <x:c r="L63" s="8"/>
      <x:c r="M63" s="8"/>
      <x:c r="N63" s="8"/>
      <x:c r="O63" t="str">
        <x:f>IF(COUNTIF(G63:N63,"Yes")=8,"READY",IF(COUNTIF(G63:N63,"No")&gt;0,"BLOCKED","NOT READY"))</x:f>
        <x:v>NOT READY</x:v>
      </x:c>
      <x:c r="P63"/>
    </x:row>
    <x:row r="64">
      <x:c r="A64" t="str">
        <x:v>B08-I07</x:v>
      </x:c>
      <x:c r="B64" t="str">
        <x:v>WIN-NC</x:v>
      </x:c>
      <x:c r="C64" t="str">
        <x:v>Coating / finishing</x:v>
      </x:c>
      <x:c r="D64" t="str">
        <x:v>m2</x:v>
      </x:c>
      <x:c r="E64" s="6"/>
      <x:c r="F64" s="8"/>
      <x:c r="G64" s="8"/>
      <x:c r="H64" s="8"/>
      <x:c r="I64" s="8"/>
      <x:c r="J64" s="8"/>
      <x:c r="K64" s="8"/>
      <x:c r="L64" s="8"/>
      <x:c r="M64" s="8"/>
      <x:c r="N64" s="8"/>
      <x:c r="O64" t="str">
        <x:f>IF(COUNTIF(G64:N64,"Yes")=8,"READY",IF(COUNTIF(G64:N64,"No")&gt;0,"BLOCKED","NOT READY"))</x:f>
        <x:v>NOT READY</x:v>
      </x:c>
      <x:c r="P64"/>
    </x:row>
    <x:row r="65">
      <x:c r="A65" t="str">
        <x:v>B08-I08</x:v>
      </x:c>
      <x:c r="B65" t="str">
        <x:v>WIN-NC</x:v>
      </x:c>
      <x:c r="C65" t="str">
        <x:v>Completion &amp; dossier</x:v>
      </x:c>
      <x:c r="D65" t="str">
        <x:v>work pack</x:v>
      </x:c>
      <x:c r="E65" s="6"/>
      <x:c r="F65" s="8"/>
      <x:c r="G65" s="8"/>
      <x:c r="H65" s="8"/>
      <x:c r="I65" s="8"/>
      <x:c r="J65" s="8"/>
      <x:c r="K65" s="8"/>
      <x:c r="L65" s="8"/>
      <x:c r="M65" s="8"/>
      <x:c r="N65" s="8"/>
      <x:c r="O65" t="str">
        <x:f>IF(COUNTIF(G65:N65,"Yes")=8,"READY",IF(COUNTIF(G65:N65,"No")&gt;0,"BLOCKED","NOT READY"))</x:f>
        <x:v>NOT READY</x:v>
      </x:c>
      <x:c r="P65"/>
    </x:row>
    <x:row r="66">
      <x:c r="A66" t="str">
        <x:v>B09-I01</x:v>
      </x:c>
      <x:c r="B66" t="str">
        <x:v>SCA-SC1</x:v>
      </x:c>
      <x:c r="C66" t="str">
        <x:v>Survey &amp; access</x:v>
      </x:c>
      <x:c r="D66" t="str">
        <x:v>work pack</x:v>
      </x:c>
      <x:c r="E66" s="6"/>
      <x:c r="F66" s="8"/>
      <x:c r="G66" s="8"/>
      <x:c r="H66" s="8"/>
      <x:c r="I66" s="8"/>
      <x:c r="J66" s="8"/>
      <x:c r="K66" s="8"/>
      <x:c r="L66" s="8"/>
      <x:c r="M66" s="8"/>
      <x:c r="N66" s="8"/>
      <x:c r="O66" t="str">
        <x:f>IF(COUNTIF(G66:N66,"Yes")=8,"READY",IF(COUNTIF(G66:N66,"No")&gt;0,"BLOCKED","NOT READY"))</x:f>
        <x:v>NOT READY</x:v>
      </x:c>
      <x:c r="P66"/>
    </x:row>
    <x:row r="67">
      <x:c r="A67" t="str">
        <x:v>B09-I02</x:v>
      </x:c>
      <x:c r="B67" t="str">
        <x:v>SCA-SC1</x:v>
      </x:c>
      <x:c r="C67" t="str">
        <x:v>Temporary works</x:v>
      </x:c>
      <x:c r="D67" t="str">
        <x:v>work pack</x:v>
      </x:c>
      <x:c r="E67" s="6"/>
      <x:c r="F67" s="8"/>
      <x:c r="G67" s="8"/>
      <x:c r="H67" s="8"/>
      <x:c r="I67" s="8"/>
      <x:c r="J67" s="8"/>
      <x:c r="K67" s="8"/>
      <x:c r="L67" s="8"/>
      <x:c r="M67" s="8"/>
      <x:c r="N67" s="8"/>
      <x:c r="O67" t="str">
        <x:f>IF(COUNTIF(G67:N67,"Yes")=8,"READY",IF(COUNTIF(G67:N67,"No")&gt;0,"BLOCKED","NOT READY"))</x:f>
        <x:v>NOT READY</x:v>
      </x:c>
      <x:c r="P67"/>
    </x:row>
    <x:row r="68">
      <x:c r="A68" t="str">
        <x:v>B09-I03</x:v>
      </x:c>
      <x:c r="B68" t="str">
        <x:v>SCA-SC1</x:v>
      </x:c>
      <x:c r="C68" t="str">
        <x:v>Shop fabrication</x:v>
      </x:c>
      <x:c r="D68" t="str">
        <x:v>MT</x:v>
      </x:c>
      <x:c r="E68" s="6" t="n">
        <x:v>63</x:v>
      </x:c>
      <x:c r="F68" s="8"/>
      <x:c r="G68" s="8"/>
      <x:c r="H68" s="8"/>
      <x:c r="I68" s="8"/>
      <x:c r="J68" s="8"/>
      <x:c r="K68" s="8"/>
      <x:c r="L68" s="8"/>
      <x:c r="M68" s="8"/>
      <x:c r="N68" s="8"/>
      <x:c r="O68" t="str">
        <x:f>IF(COUNTIF(G68:N68,"Yes")=8,"READY",IF(COUNTIF(G68:N68,"No")&gt;0,"BLOCKED","NOT READY"))</x:f>
        <x:v>NOT READY</x:v>
      </x:c>
      <x:c r="P68"/>
    </x:row>
    <x:row r="69">
      <x:c r="A69" t="str">
        <x:v>B09-I04</x:v>
      </x:c>
      <x:c r="B69" t="str">
        <x:v>SCA-SC1</x:v>
      </x:c>
      <x:c r="C69" t="str">
        <x:v>Offshore installation</x:v>
      </x:c>
      <x:c r="D69" t="str">
        <x:v>MT</x:v>
      </x:c>
      <x:c r="E69" s="6" t="n">
        <x:v>63</x:v>
      </x:c>
      <x:c r="F69" s="8"/>
      <x:c r="G69" s="8"/>
      <x:c r="H69" s="8"/>
      <x:c r="I69" s="8"/>
      <x:c r="J69" s="8"/>
      <x:c r="K69" s="8"/>
      <x:c r="L69" s="8"/>
      <x:c r="M69" s="8"/>
      <x:c r="N69" s="8"/>
      <x:c r="O69" t="str">
        <x:f>IF(COUNTIF(G69:N69,"Yes")=8,"READY",IF(COUNTIF(G69:N69,"No")&gt;0,"BLOCKED","NOT READY"))</x:f>
        <x:v>NOT READY</x:v>
      </x:c>
      <x:c r="P69"/>
    </x:row>
    <x:row r="70">
      <x:c r="A70" t="str">
        <x:v>B09-I05</x:v>
      </x:c>
      <x:c r="B70" t="str">
        <x:v>SCA-SC1</x:v>
      </x:c>
      <x:c r="C70" t="str">
        <x:v>Welding &amp; NDT</x:v>
      </x:c>
      <x:c r="D70" t="str">
        <x:v>work pack</x:v>
      </x:c>
      <x:c r="E70" s="6"/>
      <x:c r="F70" s="8"/>
      <x:c r="G70" s="8"/>
      <x:c r="H70" s="8"/>
      <x:c r="I70" s="8"/>
      <x:c r="J70" s="8"/>
      <x:c r="K70" s="8"/>
      <x:c r="L70" s="8"/>
      <x:c r="M70" s="8"/>
      <x:c r="N70" s="8"/>
      <x:c r="O70" t="str">
        <x:f>IF(COUNTIF(G70:N70,"Yes")=8,"READY",IF(COUNTIF(G70:N70,"No")&gt;0,"BLOCKED","NOT READY"))</x:f>
        <x:v>NOT READY</x:v>
      </x:c>
      <x:c r="P70"/>
    </x:row>
    <x:row r="71">
      <x:c r="A71" t="str">
        <x:v>B09-I06</x:v>
      </x:c>
      <x:c r="B71" t="str">
        <x:v>SCA-SC1</x:v>
      </x:c>
      <x:c r="C71" t="str">
        <x:v>Demolition</x:v>
      </x:c>
      <x:c r="D71" t="str">
        <x:v>MT</x:v>
      </x:c>
      <x:c r="E71" s="6" t="n">
        <x:v>15</x:v>
      </x:c>
      <x:c r="F71" s="8"/>
      <x:c r="G71" s="8"/>
      <x:c r="H71" s="8"/>
      <x:c r="I71" s="8"/>
      <x:c r="J71" s="8"/>
      <x:c r="K71" s="8"/>
      <x:c r="L71" s="8"/>
      <x:c r="M71" s="8"/>
      <x:c r="N71" s="8"/>
      <x:c r="O71" t="str">
        <x:f>IF(COUNTIF(G71:N71,"Yes")=8,"READY",IF(COUNTIF(G71:N71,"No")&gt;0,"BLOCKED","NOT READY"))</x:f>
        <x:v>NOT READY</x:v>
      </x:c>
      <x:c r="P71"/>
    </x:row>
    <x:row r="72">
      <x:c r="A72" t="str">
        <x:v>B09-I07</x:v>
      </x:c>
      <x:c r="B72" t="str">
        <x:v>SCA-SC1</x:v>
      </x:c>
      <x:c r="C72" t="str">
        <x:v>Coating / finishing</x:v>
      </x:c>
      <x:c r="D72" t="str">
        <x:v>m2</x:v>
      </x:c>
      <x:c r="E72" s="6"/>
      <x:c r="F72" s="8"/>
      <x:c r="G72" s="8"/>
      <x:c r="H72" s="8"/>
      <x:c r="I72" s="8"/>
      <x:c r="J72" s="8"/>
      <x:c r="K72" s="8"/>
      <x:c r="L72" s="8"/>
      <x:c r="M72" s="8"/>
      <x:c r="N72" s="8"/>
      <x:c r="O72" t="str">
        <x:f>IF(COUNTIF(G72:N72,"Yes")=8,"READY",IF(COUNTIF(G72:N72,"No")&gt;0,"BLOCKED","NOT READY"))</x:f>
        <x:v>NOT READY</x:v>
      </x:c>
      <x:c r="P72"/>
    </x:row>
    <x:row r="73">
      <x:c r="A73" t="str">
        <x:v>B09-I08</x:v>
      </x:c>
      <x:c r="B73" t="str">
        <x:v>SCA-SC1</x:v>
      </x:c>
      <x:c r="C73" t="str">
        <x:v>Completion &amp; dossier</x:v>
      </x:c>
      <x:c r="D73" t="str">
        <x:v>work pack</x:v>
      </x:c>
      <x:c r="E73" s="6"/>
      <x:c r="F73" s="8"/>
      <x:c r="G73" s="8"/>
      <x:c r="H73" s="8"/>
      <x:c r="I73" s="8"/>
      <x:c r="J73" s="8"/>
      <x:c r="K73" s="8"/>
      <x:c r="L73" s="8"/>
      <x:c r="M73" s="8"/>
      <x:c r="N73" s="8"/>
      <x:c r="O73" t="str">
        <x:f>IF(COUNTIF(G73:N73,"Yes")=8,"READY",IF(COUNTIF(G73:N73,"No")&gt;0,"BLOCKED","NOT READY"))</x:f>
        <x:v>NOT READY</x:v>
      </x:c>
      <x:c r="P73"/>
    </x:row>
    <x:row r="74">
      <x:c r="A74" t="str">
        <x:v>B10-I01</x:v>
      </x:c>
      <x:c r="B74" t="str">
        <x:v>SCA-SCF</x:v>
      </x:c>
      <x:c r="C74" t="str">
        <x:v>Survey &amp; access</x:v>
      </x:c>
      <x:c r="D74" t="str">
        <x:v>work pack</x:v>
      </x:c>
      <x:c r="E74" s="6"/>
      <x:c r="F74" s="8"/>
      <x:c r="G74" s="8"/>
      <x:c r="H74" s="8"/>
      <x:c r="I74" s="8"/>
      <x:c r="J74" s="8"/>
      <x:c r="K74" s="8"/>
      <x:c r="L74" s="8"/>
      <x:c r="M74" s="8"/>
      <x:c r="N74" s="8"/>
      <x:c r="O74" t="str">
        <x:f>IF(COUNTIF(G74:N74,"Yes")=8,"READY",IF(COUNTIF(G74:N74,"No")&gt;0,"BLOCKED","NOT READY"))</x:f>
        <x:v>NOT READY</x:v>
      </x:c>
      <x:c r="P74"/>
    </x:row>
    <x:row r="75">
      <x:c r="A75" t="str">
        <x:v>B10-I02</x:v>
      </x:c>
      <x:c r="B75" t="str">
        <x:v>SCA-SCF</x:v>
      </x:c>
      <x:c r="C75" t="str">
        <x:v>Temporary works</x:v>
      </x:c>
      <x:c r="D75" t="str">
        <x:v>work pack</x:v>
      </x:c>
      <x:c r="E75" s="6"/>
      <x:c r="F75" s="8"/>
      <x:c r="G75" s="8"/>
      <x:c r="H75" s="8"/>
      <x:c r="I75" s="8"/>
      <x:c r="J75" s="8"/>
      <x:c r="K75" s="8"/>
      <x:c r="L75" s="8"/>
      <x:c r="M75" s="8"/>
      <x:c r="N75" s="8"/>
      <x:c r="O75" t="str">
        <x:f>IF(COUNTIF(G75:N75,"Yes")=8,"READY",IF(COUNTIF(G75:N75,"No")&gt;0,"BLOCKED","NOT READY"))</x:f>
        <x:v>NOT READY</x:v>
      </x:c>
      <x:c r="P75"/>
    </x:row>
    <x:row r="76">
      <x:c r="A76" t="str">
        <x:v>B10-I03</x:v>
      </x:c>
      <x:c r="B76" t="str">
        <x:v>SCA-SCF</x:v>
      </x:c>
      <x:c r="C76" t="str">
        <x:v>Shop fabrication</x:v>
      </x:c>
      <x:c r="D76" t="str">
        <x:v>MT</x:v>
      </x:c>
      <x:c r="E76" s="6" t="n">
        <x:v>119</x:v>
      </x:c>
      <x:c r="F76" s="8"/>
      <x:c r="G76" s="8"/>
      <x:c r="H76" s="8"/>
      <x:c r="I76" s="8"/>
      <x:c r="J76" s="8"/>
      <x:c r="K76" s="8"/>
      <x:c r="L76" s="8"/>
      <x:c r="M76" s="8"/>
      <x:c r="N76" s="8"/>
      <x:c r="O76" t="str">
        <x:f>IF(COUNTIF(G76:N76,"Yes")=8,"READY",IF(COUNTIF(G76:N76,"No")&gt;0,"BLOCKED","NOT READY"))</x:f>
        <x:v>NOT READY</x:v>
      </x:c>
      <x:c r="P76"/>
    </x:row>
    <x:row r="77">
      <x:c r="A77" t="str">
        <x:v>B10-I04</x:v>
      </x:c>
      <x:c r="B77" t="str">
        <x:v>SCA-SCF</x:v>
      </x:c>
      <x:c r="C77" t="str">
        <x:v>Offshore installation</x:v>
      </x:c>
      <x:c r="D77" t="str">
        <x:v>MT</x:v>
      </x:c>
      <x:c r="E77" s="6" t="n">
        <x:v>119</x:v>
      </x:c>
      <x:c r="F77" s="8"/>
      <x:c r="G77" s="8"/>
      <x:c r="H77" s="8"/>
      <x:c r="I77" s="8"/>
      <x:c r="J77" s="8"/>
      <x:c r="K77" s="8"/>
      <x:c r="L77" s="8"/>
      <x:c r="M77" s="8"/>
      <x:c r="N77" s="8"/>
      <x:c r="O77" t="str">
        <x:f>IF(COUNTIF(G77:N77,"Yes")=8,"READY",IF(COUNTIF(G77:N77,"No")&gt;0,"BLOCKED","NOT READY"))</x:f>
        <x:v>NOT READY</x:v>
      </x:c>
      <x:c r="P77"/>
    </x:row>
    <x:row r="78">
      <x:c r="A78" t="str">
        <x:v>B10-I05</x:v>
      </x:c>
      <x:c r="B78" t="str">
        <x:v>SCA-SCF</x:v>
      </x:c>
      <x:c r="C78" t="str">
        <x:v>Welding &amp; NDT</x:v>
      </x:c>
      <x:c r="D78" t="str">
        <x:v>work pack</x:v>
      </x:c>
      <x:c r="E78" s="6"/>
      <x:c r="F78" s="8"/>
      <x:c r="G78" s="8"/>
      <x:c r="H78" s="8"/>
      <x:c r="I78" s="8"/>
      <x:c r="J78" s="8"/>
      <x:c r="K78" s="8"/>
      <x:c r="L78" s="8"/>
      <x:c r="M78" s="8"/>
      <x:c r="N78" s="8"/>
      <x:c r="O78" t="str">
        <x:f>IF(COUNTIF(G78:N78,"Yes")=8,"READY",IF(COUNTIF(G78:N78,"No")&gt;0,"BLOCKED","NOT READY"))</x:f>
        <x:v>NOT READY</x:v>
      </x:c>
      <x:c r="P78"/>
    </x:row>
    <x:row r="79">
      <x:c r="A79" t="str">
        <x:v>B10-I06</x:v>
      </x:c>
      <x:c r="B79" t="str">
        <x:v>SCA-SCF</x:v>
      </x:c>
      <x:c r="C79" t="str">
        <x:v>Demolition</x:v>
      </x:c>
      <x:c r="D79" t="str">
        <x:v>MT</x:v>
      </x:c>
      <x:c r="E79" s="6" t="n">
        <x:v>30</x:v>
      </x:c>
      <x:c r="F79" s="8"/>
      <x:c r="G79" s="8"/>
      <x:c r="H79" s="8"/>
      <x:c r="I79" s="8"/>
      <x:c r="J79" s="8"/>
      <x:c r="K79" s="8"/>
      <x:c r="L79" s="8"/>
      <x:c r="M79" s="8"/>
      <x:c r="N79" s="8"/>
      <x:c r="O79" t="str">
        <x:f>IF(COUNTIF(G79:N79,"Yes")=8,"READY",IF(COUNTIF(G79:N79,"No")&gt;0,"BLOCKED","NOT READY"))</x:f>
        <x:v>NOT READY</x:v>
      </x:c>
      <x:c r="P79"/>
    </x:row>
    <x:row r="80">
      <x:c r="A80" t="str">
        <x:v>B10-I07</x:v>
      </x:c>
      <x:c r="B80" t="str">
        <x:v>SCA-SCF</x:v>
      </x:c>
      <x:c r="C80" t="str">
        <x:v>Coating / finishing</x:v>
      </x:c>
      <x:c r="D80" t="str">
        <x:v>m2</x:v>
      </x:c>
      <x:c r="E80" s="6"/>
      <x:c r="F80" s="8"/>
      <x:c r="G80" s="8"/>
      <x:c r="H80" s="8"/>
      <x:c r="I80" s="8"/>
      <x:c r="J80" s="8"/>
      <x:c r="K80" s="8"/>
      <x:c r="L80" s="8"/>
      <x:c r="M80" s="8"/>
      <x:c r="N80" s="8"/>
      <x:c r="O80" t="str">
        <x:f>IF(COUNTIF(G80:N80,"Yes")=8,"READY",IF(COUNTIF(G80:N80,"No")&gt;0,"BLOCKED","NOT READY"))</x:f>
        <x:v>NOT READY</x:v>
      </x:c>
      <x:c r="P80"/>
    </x:row>
    <x:row r="81">
      <x:c r="A81" t="str">
        <x:v>B10-I08</x:v>
      </x:c>
      <x:c r="B81" t="str">
        <x:v>SCA-SCF</x:v>
      </x:c>
      <x:c r="C81" t="str">
        <x:v>Completion &amp; dossier</x:v>
      </x:c>
      <x:c r="D81" t="str">
        <x:v>work pack</x:v>
      </x:c>
      <x:c r="E81" s="6"/>
      <x:c r="F81" s="8"/>
      <x:c r="G81" s="8"/>
      <x:c r="H81" s="8"/>
      <x:c r="I81" s="8"/>
      <x:c r="J81" s="8"/>
      <x:c r="K81" s="8"/>
      <x:c r="L81" s="8"/>
      <x:c r="M81" s="8"/>
      <x:c r="N81" s="8"/>
      <x:c r="O81" t="str">
        <x:f>IF(COUNTIF(G81:N81,"Yes")=8,"READY",IF(COUNTIF(G81:N81,"No")&gt;0,"BLOCKED","NOT READY"))</x:f>
        <x:v>NOT READY</x:v>
      </x:c>
      <x:c r="P81"/>
    </x:row>
  </x:sheetData>
  <x:dataValidations count="1">
    <x:dataValidation type="list" sqref="G2:N81">
      <x:formula1>"Yes,No,Pending,N/A"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9" customHeight="1">
      <x:c r="A1" s="3" t="str">
        <x:v>Date</x:v>
      </x:c>
      <x:c r="B1" s="3" t="str">
        <x:v>Bridge</x:v>
      </x:c>
      <x:c r="C1" s="3" t="str">
        <x:v>Workpack ID</x:v>
      </x:c>
      <x:c r="D1" s="3" t="str">
        <x:v>Crew</x:v>
      </x:c>
      <x:c r="E1" s="3" t="str">
        <x:v>Personnel</x:v>
      </x:c>
      <x:c r="F1" s="3" t="str">
        <x:v>Shift Hours</x:v>
      </x:c>
      <x:c r="G1" s="3" t="str">
        <x:v>Planned Qty</x:v>
      </x:c>
      <x:c r="H1" s="3" t="str">
        <x:v>Accepted Qty</x:v>
      </x:c>
      <x:c r="I1" s="3" t="str">
        <x:v>Unit</x:v>
      </x:c>
      <x:c r="J1" s="3" t="str">
        <x:v>Lost Hours</x:v>
      </x:c>
      <x:c r="K1" s="3" t="str">
        <x:v>Loss Reason</x:v>
      </x:c>
      <x:c r="L1" s="3" t="str">
        <x:v>Vessel</x:v>
      </x:c>
      <x:c r="M1" s="3" t="str">
        <x:v>PTW No</x:v>
      </x:c>
      <x:c r="N1" s="3" t="str">
        <x:v>Inspection Ref</x:v>
      </x:c>
      <x:c r="O1" s="3" t="str">
        <x:v>Supervisor</x:v>
      </x:c>
    </x:row>
    <x:row r="2">
      <x:c r="A2" s="10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</x:row>
    <x:row r="3">
      <x:c r="A3" s="10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s="10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>
      <x:c r="A5" s="10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</x:row>
    <x:row r="6">
      <x:c r="A6" s="10"/>
      <x:c r="B6"/>
      <x:c r="C6"/>
      <x:c r="D6"/>
      <x:c r="E6"/>
      <x:c r="F6"/>
      <x:c r="G6"/>
      <x:c r="H6"/>
      <x:c r="I6"/>
      <x:c r="J6"/>
      <x:c r="K6"/>
      <x:c r="L6"/>
      <x:c r="M6"/>
      <x:c r="N6"/>
      <x:c r="O6"/>
    </x:row>
    <x:row r="7">
      <x:c r="A7" s="10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</x:row>
    <x:row r="8">
      <x:c r="A8" s="10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</x:row>
    <x:row r="9">
      <x:c r="A9" s="10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</x:row>
    <x:row r="10">
      <x:c r="A10" s="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</x:row>
    <x:row r="11">
      <x:c r="A11" s="10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</x:row>
    <x:row r="12">
      <x:c r="A12" s="10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</x:row>
    <x:row r="13">
      <x:c r="A13" s="10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</x:row>
    <x:row r="14">
      <x:c r="A14" s="10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</x:row>
    <x:row r="15">
      <x:c r="A15" s="10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</x:row>
    <x:row r="16">
      <x:c r="A16" s="10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</x:row>
    <x:row r="17">
      <x:c r="A17" s="10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  <x:row r="18">
      <x:c r="A18" s="10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</x:row>
    <x:row r="19">
      <x:c r="A19" s="10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</x:row>
    <x:row r="20">
      <x:c r="A20" s="1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</x:row>
    <x:row r="21">
      <x:c r="A21" s="10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</x:row>
    <x:row r="22">
      <x:c r="A22" s="10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</x:row>
    <x:row r="23">
      <x:c r="A23" s="10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</x:row>
    <x:row r="24">
      <x:c r="A24" s="10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</x:row>
    <x:row r="25">
      <x:c r="A25" s="10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</x:row>
    <x:row r="26">
      <x:c r="A26" s="10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</x:row>
    <x:row r="27">
      <x:c r="A27" s="10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</x:row>
    <x:row r="28">
      <x:c r="A28" s="10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</x:row>
    <x:row r="29">
      <x:c r="A29" s="10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</x:row>
    <x:row r="30">
      <x:c r="A30" s="1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</x:row>
    <x:row r="31">
      <x:c r="A31" s="10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</x:row>
    <x:row r="32">
      <x:c r="A32" s="10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</x:row>
    <x:row r="33">
      <x:c r="A33" s="10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</x:row>
    <x:row r="34">
      <x:c r="A34" s="10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</x:row>
    <x:row r="35">
      <x:c r="A35" s="10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</x:row>
    <x:row r="36">
      <x:c r="A36" s="10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</x:row>
    <x:row r="37">
      <x:c r="A37" s="10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</x:row>
    <x:row r="38">
      <x:c r="A38" s="10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</x:row>
    <x:row r="39">
      <x:c r="A39" s="10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</x:row>
    <x:row r="40">
      <x:c r="A40" s="1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</x:row>
    <x:row r="41">
      <x:c r="A41" s="10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</x:row>
    <x:row r="42">
      <x:c r="A42" s="10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</x:row>
    <x:row r="43">
      <x:c r="A43" s="10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</x:row>
    <x:row r="44">
      <x:c r="A44" s="10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</x:row>
    <x:row r="45">
      <x:c r="A45" s="10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</x:row>
    <x:row r="46">
      <x:c r="A46" s="10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</x:row>
    <x:row r="47">
      <x:c r="A47" s="10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</x:row>
    <x:row r="48">
      <x:c r="A48" s="10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</x:row>
    <x:row r="49">
      <x:c r="A49" s="10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</x:row>
    <x:row r="50">
      <x:c r="A50" s="1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</x:row>
    <x:row r="51">
      <x:c r="A51" s="10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</x:row>
    <x:row r="52">
      <x:c r="A52" s="10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</x:row>
    <x:row r="53">
      <x:c r="A53" s="10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</x:row>
    <x:row r="54">
      <x:c r="A54" s="10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</x:row>
    <x:row r="55">
      <x:c r="A55" s="10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</x:row>
    <x:row r="56">
      <x:c r="A56" s="10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</x:row>
    <x:row r="57">
      <x:c r="A57" s="10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</x:row>
    <x:row r="58">
      <x:c r="A58" s="10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</x:row>
    <x:row r="59">
      <x:c r="A59" s="10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</x:row>
    <x:row r="60">
      <x:c r="A60" s="1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</x:row>
    <x:row r="61">
      <x:c r="A61" s="10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</x:row>
    <x:row r="62">
      <x:c r="A62" s="10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</x:row>
    <x:row r="63">
      <x:c r="A63" s="10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</x:row>
    <x:row r="64">
      <x:c r="A64" s="10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</x:row>
    <x:row r="65">
      <x:c r="A65" s="10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</x:row>
    <x:row r="66">
      <x:c r="A66" s="10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</x:row>
    <x:row r="67">
      <x:c r="A67" s="10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</x:row>
    <x:row r="68">
      <x:c r="A68" s="10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</x:row>
    <x:row r="69">
      <x:c r="A69" s="10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</x:row>
    <x:row r="70">
      <x:c r="A70" s="1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</x:row>
    <x:row r="71">
      <x:c r="A71" s="10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</x:row>
    <x:row r="72">
      <x:c r="A72" s="10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</x:row>
    <x:row r="73">
      <x:c r="A73" s="10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</x:row>
    <x:row r="74">
      <x:c r="A74" s="10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</x:row>
    <x:row r="75">
      <x:c r="A75" s="10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</x:row>
    <x:row r="76">
      <x:c r="A76" s="10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</x:row>
    <x:row r="77">
      <x:c r="A77" s="10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</x:row>
    <x:row r="78">
      <x:c r="A78" s="10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</x:row>
    <x:row r="79">
      <x:c r="A79" s="10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</x:row>
    <x:row r="80">
      <x:c r="A80" s="1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</x:row>
    <x:row r="81">
      <x:c r="A81" s="10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</x:row>
    <x:row r="82">
      <x:c r="A82" s="10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</x:row>
    <x:row r="83">
      <x:c r="A83" s="10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</x:row>
    <x:row r="84">
      <x:c r="A84" s="10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</x:row>
    <x:row r="85">
      <x:c r="A85" s="10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9" customHeight="1">
      <x:c r="A1" s="3" t="str">
        <x:v>Date</x:v>
      </x:c>
      <x:c r="B1" s="3" t="str">
        <x:v>Bridge</x:v>
      </x:c>
      <x:c r="C1" s="3" t="str">
        <x:v>Workpack ID</x:v>
      </x:c>
      <x:c r="D1" s="3" t="str">
        <x:v>Target Qty</x:v>
      </x:c>
      <x:c r="E1" s="3" t="str">
        <x:v>Unit</x:v>
      </x:c>
      <x:c r="F1" s="3" t="str">
        <x:v>Crew</x:v>
      </x:c>
      <x:c r="G1" s="3" t="str">
        <x:v>Equipment / Vessel</x:v>
      </x:c>
      <x:c r="H1" s="3" t="str">
        <x:v>Material Ready</x:v>
      </x:c>
      <x:c r="I1" s="3" t="str">
        <x:v>Permit Ready</x:v>
      </x:c>
      <x:c r="J1" s="3" t="str">
        <x:v>Constraint Owner</x:v>
      </x:c>
      <x:c r="K1" s="3" t="str">
        <x:v>Commitment</x:v>
      </x:c>
    </x:row>
    <x:row r="2">
      <x:c r="A2" s="10" t="n">
        <x:v>46327</x:v>
      </x:c>
      <x:c r="B2"/>
      <x:c r="C2"/>
      <x:c r="D2"/>
      <x:c r="E2"/>
      <x:c r="F2"/>
      <x:c r="G2"/>
      <x:c r="H2"/>
      <x:c r="I2"/>
      <x:c r="J2"/>
      <x:c r="K2"/>
    </x:row>
    <x:row r="3">
      <x:c r="A3" s="10" t="n">
        <x:v>46328</x:v>
      </x:c>
      <x:c r="B3"/>
      <x:c r="C3"/>
      <x:c r="D3"/>
      <x:c r="E3"/>
      <x:c r="F3"/>
      <x:c r="G3"/>
      <x:c r="H3"/>
      <x:c r="I3"/>
      <x:c r="J3"/>
      <x:c r="K3"/>
    </x:row>
    <x:row r="4">
      <x:c r="A4" s="10" t="n">
        <x:v>46329</x:v>
      </x:c>
      <x:c r="B4"/>
      <x:c r="C4"/>
      <x:c r="D4"/>
      <x:c r="E4"/>
      <x:c r="F4"/>
      <x:c r="G4"/>
      <x:c r="H4"/>
      <x:c r="I4"/>
      <x:c r="J4"/>
      <x:c r="K4"/>
    </x:row>
    <x:row r="5">
      <x:c r="A5" s="10" t="n">
        <x:v>46330</x:v>
      </x:c>
      <x:c r="B5"/>
      <x:c r="C5"/>
      <x:c r="D5"/>
      <x:c r="E5"/>
      <x:c r="F5"/>
      <x:c r="G5"/>
      <x:c r="H5"/>
      <x:c r="I5"/>
      <x:c r="J5"/>
      <x:c r="K5"/>
    </x:row>
    <x:row r="6">
      <x:c r="A6" s="10" t="n">
        <x:v>46331</x:v>
      </x:c>
      <x:c r="B6"/>
      <x:c r="C6"/>
      <x:c r="D6"/>
      <x:c r="E6"/>
      <x:c r="F6"/>
      <x:c r="G6"/>
      <x:c r="H6"/>
      <x:c r="I6"/>
      <x:c r="J6"/>
      <x:c r="K6"/>
    </x:row>
    <x:row r="7">
      <x:c r="A7" s="10" t="n">
        <x:v>46332</x:v>
      </x:c>
      <x:c r="B7"/>
      <x:c r="C7"/>
      <x:c r="D7"/>
      <x:c r="E7"/>
      <x:c r="F7"/>
      <x:c r="G7"/>
      <x:c r="H7"/>
      <x:c r="I7"/>
      <x:c r="J7"/>
      <x:c r="K7"/>
    </x:row>
    <x:row r="8">
      <x:c r="A8" s="10" t="n">
        <x:v>46333</x:v>
      </x:c>
      <x:c r="B8"/>
      <x:c r="C8"/>
      <x:c r="D8"/>
      <x:c r="E8"/>
      <x:c r="F8"/>
      <x:c r="G8"/>
      <x:c r="H8"/>
      <x:c r="I8"/>
      <x:c r="J8"/>
      <x:c r="K8"/>
    </x:row>
    <x:row r="9">
      <x:c r="A9" s="10" t="n">
        <x:v>46334</x:v>
      </x:c>
      <x:c r="B9"/>
      <x:c r="C9"/>
      <x:c r="D9"/>
      <x:c r="E9"/>
      <x:c r="F9"/>
      <x:c r="G9"/>
      <x:c r="H9"/>
      <x:c r="I9"/>
      <x:c r="J9"/>
      <x:c r="K9"/>
    </x:row>
    <x:row r="10">
      <x:c r="A10" s="10" t="n">
        <x:v>46335</x:v>
      </x:c>
      <x:c r="B10"/>
      <x:c r="C10"/>
      <x:c r="D10"/>
      <x:c r="E10"/>
      <x:c r="F10"/>
      <x:c r="G10"/>
      <x:c r="H10"/>
      <x:c r="I10"/>
      <x:c r="J10"/>
      <x:c r="K10"/>
    </x:row>
    <x:row r="11">
      <x:c r="A11" s="10" t="n">
        <x:v>46336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s="10" t="n">
        <x:v>46337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 s="10" t="n">
        <x:v>46338</x:v>
      </x:c>
      <x:c r="B13"/>
      <x:c r="C13"/>
      <x:c r="D13"/>
      <x:c r="E13"/>
      <x:c r="F13"/>
      <x:c r="G13"/>
      <x:c r="H13"/>
      <x:c r="I13"/>
      <x:c r="J13"/>
      <x:c r="K13"/>
    </x:row>
    <x:row r="14">
      <x:c r="A14" s="10" t="n">
        <x:v>46339</x:v>
      </x:c>
      <x:c r="B14"/>
      <x:c r="C14"/>
      <x:c r="D14"/>
      <x:c r="E14"/>
      <x:c r="F14"/>
      <x:c r="G14"/>
      <x:c r="H14"/>
      <x:c r="I14"/>
      <x:c r="J14"/>
      <x:c r="K14"/>
    </x:row>
    <x:row r="15">
      <x:c r="A15" s="10" t="n">
        <x:v>46340</x:v>
      </x:c>
      <x:c r="B15"/>
      <x:c r="C15"/>
      <x:c r="D15"/>
      <x:c r="E15"/>
      <x:c r="F15"/>
      <x:c r="G15"/>
      <x:c r="H15"/>
      <x:c r="I15"/>
      <x:c r="J15"/>
      <x:c r="K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3" t="str">
        <x:v>Week</x:v>
      </x:c>
      <x:c r="B1" s="3" t="str">
        <x:v>Constraint Class</x:v>
      </x:c>
      <x:c r="C1" s="3" t="str">
        <x:v>Bridge / Workpack</x:v>
      </x:c>
      <x:c r="D1" s="3" t="str">
        <x:v>Constraint / Action</x:v>
      </x:c>
      <x:c r="E1" s="3" t="str">
        <x:v>Owner</x:v>
      </x:c>
      <x:c r="F1" s="3" t="str">
        <x:v>Due Date</x:v>
      </x:c>
      <x:c r="G1" s="3" t="str">
        <x:v>Status</x:v>
      </x:c>
      <x:c r="H1" s="3" t="str">
        <x:v>Escalation</x:v>
      </x:c>
    </x:row>
    <x:row r="2">
      <x:c r="A2" t="n">
        <x:v>1</x:v>
      </x:c>
      <x:c r="B2" t="str">
        <x:v>Engineering</x:v>
      </x:c>
      <x:c r="C2"/>
      <x:c r="D2"/>
      <x:c r="E2"/>
      <x:c r="F2"/>
      <x:c r="G2" t="str">
        <x:v>Open</x:v>
      </x:c>
      <x:c r="H2"/>
    </x:row>
    <x:row r="3">
      <x:c r="A3" t="n">
        <x:v>1</x:v>
      </x:c>
      <x:c r="B3" t="str">
        <x:v>Materials</x:v>
      </x:c>
      <x:c r="C3"/>
      <x:c r="D3"/>
      <x:c r="E3"/>
      <x:c r="F3"/>
      <x:c r="G3" t="str">
        <x:v>Open</x:v>
      </x:c>
      <x:c r="H3"/>
    </x:row>
    <x:row r="4">
      <x:c r="A4" t="n">
        <x:v>1</x:v>
      </x:c>
      <x:c r="B4" t="str">
        <x:v>Fabrication</x:v>
      </x:c>
      <x:c r="C4"/>
      <x:c r="D4"/>
      <x:c r="E4"/>
      <x:c r="F4"/>
      <x:c r="G4" t="str">
        <x:v>Open</x:v>
      </x:c>
      <x:c r="H4"/>
    </x:row>
    <x:row r="5">
      <x:c r="A5" t="n">
        <x:v>1</x:v>
      </x:c>
      <x:c r="B5" t="str">
        <x:v>Marine</x:v>
      </x:c>
      <x:c r="C5"/>
      <x:c r="D5"/>
      <x:c r="E5"/>
      <x:c r="F5"/>
      <x:c r="G5" t="str">
        <x:v>Open</x:v>
      </x:c>
      <x:c r="H5"/>
    </x:row>
    <x:row r="6">
      <x:c r="A6" t="n">
        <x:v>1</x:v>
      </x:c>
      <x:c r="B6" t="str">
        <x:v>Access / permits</x:v>
      </x:c>
      <x:c r="C6"/>
      <x:c r="D6"/>
      <x:c r="E6"/>
      <x:c r="F6"/>
      <x:c r="G6" t="str">
        <x:v>Open</x:v>
      </x:c>
      <x:c r="H6"/>
    </x:row>
    <x:row r="7">
      <x:c r="A7" t="n">
        <x:v>1</x:v>
      </x:c>
      <x:c r="B7" t="str">
        <x:v>QA/QC</x:v>
      </x:c>
      <x:c r="C7"/>
      <x:c r="D7"/>
      <x:c r="E7"/>
      <x:c r="F7"/>
      <x:c r="G7" t="str">
        <x:v>Open</x:v>
      </x:c>
      <x:c r="H7"/>
    </x:row>
    <x:row r="8">
      <x:c r="A8" t="n">
        <x:v>2</x:v>
      </x:c>
      <x:c r="B8" t="str">
        <x:v>Engineering</x:v>
      </x:c>
      <x:c r="C8"/>
      <x:c r="D8"/>
      <x:c r="E8"/>
      <x:c r="F8"/>
      <x:c r="G8" t="str">
        <x:v>Open</x:v>
      </x:c>
      <x:c r="H8"/>
    </x:row>
    <x:row r="9">
      <x:c r="A9" t="n">
        <x:v>2</x:v>
      </x:c>
      <x:c r="B9" t="str">
        <x:v>Materials</x:v>
      </x:c>
      <x:c r="C9"/>
      <x:c r="D9"/>
      <x:c r="E9"/>
      <x:c r="F9"/>
      <x:c r="G9" t="str">
        <x:v>Open</x:v>
      </x:c>
      <x:c r="H9"/>
    </x:row>
    <x:row r="10">
      <x:c r="A10" t="n">
        <x:v>2</x:v>
      </x:c>
      <x:c r="B10" t="str">
        <x:v>Fabrication</x:v>
      </x:c>
      <x:c r="C10"/>
      <x:c r="D10"/>
      <x:c r="E10"/>
      <x:c r="F10"/>
      <x:c r="G10" t="str">
        <x:v>Open</x:v>
      </x:c>
      <x:c r="H10"/>
    </x:row>
    <x:row r="11">
      <x:c r="A11" t="n">
        <x:v>2</x:v>
      </x:c>
      <x:c r="B11" t="str">
        <x:v>Marine</x:v>
      </x:c>
      <x:c r="C11"/>
      <x:c r="D11"/>
      <x:c r="E11"/>
      <x:c r="F11"/>
      <x:c r="G11" t="str">
        <x:v>Open</x:v>
      </x:c>
      <x:c r="H11"/>
    </x:row>
    <x:row r="12">
      <x:c r="A12" t="n">
        <x:v>2</x:v>
      </x:c>
      <x:c r="B12" t="str">
        <x:v>Access / permits</x:v>
      </x:c>
      <x:c r="C12"/>
      <x:c r="D12"/>
      <x:c r="E12"/>
      <x:c r="F12"/>
      <x:c r="G12" t="str">
        <x:v>Open</x:v>
      </x:c>
      <x:c r="H12"/>
    </x:row>
    <x:row r="13">
      <x:c r="A13" t="n">
        <x:v>2</x:v>
      </x:c>
      <x:c r="B13" t="str">
        <x:v>QA/QC</x:v>
      </x:c>
      <x:c r="C13"/>
      <x:c r="D13"/>
      <x:c r="E13"/>
      <x:c r="F13"/>
      <x:c r="G13" t="str">
        <x:v>Open</x:v>
      </x:c>
      <x:c r="H13"/>
    </x:row>
    <x:row r="14">
      <x:c r="A14" t="n">
        <x:v>3</x:v>
      </x:c>
      <x:c r="B14" t="str">
        <x:v>Engineering</x:v>
      </x:c>
      <x:c r="C14"/>
      <x:c r="D14"/>
      <x:c r="E14"/>
      <x:c r="F14"/>
      <x:c r="G14" t="str">
        <x:v>Open</x:v>
      </x:c>
      <x:c r="H14"/>
    </x:row>
    <x:row r="15">
      <x:c r="A15" t="n">
        <x:v>3</x:v>
      </x:c>
      <x:c r="B15" t="str">
        <x:v>Materials</x:v>
      </x:c>
      <x:c r="C15"/>
      <x:c r="D15"/>
      <x:c r="E15"/>
      <x:c r="F15"/>
      <x:c r="G15" t="str">
        <x:v>Open</x:v>
      </x:c>
      <x:c r="H15"/>
    </x:row>
    <x:row r="16">
      <x:c r="A16" t="n">
        <x:v>3</x:v>
      </x:c>
      <x:c r="B16" t="str">
        <x:v>Fabrication</x:v>
      </x:c>
      <x:c r="C16"/>
      <x:c r="D16"/>
      <x:c r="E16"/>
      <x:c r="F16"/>
      <x:c r="G16" t="str">
        <x:v>Open</x:v>
      </x:c>
      <x:c r="H16"/>
    </x:row>
    <x:row r="17">
      <x:c r="A17" t="n">
        <x:v>3</x:v>
      </x:c>
      <x:c r="B17" t="str">
        <x:v>Marine</x:v>
      </x:c>
      <x:c r="C17"/>
      <x:c r="D17"/>
      <x:c r="E17"/>
      <x:c r="F17"/>
      <x:c r="G17" t="str">
        <x:v>Open</x:v>
      </x:c>
      <x:c r="H17"/>
    </x:row>
    <x:row r="18">
      <x:c r="A18" t="n">
        <x:v>3</x:v>
      </x:c>
      <x:c r="B18" t="str">
        <x:v>Access / permits</x:v>
      </x:c>
      <x:c r="C18"/>
      <x:c r="D18"/>
      <x:c r="E18"/>
      <x:c r="F18"/>
      <x:c r="G18" t="str">
        <x:v>Open</x:v>
      </x:c>
      <x:c r="H18"/>
    </x:row>
    <x:row r="19">
      <x:c r="A19" t="n">
        <x:v>3</x:v>
      </x:c>
      <x:c r="B19" t="str">
        <x:v>QA/QC</x:v>
      </x:c>
      <x:c r="C19"/>
      <x:c r="D19"/>
      <x:c r="E19"/>
      <x:c r="F19"/>
      <x:c r="G19" t="str">
        <x:v>Open</x:v>
      </x:c>
      <x:c r="H19"/>
    </x:row>
    <x:row r="20">
      <x:c r="A20" t="n">
        <x:v>4</x:v>
      </x:c>
      <x:c r="B20" t="str">
        <x:v>Engineering</x:v>
      </x:c>
      <x:c r="C20"/>
      <x:c r="D20"/>
      <x:c r="E20"/>
      <x:c r="F20"/>
      <x:c r="G20" t="str">
        <x:v>Open</x:v>
      </x:c>
      <x:c r="H20"/>
    </x:row>
    <x:row r="21">
      <x:c r="A21" t="n">
        <x:v>4</x:v>
      </x:c>
      <x:c r="B21" t="str">
        <x:v>Materials</x:v>
      </x:c>
      <x:c r="C21"/>
      <x:c r="D21"/>
      <x:c r="E21"/>
      <x:c r="F21"/>
      <x:c r="G21" t="str">
        <x:v>Open</x:v>
      </x:c>
      <x:c r="H21"/>
    </x:row>
    <x:row r="22">
      <x:c r="A22" t="n">
        <x:v>4</x:v>
      </x:c>
      <x:c r="B22" t="str">
        <x:v>Fabrication</x:v>
      </x:c>
      <x:c r="C22"/>
      <x:c r="D22"/>
      <x:c r="E22"/>
      <x:c r="F22"/>
      <x:c r="G22" t="str">
        <x:v>Open</x:v>
      </x:c>
      <x:c r="H22"/>
    </x:row>
    <x:row r="23">
      <x:c r="A23" t="n">
        <x:v>4</x:v>
      </x:c>
      <x:c r="B23" t="str">
        <x:v>Marine</x:v>
      </x:c>
      <x:c r="C23"/>
      <x:c r="D23"/>
      <x:c r="E23"/>
      <x:c r="F23"/>
      <x:c r="G23" t="str">
        <x:v>Open</x:v>
      </x:c>
      <x:c r="H23"/>
    </x:row>
    <x:row r="24">
      <x:c r="A24" t="n">
        <x:v>4</x:v>
      </x:c>
      <x:c r="B24" t="str">
        <x:v>Access / permits</x:v>
      </x:c>
      <x:c r="C24"/>
      <x:c r="D24"/>
      <x:c r="E24"/>
      <x:c r="F24"/>
      <x:c r="G24" t="str">
        <x:v>Open</x:v>
      </x:c>
      <x:c r="H24"/>
    </x:row>
    <x:row r="25">
      <x:c r="A25" t="n">
        <x:v>4</x:v>
      </x:c>
      <x:c r="B25" t="str">
        <x:v>QA/QC</x:v>
      </x:c>
      <x:c r="C25"/>
      <x:c r="D25"/>
      <x:c r="E25"/>
      <x:c r="F25"/>
      <x:c r="G25" t="str">
        <x:v>Open</x:v>
      </x:c>
      <x:c r="H25"/>
    </x:row>
    <x:row r="26">
      <x:c r="A26" t="n">
        <x:v>5</x:v>
      </x:c>
      <x:c r="B26" t="str">
        <x:v>Engineering</x:v>
      </x:c>
      <x:c r="C26"/>
      <x:c r="D26"/>
      <x:c r="E26"/>
      <x:c r="F26"/>
      <x:c r="G26" t="str">
        <x:v>Open</x:v>
      </x:c>
      <x:c r="H26"/>
    </x:row>
    <x:row r="27">
      <x:c r="A27" t="n">
        <x:v>5</x:v>
      </x:c>
      <x:c r="B27" t="str">
        <x:v>Materials</x:v>
      </x:c>
      <x:c r="C27"/>
      <x:c r="D27"/>
      <x:c r="E27"/>
      <x:c r="F27"/>
      <x:c r="G27" t="str">
        <x:v>Open</x:v>
      </x:c>
      <x:c r="H27"/>
    </x:row>
    <x:row r="28">
      <x:c r="A28" t="n">
        <x:v>5</x:v>
      </x:c>
      <x:c r="B28" t="str">
        <x:v>Fabrication</x:v>
      </x:c>
      <x:c r="C28"/>
      <x:c r="D28"/>
      <x:c r="E28"/>
      <x:c r="F28"/>
      <x:c r="G28" t="str">
        <x:v>Open</x:v>
      </x:c>
      <x:c r="H28"/>
    </x:row>
    <x:row r="29">
      <x:c r="A29" t="n">
        <x:v>5</x:v>
      </x:c>
      <x:c r="B29" t="str">
        <x:v>Marine</x:v>
      </x:c>
      <x:c r="C29"/>
      <x:c r="D29"/>
      <x:c r="E29"/>
      <x:c r="F29"/>
      <x:c r="G29" t="str">
        <x:v>Open</x:v>
      </x:c>
      <x:c r="H29"/>
    </x:row>
    <x:row r="30">
      <x:c r="A30" t="n">
        <x:v>5</x:v>
      </x:c>
      <x:c r="B30" t="str">
        <x:v>Access / permits</x:v>
      </x:c>
      <x:c r="C30"/>
      <x:c r="D30"/>
      <x:c r="E30"/>
      <x:c r="F30"/>
      <x:c r="G30" t="str">
        <x:v>Open</x:v>
      </x:c>
      <x:c r="H30"/>
    </x:row>
    <x:row r="31">
      <x:c r="A31" t="n">
        <x:v>5</x:v>
      </x:c>
      <x:c r="B31" t="str">
        <x:v>QA/QC</x:v>
      </x:c>
      <x:c r="C31"/>
      <x:c r="D31"/>
      <x:c r="E31"/>
      <x:c r="F31"/>
      <x:c r="G31" t="str">
        <x:v>Open</x:v>
      </x:c>
      <x:c r="H31"/>
    </x:row>
    <x:row r="32">
      <x:c r="A32" t="n">
        <x:v>6</x:v>
      </x:c>
      <x:c r="B32" t="str">
        <x:v>Engineering</x:v>
      </x:c>
      <x:c r="C32"/>
      <x:c r="D32"/>
      <x:c r="E32"/>
      <x:c r="F32"/>
      <x:c r="G32" t="str">
        <x:v>Open</x:v>
      </x:c>
      <x:c r="H32"/>
    </x:row>
    <x:row r="33">
      <x:c r="A33" t="n">
        <x:v>6</x:v>
      </x:c>
      <x:c r="B33" t="str">
        <x:v>Materials</x:v>
      </x:c>
      <x:c r="C33"/>
      <x:c r="D33"/>
      <x:c r="E33"/>
      <x:c r="F33"/>
      <x:c r="G33" t="str">
        <x:v>Open</x:v>
      </x:c>
      <x:c r="H33"/>
    </x:row>
    <x:row r="34">
      <x:c r="A34" t="n">
        <x:v>6</x:v>
      </x:c>
      <x:c r="B34" t="str">
        <x:v>Fabrication</x:v>
      </x:c>
      <x:c r="C34"/>
      <x:c r="D34"/>
      <x:c r="E34"/>
      <x:c r="F34"/>
      <x:c r="G34" t="str">
        <x:v>Open</x:v>
      </x:c>
      <x:c r="H34"/>
    </x:row>
    <x:row r="35">
      <x:c r="A35" t="n">
        <x:v>6</x:v>
      </x:c>
      <x:c r="B35" t="str">
        <x:v>Marine</x:v>
      </x:c>
      <x:c r="C35"/>
      <x:c r="D35"/>
      <x:c r="E35"/>
      <x:c r="F35"/>
      <x:c r="G35" t="str">
        <x:v>Open</x:v>
      </x:c>
      <x:c r="H35"/>
    </x:row>
    <x:row r="36">
      <x:c r="A36" t="n">
        <x:v>6</x:v>
      </x:c>
      <x:c r="B36" t="str">
        <x:v>Access / permits</x:v>
      </x:c>
      <x:c r="C36"/>
      <x:c r="D36"/>
      <x:c r="E36"/>
      <x:c r="F36"/>
      <x:c r="G36" t="str">
        <x:v>Open</x:v>
      </x:c>
      <x:c r="H36"/>
    </x:row>
    <x:row r="37">
      <x:c r="A37" t="n">
        <x:v>6</x:v>
      </x:c>
      <x:c r="B37" t="str">
        <x:v>QA/QC</x:v>
      </x:c>
      <x:c r="C37"/>
      <x:c r="D37"/>
      <x:c r="E37"/>
      <x:c r="F37"/>
      <x:c r="G37" t="str">
        <x:v>Open</x:v>
      </x:c>
      <x:c r="H37"/>
    </x:row>
  </x:sheetData>
  <x:dataValidations count="1">
    <x:dataValidation type="list" sqref="G2:G37">
      <x:formula1>"Open,In progress,Closed,Escalated"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29" customHeight="1">
      <x:c r="A1" s="3" t="str">
        <x:v>Week</x:v>
      </x:c>
      <x:c r="B1" s="3" t="str">
        <x:v>Eng Teams</x:v>
      </x:c>
      <x:c r="C1" s="3" t="str">
        <x:v>Yard Lines</x:v>
      </x:c>
      <x:c r="D1" s="3" t="str">
        <x:v>Structural Crews</x:v>
      </x:c>
      <x:c r="E1" s="3" t="str">
        <x:v>Installation Crew</x:v>
      </x:c>
      <x:c r="F1" s="3" t="str">
        <x:v>Lift Spread</x:v>
      </x:c>
      <x:c r="G1" s="3" t="str">
        <x:v>Support Vessel</x:v>
      </x:c>
      <x:c r="H1" s="3" t="str">
        <x:v>QA Inspectors</x:v>
      </x:c>
      <x:c r="I1" s="3" t="str">
        <x:v>Constraints</x:v>
      </x:c>
    </x:row>
    <x:row r="2">
      <x:c r="A2" t="n">
        <x:v>1</x:v>
      </x:c>
      <x:c r="B2"/>
      <x:c r="C2"/>
      <x:c r="D2"/>
      <x:c r="E2"/>
      <x:c r="F2"/>
      <x:c r="G2"/>
      <x:c r="H2"/>
      <x:c r="I2"/>
    </x:row>
    <x:row r="3">
      <x:c r="A3" t="n">
        <x:v>2</x:v>
      </x:c>
      <x:c r="B3"/>
      <x:c r="C3"/>
      <x:c r="D3"/>
      <x:c r="E3"/>
      <x:c r="F3"/>
      <x:c r="G3"/>
      <x:c r="H3"/>
      <x:c r="I3"/>
    </x:row>
    <x:row r="4">
      <x:c r="A4" t="n">
        <x:v>3</x:v>
      </x:c>
      <x:c r="B4"/>
      <x:c r="C4"/>
      <x:c r="D4"/>
      <x:c r="E4"/>
      <x:c r="F4"/>
      <x:c r="G4"/>
      <x:c r="H4"/>
      <x:c r="I4"/>
    </x:row>
    <x:row r="5">
      <x:c r="A5" t="n">
        <x:v>4</x:v>
      </x:c>
      <x:c r="B5"/>
      <x:c r="C5"/>
      <x:c r="D5"/>
      <x:c r="E5"/>
      <x:c r="F5"/>
      <x:c r="G5"/>
      <x:c r="H5"/>
      <x:c r="I5"/>
    </x:row>
    <x:row r="6">
      <x:c r="A6" t="n">
        <x:v>5</x:v>
      </x:c>
      <x:c r="B6"/>
      <x:c r="C6"/>
      <x:c r="D6"/>
      <x:c r="E6"/>
      <x:c r="F6"/>
      <x:c r="G6"/>
      <x:c r="H6"/>
      <x:c r="I6"/>
    </x:row>
    <x:row r="7">
      <x:c r="A7" t="n">
        <x:v>6</x:v>
      </x:c>
      <x:c r="B7"/>
      <x:c r="C7"/>
      <x:c r="D7"/>
      <x:c r="E7"/>
      <x:c r="F7"/>
      <x:c r="G7"/>
      <x:c r="H7"/>
      <x:c r="I7"/>
    </x:row>
    <x:row r="8">
      <x:c r="A8" t="n">
        <x:v>7</x:v>
      </x:c>
      <x:c r="B8"/>
      <x:c r="C8"/>
      <x:c r="D8"/>
      <x:c r="E8"/>
      <x:c r="F8"/>
      <x:c r="G8"/>
      <x:c r="H8"/>
      <x:c r="I8"/>
    </x:row>
    <x:row r="9">
      <x:c r="A9" t="n">
        <x:v>8</x:v>
      </x:c>
      <x:c r="B9"/>
      <x:c r="C9"/>
      <x:c r="D9"/>
      <x:c r="E9"/>
      <x:c r="F9"/>
      <x:c r="G9"/>
      <x:c r="H9"/>
      <x:c r="I9"/>
    </x:row>
    <x:row r="10">
      <x:c r="A10" t="n">
        <x:v>9</x:v>
      </x:c>
      <x:c r="B10"/>
      <x:c r="C10"/>
      <x:c r="D10"/>
      <x:c r="E10"/>
      <x:c r="F10"/>
      <x:c r="G10"/>
      <x:c r="H10"/>
      <x:c r="I10"/>
    </x:row>
    <x:row r="11">
      <x:c r="A11" t="n">
        <x:v>10</x:v>
      </x:c>
      <x:c r="B11"/>
      <x:c r="C11"/>
      <x:c r="D11"/>
      <x:c r="E11"/>
      <x:c r="F11"/>
      <x:c r="G11"/>
      <x:c r="H11"/>
      <x:c r="I11"/>
    </x:row>
    <x:row r="12">
      <x:c r="A12" t="n">
        <x:v>11</x:v>
      </x:c>
      <x:c r="B12"/>
      <x:c r="C12"/>
      <x:c r="D12"/>
      <x:c r="E12"/>
      <x:c r="F12"/>
      <x:c r="G12"/>
      <x:c r="H12"/>
      <x:c r="I12"/>
    </x:row>
    <x:row r="13">
      <x:c r="A13" t="n">
        <x:v>12</x:v>
      </x:c>
      <x:c r="B13"/>
      <x:c r="C13"/>
      <x:c r="D13"/>
      <x:c r="E13"/>
      <x:c r="F13"/>
      <x:c r="G13"/>
      <x:c r="H13"/>
      <x:c r="I13"/>
    </x:row>
    <x:row r="14">
      <x:c r="A14" t="n">
        <x:v>13</x:v>
      </x:c>
      <x:c r="B14"/>
      <x:c r="C14"/>
      <x:c r="D14"/>
      <x:c r="E14"/>
      <x:c r="F14"/>
      <x:c r="G14"/>
      <x:c r="H14"/>
      <x:c r="I14"/>
    </x:row>
    <x:row r="15">
      <x:c r="A15" t="n">
        <x:v>14</x:v>
      </x:c>
      <x:c r="B15"/>
      <x:c r="C15"/>
      <x:c r="D15"/>
      <x:c r="E15"/>
      <x:c r="F15"/>
      <x:c r="G15"/>
      <x:c r="H15"/>
      <x:c r="I15"/>
    </x:row>
    <x:row r="16">
      <x:c r="A16" t="n">
        <x:v>15</x:v>
      </x:c>
      <x:c r="B16"/>
      <x:c r="C16"/>
      <x:c r="D16"/>
      <x:c r="E16"/>
      <x:c r="F16"/>
      <x:c r="G16"/>
      <x:c r="H16"/>
      <x:c r="I16"/>
    </x:row>
    <x:row r="17">
      <x:c r="A17" t="n">
        <x:v>16</x:v>
      </x:c>
      <x:c r="B17"/>
      <x:c r="C17"/>
      <x:c r="D17"/>
      <x:c r="E17"/>
      <x:c r="F17"/>
      <x:c r="G17"/>
      <x:c r="H17"/>
      <x:c r="I17"/>
    </x:row>
    <x:row r="18">
      <x:c r="A18" t="n">
        <x:v>17</x:v>
      </x:c>
      <x:c r="B18"/>
      <x:c r="C18"/>
      <x:c r="D18"/>
      <x:c r="E18"/>
      <x:c r="F18"/>
      <x:c r="G18"/>
      <x:c r="H18"/>
      <x:c r="I18"/>
    </x:row>
    <x:row r="19">
      <x:c r="A19" t="n">
        <x:v>18</x:v>
      </x:c>
      <x:c r="B19"/>
      <x:c r="C19"/>
      <x:c r="D19"/>
      <x:c r="E19"/>
      <x:c r="F19"/>
      <x:c r="G19"/>
      <x:c r="H19"/>
      <x:c r="I19"/>
    </x:row>
    <x:row r="20">
      <x:c r="A20" t="n">
        <x:v>19</x:v>
      </x:c>
      <x:c r="B20"/>
      <x:c r="C20"/>
      <x:c r="D20"/>
      <x:c r="E20"/>
      <x:c r="F20"/>
      <x:c r="G20"/>
      <x:c r="H20"/>
      <x:c r="I20"/>
    </x:row>
    <x:row r="21">
      <x:c r="A21" t="n">
        <x:v>20</x:v>
      </x:c>
      <x:c r="B21"/>
      <x:c r="C21"/>
      <x:c r="D21"/>
      <x:c r="E21"/>
      <x:c r="F21"/>
      <x:c r="G21"/>
      <x:c r="H21"/>
      <x:c r="I21"/>
    </x:row>
    <x:row r="22">
      <x:c r="A22" t="n">
        <x:v>21</x:v>
      </x:c>
      <x:c r="B22"/>
      <x:c r="C22"/>
      <x:c r="D22"/>
      <x:c r="E22"/>
      <x:c r="F22"/>
      <x:c r="G22"/>
      <x:c r="H22"/>
      <x:c r="I22"/>
    </x:row>
    <x:row r="23">
      <x:c r="A23" t="n">
        <x:v>22</x:v>
      </x:c>
      <x:c r="B23"/>
      <x:c r="C23"/>
      <x:c r="D23"/>
      <x:c r="E23"/>
      <x:c r="F23"/>
      <x:c r="G23"/>
      <x:c r="H23"/>
      <x:c r="I23"/>
    </x:row>
    <x:row r="24">
      <x:c r="A24" t="n">
        <x:v>23</x:v>
      </x:c>
      <x:c r="B24"/>
      <x:c r="C24"/>
      <x:c r="D24"/>
      <x:c r="E24"/>
      <x:c r="F24"/>
      <x:c r="G24"/>
      <x:c r="H24"/>
      <x:c r="I24"/>
    </x:row>
    <x:row r="25">
      <x:c r="A25" t="n">
        <x:v>24</x:v>
      </x:c>
      <x:c r="B25"/>
      <x:c r="C25"/>
      <x:c r="D25"/>
      <x:c r="E25"/>
      <x:c r="F25"/>
      <x:c r="G25"/>
      <x:c r="H25"/>
      <x:c r="I25"/>
    </x:row>
    <x:row r="26">
      <x:c r="A26" t="n">
        <x:v>25</x:v>
      </x:c>
      <x:c r="B26"/>
      <x:c r="C26"/>
      <x:c r="D26"/>
      <x:c r="E26"/>
      <x:c r="F26"/>
      <x:c r="G26"/>
      <x:c r="H26"/>
      <x:c r="I26"/>
    </x:row>
    <x:row r="27">
      <x:c r="A27" t="n">
        <x:v>26</x:v>
      </x:c>
      <x:c r="B27"/>
      <x:c r="C27"/>
      <x:c r="D27"/>
      <x:c r="E27"/>
      <x:c r="F27"/>
      <x:c r="G27"/>
      <x:c r="H27"/>
      <x:c r="I27"/>
    </x:row>
    <x:row r="28">
      <x:c r="A28" t="n">
        <x:v>27</x:v>
      </x:c>
      <x:c r="B28"/>
      <x:c r="C28"/>
      <x:c r="D28"/>
      <x:c r="E28"/>
      <x:c r="F28"/>
      <x:c r="G28"/>
      <x:c r="H28"/>
      <x:c r="I28"/>
    </x:row>
    <x:row r="29">
      <x:c r="A29" t="n">
        <x:v>28</x:v>
      </x:c>
      <x:c r="B29"/>
      <x:c r="C29"/>
      <x:c r="D29"/>
      <x:c r="E29"/>
      <x:c r="F29"/>
      <x:c r="G29"/>
      <x:c r="H29"/>
      <x:c r="I29"/>
    </x:row>
    <x:row r="30">
      <x:c r="A30" t="n">
        <x:v>29</x:v>
      </x:c>
      <x:c r="B30"/>
      <x:c r="C30"/>
      <x:c r="D30"/>
      <x:c r="E30"/>
      <x:c r="F30"/>
      <x:c r="G30"/>
      <x:c r="H30"/>
      <x:c r="I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9" customHeight="1">
      <x:c r="A1" s="3" t="str">
        <x:v>Bridge</x:v>
      </x:c>
      <x:c r="B1" s="3" t="str">
        <x:v>Structural MT*</x:v>
      </x:c>
      <x:c r="C1" s="3" t="str">
        <x:v>Demolition MT*</x:v>
      </x:c>
      <x:c r="D1" s="3" t="str">
        <x:v>Accepted Installed MT</x:v>
      </x:c>
      <x:c r="E1" s="3" t="str">
        <x:v>Accepted Demolition MT</x:v>
      </x:c>
      <x:c r="F1" s="3" t="str">
        <x:v>Remaining Structural MT</x:v>
      </x:c>
      <x:c r="G1" s="3" t="str">
        <x:v>Remaining Demolition MT</x:v>
      </x:c>
    </x:row>
    <x:row r="2">
      <x:c r="A2" t="str">
        <x:v>ICW-ICG UD</x:v>
      </x:c>
      <x:c r="B2" t="n">
        <x:v>49</x:v>
      </x:c>
      <x:c r="C2" t="n">
        <x:v>25</x:v>
      </x:c>
      <x:c r="D2"/>
      <x:c r="E2"/>
      <x:c r="F2" t="n">
        <x:f>MAX(0,B2-IF(D2="",0,D2))</x:f>
        <x:v>49</x:v>
      </x:c>
      <x:c r="G2" t="n">
        <x:f>MAX(0,C2-IF(E2="",0,E2))</x:f>
        <x:v>25</x:v>
      </x:c>
    </x:row>
    <x:row r="3">
      <x:c r="A3" t="str">
        <x:v>ICW-ICG LD</x:v>
      </x:c>
      <x:c r="B3" t="n">
        <x:v>122</x:v>
      </x:c>
      <x:c r="C3" t="n">
        <x:v>1</x:v>
      </x:c>
      <x:c r="D3"/>
      <x:c r="E3"/>
      <x:c r="F3" t="n">
        <x:f>MAX(0,B3-IF(D3="",0,D3))</x:f>
        <x:v>122</x:v>
      </x:c>
      <x:c r="G3" t="n">
        <x:f>MAX(0,C3-IF(E3="",0,E3))</x:f>
        <x:v>1</x:v>
      </x:c>
    </x:row>
    <x:row r="4">
      <x:c r="A4" t="str">
        <x:v>ICG-ICP UD</x:v>
      </x:c>
      <x:c r="B4" t="n">
        <x:v>116</x:v>
      </x:c>
      <x:c r="C4" t="n">
        <x:v>25</x:v>
      </x:c>
      <x:c r="D4"/>
      <x:c r="E4"/>
      <x:c r="F4" t="n">
        <x:f>MAX(0,B4-IF(D4="",0,D4))</x:f>
        <x:v>116</x:v>
      </x:c>
      <x:c r="G4" t="n">
        <x:f>MAX(0,C4-IF(E4="",0,E4))</x:f>
        <x:v>25</x:v>
      </x:c>
    </x:row>
    <x:row r="5">
      <x:c r="A5" t="str">
        <x:v>ICG-ICP LD</x:v>
      </x:c>
      <x:c r="B5" t="n">
        <x:v>160</x:v>
      </x:c>
      <x:c r="C5" t="n">
        <x:v>1</x:v>
      </x:c>
      <x:c r="D5"/>
      <x:c r="E5"/>
      <x:c r="F5" t="n">
        <x:f>MAX(0,B5-IF(D5="",0,D5))</x:f>
        <x:v>160</x:v>
      </x:c>
      <x:c r="G5" t="n">
        <x:f>MAX(0,C5-IF(E5="",0,E5))</x:f>
        <x:v>1</x:v>
      </x:c>
    </x:row>
    <x:row r="6">
      <x:c r="A6" t="str">
        <x:v>BHS-SLQ</x:v>
      </x:c>
      <x:c r="B6" t="n">
        <x:v>282</x:v>
      </x:c>
      <x:c r="C6" t="n">
        <x:v>210</x:v>
      </x:c>
      <x:c r="D6"/>
      <x:c r="E6"/>
      <x:c r="F6" t="n">
        <x:f>MAX(0,B6-IF(D6="",0,D6))</x:f>
        <x:v>282</x:v>
      </x:c>
      <x:c r="G6" t="n">
        <x:f>MAX(0,C6-IF(E6="",0,E6))</x:f>
        <x:v>210</x:v>
      </x:c>
    </x:row>
    <x:row r="7">
      <x:c r="A7" t="str">
        <x:v>SLQ-WIS</x:v>
      </x:c>
      <x:c r="B7" t="n">
        <x:v>91</x:v>
      </x:c>
      <x:c r="C7" t="n">
        <x:v>15</x:v>
      </x:c>
      <x:c r="D7"/>
      <x:c r="E7"/>
      <x:c r="F7" t="n">
        <x:f>MAX(0,B7-IF(D7="",0,D7))</x:f>
        <x:v>91</x:v>
      </x:c>
      <x:c r="G7" t="n">
        <x:f>MAX(0,C7-IF(E7="",0,E7))</x:f>
        <x:v>15</x:v>
      </x:c>
    </x:row>
    <x:row r="8">
      <x:c r="A8" t="str">
        <x:v>NQO-NQD</x:v>
      </x:c>
      <x:c r="B8" t="n">
        <x:v>93</x:v>
      </x:c>
      <x:c r="C8" t="n">
        <x:v>25</x:v>
      </x:c>
      <x:c r="D8"/>
      <x:c r="E8"/>
      <x:c r="F8" t="n">
        <x:f>MAX(0,B8-IF(D8="",0,D8))</x:f>
        <x:v>93</x:v>
      </x:c>
      <x:c r="G8" t="n">
        <x:f>MAX(0,C8-IF(E8="",0,E8))</x:f>
        <x:v>25</x:v>
      </x:c>
    </x:row>
    <x:row r="9">
      <x:c r="A9" t="str">
        <x:v>WIN-NC</x:v>
      </x:c>
      <x:c r="B9" t="n">
        <x:v>46</x:v>
      </x:c>
      <x:c r="C9" t="n">
        <x:v>10</x:v>
      </x:c>
      <x:c r="D9"/>
      <x:c r="E9"/>
      <x:c r="F9" t="n">
        <x:f>MAX(0,B9-IF(D9="",0,D9))</x:f>
        <x:v>46</x:v>
      </x:c>
      <x:c r="G9" t="n">
        <x:f>MAX(0,C9-IF(E9="",0,E9))</x:f>
        <x:v>10</x:v>
      </x:c>
    </x:row>
    <x:row r="10">
      <x:c r="A10" t="str">
        <x:v>SCA-SC1</x:v>
      </x:c>
      <x:c r="B10" t="n">
        <x:v>63</x:v>
      </x:c>
      <x:c r="C10" t="n">
        <x:v>15</x:v>
      </x:c>
      <x:c r="D10"/>
      <x:c r="E10"/>
      <x:c r="F10" t="n">
        <x:f>MAX(0,B10-IF(D10="",0,D10))</x:f>
        <x:v>63</x:v>
      </x:c>
      <x:c r="G10" t="n">
        <x:f>MAX(0,C10-IF(E10="",0,E10))</x:f>
        <x:v>15</x:v>
      </x:c>
    </x:row>
    <x:row r="11">
      <x:c r="A11" t="str">
        <x:v>SCA-SCF</x:v>
      </x:c>
      <x:c r="B11" t="n">
        <x:v>119</x:v>
      </x:c>
      <x:c r="C11" t="n">
        <x:v>30</x:v>
      </x:c>
      <x:c r="D11"/>
      <x:c r="E11"/>
      <x:c r="F11" t="n">
        <x:f>MAX(0,B11-IF(D11="",0,D11))</x:f>
        <x:v>119</x:v>
      </x:c>
      <x:c r="G11" t="n">
        <x:f>MAX(0,C11-IF(E11="",0,E11))</x:f>
        <x:v>30</x:v>
      </x:c>
    </x:row>
    <x:row r="12">
      <x:c r="A12" t="str">
        <x:v>TOTAL</x:v>
      </x:c>
      <x:c r="B12" t="n">
        <x:f>SUM(B2:B11)</x:f>
        <x:v>1141</x:v>
      </x:c>
      <x:c r="C12" t="n">
        <x:f>SUM(C2:C11)</x:f>
        <x:v>357</x:v>
      </x:c>
      <x:c r="D12" t="n">
        <x:f>SUM(D2:D11)</x:f>
        <x:v>0</x:v>
      </x:c>
      <x:c r="E12" t="n">
        <x:f>SUM(E2:E11)</x:f>
        <x:v>0</x:v>
      </x:c>
      <x:c r="F12" t="n">
        <x:f>SUM(F2:F11)</x:f>
        <x:v>1141</x:v>
      </x:c>
      <x:c r="G12" t="n">
        <x:f>SUM(G2:G11)</x:f>
        <x:v>357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39" hidden="0" customWidth="1"/>
    <x:col min="3" max="3" width="39" hidden="0" customWidth="1"/>
  </x:cols>
  <x:sheetData>
    <x:row r="1" ht="29" customHeight="1">
      <x:c r="A1" s="3" t="str">
        <x:v>KPI</x:v>
      </x:c>
      <x:c r="B1" s="3" t="str">
        <x:v>Value</x:v>
      </x:c>
      <x:c r="C1" s="3" t="str">
        <x:v>Interpretation</x:v>
      </x:c>
    </x:row>
    <x:row r="2">
      <x:c r="A2" t="str">
        <x:v>Bridge packages</x:v>
      </x:c>
      <x:c r="B2" t="n">
        <x:v>10</x:v>
      </x:c>
      <x:c r="C2" t="str">
        <x:v>Fixed package count</x:v>
      </x:c>
    </x:row>
    <x:row r="3">
      <x:c r="A3" t="str">
        <x:v>Printed structural MTO (MT)</x:v>
      </x:c>
      <x:c r="B3" t="n">
        <x:v>1142</x:v>
      </x:c>
      <x:c r="C3" t="str">
        <x:v>Original printed summary per prior project review</x:v>
      </x:c>
    </x:row>
    <x:row r="4">
      <x:c r="A4" t="str">
        <x:v>Bridge rows total (MT)</x:v>
      </x:c>
      <x:c r="B4" t="n">
        <x:f>'Bridge MTO'!B12</x:f>
        <x:v>1141</x:v>
      </x:c>
      <x:c r="C4" t="str">
        <x:v>Transcribed individual bridge rows</x:v>
      </x:c>
    </x:row>
    <x:row r="5">
      <x:c r="A5" t="str">
        <x:v>MTO reconciliation gap (MT)</x:v>
      </x:c>
      <x:c r="B5" t="n">
        <x:f>B3-B4</x:f>
        <x:v>1</x:v>
      </x:c>
      <x:c r="C5" t="str">
        <x:v>Resolve against original tender MTO</x:v>
      </x:c>
    </x:row>
    <x:row r="6">
      <x:c r="A6" t="str">
        <x:v>Ready workpacks</x:v>
      </x:c>
      <x:c r="B6" t="n">
        <x:f>COUNTIF('Workpack Readiness'!O2:O81,"READY")</x:f>
        <x:v>0</x:v>
      </x:c>
      <x:c r="C6" t="str">
        <x:v>Requires 8 Yes approvals; N/A requires deliberate review</x:v>
      </x:c>
    </x:row>
    <x:row r="7">
      <x:c r="A7" t="str">
        <x:v>Total workpacks</x:v>
      </x:c>
      <x:c r="B7" t="n">
        <x:v>80</x:v>
      </x:c>
      <x:c r="C7" t="str">
        <x:v>8 per bridge</x:v>
      </x:c>
    </x:row>
    <x:row r="8">
      <x:c r="A8" t="str">
        <x:v>Open constraints</x:v>
      </x:c>
      <x:c r="B8" t="n">
        <x:f>COUNTIF('6 Week Constraints'!G2:G37,"Open")</x:f>
        <x:v>36</x:v>
      </x:c>
      <x:c r="C8" t="str">
        <x:v>Weekly constraint register</x:v>
      </x:c>
    </x:row>
    <x:row r="9">
      <x:c r="A9" t="str">
        <x:v>Accepted structural installation (MT)</x:v>
      </x:c>
      <x:c r="B9" t="n">
        <x:f>'Bridge MTO'!D12</x:f>
        <x:v>0</x:v>
      </x:c>
      <x:c r="C9" t="str">
        <x:v>Enter only accepted measured quantities</x:v>
      </x:c>
    </x:row>
    <x:row r="10">
      <x:c r="A10" t="str">
        <x:v>Remaining structural work (MT)</x:v>
      </x:c>
      <x:c r="B10" t="n">
        <x:f>'Bridge MTO'!F12</x:f>
        <x:v>1141</x:v>
      </x:c>
      <x:c r="C10" t="str">
        <x:v>Not a substitute for shop/offshore quantity split</x:v>
      </x:c>
    </x:row>
    <x:row r="11">
      <x:c r="A11" t="str">
        <x:v>Accepted demolition (MT)</x:v>
      </x:c>
      <x:c r="B11" t="n">
        <x:f>'Bridge MTO'!E12</x:f>
        <x:v>0</x:v>
      </x:c>
      <x:c r="C11" t="str">
        <x:v>Enter only approved and accepted removal</x:v>
      </x:c>
    </x:row>
    <x:row r="12">
      <x:c r="A12" t="str">
        <x:v>Remaining demolition (MT)</x:v>
      </x:c>
      <x:c r="B12" t="n">
        <x:f>'Bridge MTO'!G12</x:f>
        <x:v>357</x:v>
      </x:c>
      <x:c r="C12" t="str">
        <x:v>Subject to engineered demolition packages</x:v>
      </x:c>
    </x:row>
  </x:sheetData>
  <x:pageMargins left="0.7" right="0.7" top="0.75" bottom="0.75" header="0.3" footer="0.3"/>
</x:worksheet>
</file>