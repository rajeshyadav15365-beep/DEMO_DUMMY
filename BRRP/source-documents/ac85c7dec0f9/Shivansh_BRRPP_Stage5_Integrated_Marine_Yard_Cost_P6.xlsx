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f3867371b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O Decisions" sheetId="1" r:id="Rd9e318e8730e4c27"/>
    <x:sheet xmlns:r="http://schemas.openxmlformats.org/officeDocument/2006/relationships" name="Package Baseline" sheetId="2" r:id="R9ce256dc494a4f9c"/>
    <x:sheet xmlns:r="http://schemas.openxmlformats.org/officeDocument/2006/relationships" name="Yard Production" sheetId="3" r:id="R1c03eeaa3c43443c"/>
    <x:sheet xmlns:r="http://schemas.openxmlformats.org/officeDocument/2006/relationships" name="Marine Campaign" sheetId="4" r:id="R09919f42f88243d4"/>
    <x:sheet xmlns:r="http://schemas.openxmlformats.org/officeDocument/2006/relationships" name="Cost Loading" sheetId="5" r:id="R9bdf3ce497374ef6"/>
    <x:sheet xmlns:r="http://schemas.openxmlformats.org/officeDocument/2006/relationships" name="P6 Logic Review" sheetId="6" r:id="R71d29adfb6c04f76"/>
    <x:sheet xmlns:r="http://schemas.openxmlformats.org/officeDocument/2006/relationships" name="Lift Release Gates" sheetId="7" r:id="Rae3391c7dff5466a"/>
    <x:sheet xmlns:r="http://schemas.openxmlformats.org/officeDocument/2006/relationships" name="Risks and Controls" sheetId="8" r:id="R84387b724d364595"/>
    <x:sheet xmlns:r="http://schemas.openxmlformats.org/officeDocument/2006/relationships" name="Source and Limitations" sheetId="9" r:id="Rb88fe406f87d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1cfddb02b4ef9" /><Relationship Type="http://schemas.openxmlformats.org/officeDocument/2006/relationships/theme" Target="/xl/theme/theme1.xml" Id="Re2708425f71240b7" /><Relationship Type="http://schemas.openxmlformats.org/officeDocument/2006/relationships/sharedStrings" Target="/xl/sharedStrings.xml" Id="R91b350cae7744950" /><Relationship Type="http://schemas.openxmlformats.org/officeDocument/2006/relationships/worksheet" Target="/xl/worksheets/sheet1.xml" Id="Rd9e318e8730e4c27" /><Relationship Type="http://schemas.openxmlformats.org/officeDocument/2006/relationships/worksheet" Target="/xl/worksheets/sheet2.xml" Id="R9ce256dc494a4f9c" /><Relationship Type="http://schemas.openxmlformats.org/officeDocument/2006/relationships/worksheet" Target="/xl/worksheets/sheet3.xml" Id="R1c03eeaa3c43443c" /><Relationship Type="http://schemas.openxmlformats.org/officeDocument/2006/relationships/worksheet" Target="/xl/worksheets/sheet4.xml" Id="R09919f42f88243d4" /><Relationship Type="http://schemas.openxmlformats.org/officeDocument/2006/relationships/worksheet" Target="/xl/worksheets/sheet5.xml" Id="R9bdf3ce497374ef6" /><Relationship Type="http://schemas.openxmlformats.org/officeDocument/2006/relationships/worksheet" Target="/xl/worksheets/sheet6.xml" Id="R71d29adfb6c04f76" /><Relationship Type="http://schemas.openxmlformats.org/officeDocument/2006/relationships/worksheet" Target="/xl/worksheets/sheet7.xml" Id="Rae3391c7dff5466a" /><Relationship Type="http://schemas.openxmlformats.org/officeDocument/2006/relationships/worksheet" Target="/xl/worksheets/sheet8.xml" Id="R84387b724d364595" /><Relationship Type="http://schemas.openxmlformats.org/officeDocument/2006/relationships/worksheet" Target="/xl/worksheets/sheet9.xml" Id="Rb88fe406f87d4d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>
      <x:c r="A1" s="6" t="str">
        <x:v>Priority</x:v>
      </x:c>
      <x:c r="B1" s="6" t="str">
        <x:v>Decision</x:v>
      </x:c>
      <x:c r="C1" s="6" t="str">
        <x:v>Owner</x:v>
      </x:c>
      <x:c r="D1" s="6" t="str">
        <x:v>Evidence required</x:v>
      </x:c>
      <x:c r="E1" s="6" t="str">
        <x:v>Status</x:v>
      </x:c>
    </x:row>
    <x:row r="2">
      <x:c r="A2" t="n">
        <x:v>1</x:v>
      </x:c>
      <x:c r="B2" t="str">
        <x:v>Confirm award and Day 1 / contract calendar</x:v>
      </x:c>
      <x:c r="C2" t="str">
        <x:v>CEO</x:v>
      </x:c>
      <x:c r="D2" t="str">
        <x:v>Signed contract and SCC</x:v>
      </x:c>
      <x:c r="E2" t="str">
        <x:v>OPEN</x:v>
      </x:c>
    </x:row>
    <x:row r="3">
      <x:c r="A3" t="n">
        <x:v>2</x:v>
      </x:c>
      <x:c r="B3" t="str">
        <x:v>Appoint PMO and engineering authority</x:v>
      </x:c>
      <x:c r="C3" t="str">
        <x:v>CEO</x:v>
      </x:c>
      <x:c r="D3" t="str">
        <x:v>Organisation and authority matrix</x:v>
      </x:c>
      <x:c r="E3" t="str">
        <x:v>OPEN</x:v>
      </x:c>
    </x:row>
    <x:row r="4">
      <x:c r="A4" t="n">
        <x:v>3</x:v>
      </x:c>
      <x:c r="B4" t="str">
        <x:v>Select audited fabrication yard(s)</x:v>
      </x:c>
      <x:c r="C4" t="str">
        <x:v>Project Director</x:v>
      </x:c>
      <x:c r="D4" t="str">
        <x:v>Capacity, QA, welding approvals</x:v>
      </x:c>
      <x:c r="E4" t="str">
        <x:v>OPEN</x:v>
      </x:c>
    </x:row>
    <x:row r="5">
      <x:c r="A5" t="n">
        <x:v>4</x:v>
      </x:c>
      <x:c r="B5" t="str">
        <x:v>Confirm heavy lift partner and vessel</x:v>
      </x:c>
      <x:c r="C5" t="str">
        <x:v>Marine Manager</x:v>
      </x:c>
      <x:c r="D5" t="str">
        <x:v>Crane curves, class, stability, availability</x:v>
      </x:c>
      <x:c r="E5" t="str">
        <x:v>OPEN</x:v>
      </x:c>
    </x:row>
    <x:row r="6">
      <x:c r="A6" t="n">
        <x:v>5</x:v>
      </x:c>
      <x:c r="B6" t="str">
        <x:v>Approve package-specific survey mobilisation</x:v>
      </x:c>
      <x:c r="C6" t="str">
        <x:v>Engineering Manager</x:v>
      </x:c>
      <x:c r="D6" t="str">
        <x:v>Permits and scope</x:v>
      </x:c>
      <x:c r="E6" t="str">
        <x:v>OPEN</x:v>
      </x:c>
    </x:row>
    <x:row r="7">
      <x:c r="A7" t="n">
        <x:v>6</x:v>
      </x:c>
      <x:c r="B7" t="str">
        <x:v>Approve baseline only after CPM and leveling</x:v>
      </x:c>
      <x:c r="C7" t="str">
        <x:v>Project Director</x:v>
      </x:c>
      <x:c r="D7" t="str">
        <x:v>P6 report and resource histogram</x:v>
      </x:c>
      <x:c r="E7" t="str">
        <x:v>OPEN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</x:cols>
  <x:sheetData>
    <x:row r="1">
      <x:c r="A1" s="6" t="str">
        <x:v>Package</x:v>
      </x:c>
      <x:c r="B1" s="6" t="str">
        <x:v>Work type</x:v>
      </x:c>
      <x:c r="C1" s="6" t="str">
        <x:v>Steel MT</x:v>
      </x:c>
      <x:c r="D1" s="6" t="str">
        <x:v>Demolition MT</x:v>
      </x:c>
      <x:c r="E1" s="6" t="str">
        <x:v>Fabrication split count (INPUT)</x:v>
      </x:c>
      <x:c r="F1" s="6" t="str">
        <x:v>Module gross weight MT (INPUT)</x:v>
      </x:c>
      <x:c r="G1" s="6" t="str">
        <x:v>Verified COG (INPUT)</x:v>
      </x:c>
      <x:c r="H1" s="6" t="str">
        <x:v>Engineering status</x:v>
      </x:c>
      <x:c r="I1" s="6" t="str">
        <x:v>Marine strategy</x:v>
      </x:c>
    </x:row>
    <x:row r="2">
      <x:c r="A2" t="str">
        <x:v>ICW-ICG UD</x:v>
      </x:c>
      <x:c r="B2" t="str">
        <x:v>Strengthening</x:v>
      </x:c>
      <x:c r="C2" t="n">
        <x:v>49</x:v>
      </x:c>
      <x:c r="D2" t="n">
        <x:v>25</x:v>
      </x:c>
      <x:c r="E2"/>
      <x:c r="F2"/>
      <x:c r="G2"/>
      <x:c r="H2" t="str">
        <x:v>NOT APPROVED</x:v>
      </x:c>
      <x:c r="I2" t="str">
        <x:v>Survey / lift study required</x:v>
      </x:c>
    </x:row>
    <x:row r="3">
      <x:c r="A3" t="str">
        <x:v>ICW-ICG LD</x:v>
      </x:c>
      <x:c r="B3" t="str">
        <x:v>New</x:v>
      </x:c>
      <x:c r="C3" t="n">
        <x:v>122</x:v>
      </x:c>
      <x:c r="D3" t="n">
        <x:v>1</x:v>
      </x:c>
      <x:c r="E3"/>
      <x:c r="F3"/>
      <x:c r="G3"/>
      <x:c r="H3" t="str">
        <x:v>NOT APPROVED</x:v>
      </x:c>
      <x:c r="I3" t="str">
        <x:v>Survey / lift study required</x:v>
      </x:c>
    </x:row>
    <x:row r="4">
      <x:c r="A4" t="str">
        <x:v>ICG-ICP UD</x:v>
      </x:c>
      <x:c r="B4" t="str">
        <x:v>Strengthening</x:v>
      </x:c>
      <x:c r="C4" t="n">
        <x:v>116</x:v>
      </x:c>
      <x:c r="D4" t="n">
        <x:v>25</x:v>
      </x:c>
      <x:c r="E4"/>
      <x:c r="F4"/>
      <x:c r="G4"/>
      <x:c r="H4" t="str">
        <x:v>NOT APPROVED</x:v>
      </x:c>
      <x:c r="I4" t="str">
        <x:v>Survey / lift study required</x:v>
      </x:c>
    </x:row>
    <x:row r="5">
      <x:c r="A5" t="str">
        <x:v>ICG-ICP LD</x:v>
      </x:c>
      <x:c r="B5" t="str">
        <x:v>New</x:v>
      </x:c>
      <x:c r="C5" t="n">
        <x:v>160</x:v>
      </x:c>
      <x:c r="D5" t="n">
        <x:v>1</x:v>
      </x:c>
      <x:c r="E5"/>
      <x:c r="F5"/>
      <x:c r="G5"/>
      <x:c r="H5" t="str">
        <x:v>NOT APPROVED</x:v>
      </x:c>
      <x:c r="I5" t="str">
        <x:v>Survey / lift study required</x:v>
      </x:c>
    </x:row>
    <x:row r="6">
      <x:c r="A6" t="str">
        <x:v>BHS-SLQ</x:v>
      </x:c>
      <x:c r="B6" t="str">
        <x:v>Replacement</x:v>
      </x:c>
      <x:c r="C6" t="n">
        <x:v>282</x:v>
      </x:c>
      <x:c r="D6" t="n">
        <x:v>210</x:v>
      </x:c>
      <x:c r="E6"/>
      <x:c r="F6"/>
      <x:c r="G6"/>
      <x:c r="H6" t="str">
        <x:v>NOT APPROVED</x:v>
      </x:c>
      <x:c r="I6" t="str">
        <x:v>Survey / lift study required</x:v>
      </x:c>
    </x:row>
    <x:row r="7">
      <x:c r="A7" t="str">
        <x:v>SLQ-WIS</x:v>
      </x:c>
      <x:c r="B7" t="str">
        <x:v>Strengthening</x:v>
      </x:c>
      <x:c r="C7" t="n">
        <x:v>91</x:v>
      </x:c>
      <x:c r="D7" t="n">
        <x:v>15</x:v>
      </x:c>
      <x:c r="E7"/>
      <x:c r="F7"/>
      <x:c r="G7"/>
      <x:c r="H7" t="str">
        <x:v>NOT APPROVED</x:v>
      </x:c>
      <x:c r="I7" t="str">
        <x:v>Survey / lift study required</x:v>
      </x:c>
    </x:row>
    <x:row r="8">
      <x:c r="A8" t="str">
        <x:v>NQO-NQD</x:v>
      </x:c>
      <x:c r="B8" t="str">
        <x:v>Strengthening</x:v>
      </x:c>
      <x:c r="C8" t="n">
        <x:v>93</x:v>
      </x:c>
      <x:c r="D8" t="n">
        <x:v>25</x:v>
      </x:c>
      <x:c r="E8"/>
      <x:c r="F8"/>
      <x:c r="G8"/>
      <x:c r="H8" t="str">
        <x:v>NOT APPROVED</x:v>
      </x:c>
      <x:c r="I8" t="str">
        <x:v>Survey / lift study required</x:v>
      </x:c>
    </x:row>
    <x:row r="9">
      <x:c r="A9" t="str">
        <x:v>WIN-NC</x:v>
      </x:c>
      <x:c r="B9" t="str">
        <x:v>Strengthening</x:v>
      </x:c>
      <x:c r="C9" t="n">
        <x:v>46</x:v>
      </x:c>
      <x:c r="D9" t="n">
        <x:v>10</x:v>
      </x:c>
      <x:c r="E9"/>
      <x:c r="F9"/>
      <x:c r="G9"/>
      <x:c r="H9" t="str">
        <x:v>NOT APPROVED</x:v>
      </x:c>
      <x:c r="I9" t="str">
        <x:v>Survey / lift study required</x:v>
      </x:c>
    </x:row>
    <x:row r="10">
      <x:c r="A10" t="str">
        <x:v>SCA-SC1</x:v>
      </x:c>
      <x:c r="B10" t="str">
        <x:v>Strengthening</x:v>
      </x:c>
      <x:c r="C10" t="n">
        <x:v>63</x:v>
      </x:c>
      <x:c r="D10" t="n">
        <x:v>15</x:v>
      </x:c>
      <x:c r="E10"/>
      <x:c r="F10"/>
      <x:c r="G10"/>
      <x:c r="H10" t="str">
        <x:v>NOT APPROVED</x:v>
      </x:c>
      <x:c r="I10" t="str">
        <x:v>Survey / lift study required</x:v>
      </x:c>
    </x:row>
    <x:row r="11">
      <x:c r="A11" t="str">
        <x:v>SCA-SCF</x:v>
      </x:c>
      <x:c r="B11" t="str">
        <x:v>Strengthening</x:v>
      </x:c>
      <x:c r="C11" t="n">
        <x:v>119</x:v>
      </x:c>
      <x:c r="D11" t="n">
        <x:v>30</x:v>
      </x:c>
      <x:c r="E11"/>
      <x:c r="F11"/>
      <x:c r="G11"/>
      <x:c r="H11" t="str">
        <x:v>NOT APPROVED</x:v>
      </x:c>
      <x:c r="I11" t="str">
        <x:v>Survey / lift study 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6" t="str">
        <x:v>Package</x:v>
      </x:c>
      <x:c r="B1" s="6" t="str">
        <x:v>Steel MT</x:v>
      </x:c>
      <x:c r="C1" s="6" t="str">
        <x:v>Yard MT per working day (INPUT)</x:v>
      </x:c>
      <x:c r="D1" s="6" t="str">
        <x:v>Fabrication working days (CALC)</x:v>
      </x:c>
      <x:c r="E1" s="6" t="str">
        <x:v>Yard allocation</x:v>
      </x:c>
      <x:c r="F1" s="6" t="str">
        <x:v>WPS/PQR</x:v>
      </x:c>
      <x:c r="G1" s="6" t="str">
        <x:v>NDT release</x:v>
      </x:c>
      <x:c r="H1" s="6" t="str">
        <x:v>Coating release</x:v>
      </x:c>
      <x:c r="I1" s="6" t="str">
        <x:v>Trial fit</x:v>
      </x:c>
      <x:c r="J1" s="6" t="str">
        <x:v>Ready for loadout</x:v>
      </x:c>
    </x:row>
    <x:row r="2">
      <x:c r="A2" t="str">
        <x:v>ICW-ICG UD</x:v>
      </x:c>
      <x:c r="B2" t="n">
        <x:v>49</x:v>
      </x:c>
      <x:c r="C2"/>
      <x:c r="D2" t="str">
        <x:f>IF(OR(C2="",C2=0),"",ROUNDUP(B2/C2,0))</x:f>
      </x:c>
      <x:c r="E2" t="str">
        <x:v>TBD</x:v>
      </x:c>
      <x:c r="F2" t="str">
        <x:v>PENDING</x:v>
      </x:c>
      <x:c r="G2" t="str">
        <x:v>PENDING</x:v>
      </x:c>
      <x:c r="H2" t="str">
        <x:v>PENDING</x:v>
      </x:c>
      <x:c r="I2" t="str">
        <x:v>PENDING</x:v>
      </x:c>
      <x:c r="J2" t="str">
        <x:v>NO</x:v>
      </x:c>
    </x:row>
    <x:row r="3">
      <x:c r="A3" t="str">
        <x:v>ICW-ICG LD</x:v>
      </x:c>
      <x:c r="B3" t="n">
        <x:v>122</x:v>
      </x:c>
      <x:c r="C3"/>
      <x:c r="D3" t="str">
        <x:f>IF(OR(C3="",C3=0),"",ROUNDUP(B3/C3,0))</x:f>
      </x:c>
      <x:c r="E3" t="str">
        <x:v>TBD</x:v>
      </x:c>
      <x:c r="F3" t="str">
        <x:v>PENDING</x:v>
      </x:c>
      <x:c r="G3" t="str">
        <x:v>PENDING</x:v>
      </x:c>
      <x:c r="H3" t="str">
        <x:v>PENDING</x:v>
      </x:c>
      <x:c r="I3" t="str">
        <x:v>PENDING</x:v>
      </x:c>
      <x:c r="J3" t="str">
        <x:v>NO</x:v>
      </x:c>
    </x:row>
    <x:row r="4">
      <x:c r="A4" t="str">
        <x:v>ICG-ICP UD</x:v>
      </x:c>
      <x:c r="B4" t="n">
        <x:v>116</x:v>
      </x:c>
      <x:c r="C4"/>
      <x:c r="D4" t="str">
        <x:f>IF(OR(C4="",C4=0),"",ROUNDUP(B4/C4,0))</x:f>
      </x:c>
      <x:c r="E4" t="str">
        <x:v>TBD</x:v>
      </x:c>
      <x:c r="F4" t="str">
        <x:v>PENDING</x:v>
      </x:c>
      <x:c r="G4" t="str">
        <x:v>PENDING</x:v>
      </x:c>
      <x:c r="H4" t="str">
        <x:v>PENDING</x:v>
      </x:c>
      <x:c r="I4" t="str">
        <x:v>PENDING</x:v>
      </x:c>
      <x:c r="J4" t="str">
        <x:v>NO</x:v>
      </x:c>
    </x:row>
    <x:row r="5">
      <x:c r="A5" t="str">
        <x:v>ICG-ICP LD</x:v>
      </x:c>
      <x:c r="B5" t="n">
        <x:v>160</x:v>
      </x:c>
      <x:c r="C5"/>
      <x:c r="D5" t="str">
        <x:f>IF(OR(C5="",C5=0),"",ROUNDUP(B5/C5,0))</x:f>
      </x:c>
      <x:c r="E5" t="str">
        <x:v>TBD</x:v>
      </x:c>
      <x:c r="F5" t="str">
        <x:v>PENDING</x:v>
      </x:c>
      <x:c r="G5" t="str">
        <x:v>PENDING</x:v>
      </x:c>
      <x:c r="H5" t="str">
        <x:v>PENDING</x:v>
      </x:c>
      <x:c r="I5" t="str">
        <x:v>PENDING</x:v>
      </x:c>
      <x:c r="J5" t="str">
        <x:v>NO</x:v>
      </x:c>
    </x:row>
    <x:row r="6">
      <x:c r="A6" t="str">
        <x:v>BHS-SLQ</x:v>
      </x:c>
      <x:c r="B6" t="n">
        <x:v>282</x:v>
      </x:c>
      <x:c r="C6"/>
      <x:c r="D6" t="str">
        <x:f>IF(OR(C6="",C6=0),"",ROUNDUP(B6/C6,0))</x:f>
      </x:c>
      <x:c r="E6" t="str">
        <x:v>TBD</x:v>
      </x:c>
      <x:c r="F6" t="str">
        <x:v>PENDING</x:v>
      </x:c>
      <x:c r="G6" t="str">
        <x:v>PENDING</x:v>
      </x:c>
      <x:c r="H6" t="str">
        <x:v>PENDING</x:v>
      </x:c>
      <x:c r="I6" t="str">
        <x:v>PENDING</x:v>
      </x:c>
      <x:c r="J6" t="str">
        <x:v>NO</x:v>
      </x:c>
    </x:row>
    <x:row r="7">
      <x:c r="A7" t="str">
        <x:v>SLQ-WIS</x:v>
      </x:c>
      <x:c r="B7" t="n">
        <x:v>91</x:v>
      </x:c>
      <x:c r="C7"/>
      <x:c r="D7" t="str">
        <x:f>IF(OR(C7="",C7=0),"",ROUNDUP(B7/C7,0))</x:f>
      </x:c>
      <x:c r="E7" t="str">
        <x:v>TBD</x:v>
      </x:c>
      <x:c r="F7" t="str">
        <x:v>PENDING</x:v>
      </x:c>
      <x:c r="G7" t="str">
        <x:v>PENDING</x:v>
      </x:c>
      <x:c r="H7" t="str">
        <x:v>PENDING</x:v>
      </x:c>
      <x:c r="I7" t="str">
        <x:v>PENDING</x:v>
      </x:c>
      <x:c r="J7" t="str">
        <x:v>NO</x:v>
      </x:c>
    </x:row>
    <x:row r="8">
      <x:c r="A8" t="str">
        <x:v>NQO-NQD</x:v>
      </x:c>
      <x:c r="B8" t="n">
        <x:v>93</x:v>
      </x:c>
      <x:c r="C8"/>
      <x:c r="D8" t="str">
        <x:f>IF(OR(C8="",C8=0),"",ROUNDUP(B8/C8,0))</x:f>
      </x:c>
      <x:c r="E8" t="str">
        <x:v>TBD</x:v>
      </x:c>
      <x:c r="F8" t="str">
        <x:v>PENDING</x:v>
      </x:c>
      <x:c r="G8" t="str">
        <x:v>PENDING</x:v>
      </x:c>
      <x:c r="H8" t="str">
        <x:v>PENDING</x:v>
      </x:c>
      <x:c r="I8" t="str">
        <x:v>PENDING</x:v>
      </x:c>
      <x:c r="J8" t="str">
        <x:v>NO</x:v>
      </x:c>
    </x:row>
    <x:row r="9">
      <x:c r="A9" t="str">
        <x:v>WIN-NC</x:v>
      </x:c>
      <x:c r="B9" t="n">
        <x:v>46</x:v>
      </x:c>
      <x:c r="C9"/>
      <x:c r="D9" t="str">
        <x:f>IF(OR(C9="",C9=0),"",ROUNDUP(B9/C9,0))</x:f>
      </x:c>
      <x:c r="E9" t="str">
        <x:v>TBD</x:v>
      </x:c>
      <x:c r="F9" t="str">
        <x:v>PENDING</x:v>
      </x:c>
      <x:c r="G9" t="str">
        <x:v>PENDING</x:v>
      </x:c>
      <x:c r="H9" t="str">
        <x:v>PENDING</x:v>
      </x:c>
      <x:c r="I9" t="str">
        <x:v>PENDING</x:v>
      </x:c>
      <x:c r="J9" t="str">
        <x:v>NO</x:v>
      </x:c>
    </x:row>
    <x:row r="10">
      <x:c r="A10" t="str">
        <x:v>SCA-SC1</x:v>
      </x:c>
      <x:c r="B10" t="n">
        <x:v>63</x:v>
      </x:c>
      <x:c r="C10"/>
      <x:c r="D10" t="str">
        <x:f>IF(OR(C10="",C10=0),"",ROUNDUP(B10/C10,0))</x:f>
      </x:c>
      <x:c r="E10" t="str">
        <x:v>TBD</x:v>
      </x:c>
      <x:c r="F10" t="str">
        <x:v>PENDING</x:v>
      </x:c>
      <x:c r="G10" t="str">
        <x:v>PENDING</x:v>
      </x:c>
      <x:c r="H10" t="str">
        <x:v>PENDING</x:v>
      </x:c>
      <x:c r="I10" t="str">
        <x:v>PENDING</x:v>
      </x:c>
      <x:c r="J10" t="str">
        <x:v>NO</x:v>
      </x:c>
    </x:row>
    <x:row r="11">
      <x:c r="A11" t="str">
        <x:v>SCA-SCF</x:v>
      </x:c>
      <x:c r="B11" t="n">
        <x:v>119</x:v>
      </x:c>
      <x:c r="C11"/>
      <x:c r="D11" t="str">
        <x:f>IF(OR(C11="",C11=0),"",ROUNDUP(B11/C11,0))</x:f>
      </x:c>
      <x:c r="E11" t="str">
        <x:v>TBD</x:v>
      </x:c>
      <x:c r="F11" t="str">
        <x:v>PENDING</x:v>
      </x:c>
      <x:c r="G11" t="str">
        <x:v>PENDING</x:v>
      </x:c>
      <x:c r="H11" t="str">
        <x:v>PENDING</x:v>
      </x:c>
      <x:c r="I11" t="str">
        <x:v>PENDING</x:v>
      </x:c>
      <x:c r="J11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>
      <x:c r="A1" s="6" t="str">
        <x:v>Package</x:v>
      </x:c>
      <x:c r="B1" s="6" t="str">
        <x:v>Marine role</x:v>
      </x:c>
      <x:c r="C1" s="6" t="str">
        <x:v>Candidate vessel</x:v>
      </x:c>
      <x:c r="D1" s="6" t="str">
        <x:v>Vessel confirmed?</x:v>
      </x:c>
      <x:c r="E1" s="6" t="str">
        <x:v>Crane capacity verified?</x:v>
      </x:c>
      <x:c r="F1" s="6" t="str">
        <x:v>Lift study approved?</x:v>
      </x:c>
      <x:c r="G1" s="6" t="str">
        <x:v>Loadout readiness</x:v>
      </x:c>
      <x:c r="H1" s="6" t="str">
        <x:v>Weather window</x:v>
      </x:c>
      <x:c r="I1" s="6" t="str">
        <x:v>Offshore days (INPUT)</x:v>
      </x:c>
      <x:c r="J1" s="6" t="str">
        <x:v>Daily rate INR (INPUT)</x:v>
      </x:c>
      <x:c r="K1" s="6" t="str">
        <x:v>Budget INR (CALC)</x:v>
      </x:c>
    </x:row>
    <x:row r="2">
      <x:c r="A2" t="str">
        <x:v>ICW-ICG UD</x:v>
      </x:c>
      <x:c r="B2" t="str">
        <x:v>Heavy lift / transport / support</x:v>
      </x:c>
      <x:c r="C2" t="str">
        <x:v>TBD</x:v>
      </x:c>
      <x:c r="D2" t="str">
        <x:v>NO</x:v>
      </x:c>
      <x:c r="E2" t="str">
        <x:v>NO</x:v>
      </x:c>
      <x:c r="F2" t="str">
        <x:v>NO</x:v>
      </x:c>
      <x:c r="G2" t="str">
        <x:v>NO</x:v>
      </x:c>
      <x:c r="H2" t="str">
        <x:v>TBD</x:v>
      </x:c>
      <x:c r="I2"/>
      <x:c r="J2"/>
      <x:c r="K2" t="str">
        <x:f>IF(OR(I2="",J2=""),"",I2*J2)</x:f>
      </x:c>
    </x:row>
    <x:row r="3">
      <x:c r="A3" t="str">
        <x:v>ICW-ICG LD</x:v>
      </x:c>
      <x:c r="B3" t="str">
        <x:v>Heavy lift / transport / support</x:v>
      </x:c>
      <x:c r="C3" t="str">
        <x:v>TBD</x:v>
      </x:c>
      <x:c r="D3" t="str">
        <x:v>NO</x:v>
      </x:c>
      <x:c r="E3" t="str">
        <x:v>NO</x:v>
      </x:c>
      <x:c r="F3" t="str">
        <x:v>NO</x:v>
      </x:c>
      <x:c r="G3" t="str">
        <x:v>NO</x:v>
      </x:c>
      <x:c r="H3" t="str">
        <x:v>TBD</x:v>
      </x:c>
      <x:c r="I3"/>
      <x:c r="J3"/>
      <x:c r="K3" t="str">
        <x:f>IF(OR(I3="",J3=""),"",I3*J3)</x:f>
      </x:c>
    </x:row>
    <x:row r="4">
      <x:c r="A4" t="str">
        <x:v>ICG-ICP UD</x:v>
      </x:c>
      <x:c r="B4" t="str">
        <x:v>Heavy lift / transport / support</x:v>
      </x:c>
      <x:c r="C4" t="str">
        <x:v>TBD</x:v>
      </x:c>
      <x:c r="D4" t="str">
        <x:v>NO</x:v>
      </x:c>
      <x:c r="E4" t="str">
        <x:v>NO</x:v>
      </x:c>
      <x:c r="F4" t="str">
        <x:v>NO</x:v>
      </x:c>
      <x:c r="G4" t="str">
        <x:v>NO</x:v>
      </x:c>
      <x:c r="H4" t="str">
        <x:v>TBD</x:v>
      </x:c>
      <x:c r="I4"/>
      <x:c r="J4"/>
      <x:c r="K4" t="str">
        <x:f>IF(OR(I4="",J4=""),"",I4*J4)</x:f>
      </x:c>
    </x:row>
    <x:row r="5">
      <x:c r="A5" t="str">
        <x:v>ICG-ICP LD</x:v>
      </x:c>
      <x:c r="B5" t="str">
        <x:v>Heavy lift / transport / support</x:v>
      </x:c>
      <x:c r="C5" t="str">
        <x:v>TBD</x:v>
      </x:c>
      <x:c r="D5" t="str">
        <x:v>NO</x:v>
      </x:c>
      <x:c r="E5" t="str">
        <x:v>NO</x:v>
      </x:c>
      <x:c r="F5" t="str">
        <x:v>NO</x:v>
      </x:c>
      <x:c r="G5" t="str">
        <x:v>NO</x:v>
      </x:c>
      <x:c r="H5" t="str">
        <x:v>TBD</x:v>
      </x:c>
      <x:c r="I5"/>
      <x:c r="J5"/>
      <x:c r="K5" t="str">
        <x:f>IF(OR(I5="",J5=""),"",I5*J5)</x:f>
      </x:c>
    </x:row>
    <x:row r="6">
      <x:c r="A6" t="str">
        <x:v>BHS-SLQ</x:v>
      </x:c>
      <x:c r="B6" t="str">
        <x:v>Heavy lift / transport / support</x:v>
      </x:c>
      <x:c r="C6" t="str">
        <x:v>TBD</x:v>
      </x:c>
      <x:c r="D6" t="str">
        <x:v>NO</x:v>
      </x:c>
      <x:c r="E6" t="str">
        <x:v>NO</x:v>
      </x:c>
      <x:c r="F6" t="str">
        <x:v>NO</x:v>
      </x:c>
      <x:c r="G6" t="str">
        <x:v>NO</x:v>
      </x:c>
      <x:c r="H6" t="str">
        <x:v>TBD</x:v>
      </x:c>
      <x:c r="I6"/>
      <x:c r="J6"/>
      <x:c r="K6" t="str">
        <x:f>IF(OR(I6="",J6=""),"",I6*J6)</x:f>
      </x:c>
    </x:row>
    <x:row r="7">
      <x:c r="A7" t="str">
        <x:v>SLQ-WIS</x:v>
      </x:c>
      <x:c r="B7" t="str">
        <x:v>Heavy lift / transport / support</x:v>
      </x:c>
      <x:c r="C7" t="str">
        <x:v>TBD</x:v>
      </x:c>
      <x:c r="D7" t="str">
        <x:v>NO</x:v>
      </x:c>
      <x:c r="E7" t="str">
        <x:v>NO</x:v>
      </x:c>
      <x:c r="F7" t="str">
        <x:v>NO</x:v>
      </x:c>
      <x:c r="G7" t="str">
        <x:v>NO</x:v>
      </x:c>
      <x:c r="H7" t="str">
        <x:v>TBD</x:v>
      </x:c>
      <x:c r="I7"/>
      <x:c r="J7"/>
      <x:c r="K7" t="str">
        <x:f>IF(OR(I7="",J7=""),"",I7*J7)</x:f>
      </x:c>
    </x:row>
    <x:row r="8">
      <x:c r="A8" t="str">
        <x:v>NQO-NQD</x:v>
      </x:c>
      <x:c r="B8" t="str">
        <x:v>Heavy lift / transport / support</x:v>
      </x:c>
      <x:c r="C8" t="str">
        <x:v>TBD</x:v>
      </x:c>
      <x:c r="D8" t="str">
        <x:v>NO</x:v>
      </x:c>
      <x:c r="E8" t="str">
        <x:v>NO</x:v>
      </x:c>
      <x:c r="F8" t="str">
        <x:v>NO</x:v>
      </x:c>
      <x:c r="G8" t="str">
        <x:v>NO</x:v>
      </x:c>
      <x:c r="H8" t="str">
        <x:v>TBD</x:v>
      </x:c>
      <x:c r="I8"/>
      <x:c r="J8"/>
      <x:c r="K8" t="str">
        <x:f>IF(OR(I8="",J8=""),"",I8*J8)</x:f>
      </x:c>
    </x:row>
    <x:row r="9">
      <x:c r="A9" t="str">
        <x:v>WIN-NC</x:v>
      </x:c>
      <x:c r="B9" t="str">
        <x:v>Heavy lift / transport / support</x:v>
      </x:c>
      <x:c r="C9" t="str">
        <x:v>TBD</x:v>
      </x:c>
      <x:c r="D9" t="str">
        <x:v>NO</x:v>
      </x:c>
      <x:c r="E9" t="str">
        <x:v>NO</x:v>
      </x:c>
      <x:c r="F9" t="str">
        <x:v>NO</x:v>
      </x:c>
      <x:c r="G9" t="str">
        <x:v>NO</x:v>
      </x:c>
      <x:c r="H9" t="str">
        <x:v>TBD</x:v>
      </x:c>
      <x:c r="I9"/>
      <x:c r="J9"/>
      <x:c r="K9" t="str">
        <x:f>IF(OR(I9="",J9=""),"",I9*J9)</x:f>
      </x:c>
    </x:row>
    <x:row r="10">
      <x:c r="A10" t="str">
        <x:v>SCA-SC1</x:v>
      </x:c>
      <x:c r="B10" t="str">
        <x:v>Heavy lift / transport / support</x:v>
      </x:c>
      <x:c r="C10" t="str">
        <x:v>TBD</x:v>
      </x:c>
      <x:c r="D10" t="str">
        <x:v>NO</x:v>
      </x:c>
      <x:c r="E10" t="str">
        <x:v>NO</x:v>
      </x:c>
      <x:c r="F10" t="str">
        <x:v>NO</x:v>
      </x:c>
      <x:c r="G10" t="str">
        <x:v>NO</x:v>
      </x:c>
      <x:c r="H10" t="str">
        <x:v>TBD</x:v>
      </x:c>
      <x:c r="I10"/>
      <x:c r="J10"/>
      <x:c r="K10" t="str">
        <x:f>IF(OR(I10="",J10=""),"",I10*J10)</x:f>
      </x:c>
    </x:row>
    <x:row r="11">
      <x:c r="A11" t="str">
        <x:v>SCA-SCF</x:v>
      </x:c>
      <x:c r="B11" t="str">
        <x:v>Heavy lift / transport / support</x:v>
      </x:c>
      <x:c r="C11" t="str">
        <x:v>TBD</x:v>
      </x:c>
      <x:c r="D11" t="str">
        <x:v>NO</x:v>
      </x:c>
      <x:c r="E11" t="str">
        <x:v>NO</x:v>
      </x:c>
      <x:c r="F11" t="str">
        <x:v>NO</x:v>
      </x:c>
      <x:c r="G11" t="str">
        <x:v>NO</x:v>
      </x:c>
      <x:c r="H11" t="str">
        <x:v>TBD</x:v>
      </x:c>
      <x:c r="I11"/>
      <x:c r="J11"/>
      <x:c r="K11" t="str">
        <x:f>IF(OR(I11="",J11=""),"",I11*J11)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6" t="str">
        <x:v>Package</x:v>
      </x:c>
      <x:c r="B1" s="6" t="str">
        <x:v>Steel MT</x:v>
      </x:c>
      <x:c r="C1" s="6" t="str">
        <x:v>Steel installed INR per MT (INPUT)</x:v>
      </x:c>
      <x:c r="D1" s="6" t="str">
        <x:v>Steel subtotal INR</x:v>
      </x:c>
      <x:c r="E1" s="6" t="str">
        <x:v>Demolition MT</x:v>
      </x:c>
      <x:c r="F1" s="6" t="str">
        <x:v>Demolition INR per MT (INPUT)</x:v>
      </x:c>
      <x:c r="G1" s="6" t="str">
        <x:v>Demolition subtotal INR</x:v>
      </x:c>
      <x:c r="H1" s="6" t="str">
        <x:v>Marine INR (linked)</x:v>
      </x:c>
      <x:c r="I1" s="6" t="str">
        <x:v>Other INR (INPUT)</x:v>
      </x:c>
      <x:c r="J1" s="6" t="str">
        <x:v>Total INR</x:v>
      </x:c>
    </x:row>
    <x:row r="2">
      <x:c r="A2" t="str">
        <x:v>ICW-ICG UD</x:v>
      </x:c>
      <x:c r="B2" t="n">
        <x:v>49</x:v>
      </x:c>
      <x:c r="C2"/>
      <x:c r="D2" t="str">
        <x:f>IF(C2="","",B2*C2)</x:f>
      </x:c>
      <x:c r="E2" t="n">
        <x:v>25</x:v>
      </x:c>
      <x:c r="F2"/>
      <x:c r="G2" t="str">
        <x:f>IF(F2="","",E2*F2)</x:f>
      </x:c>
      <x:c r="H2" t="n">
        <x:f>'Marine Campaign'!K2</x:f>
        <x:v>0</x:v>
      </x:c>
      <x:c r="I2"/>
      <x:c r="J2" t="n">
        <x:f>IF(COUNT(D2,G2,H2,I2)=0,"",SUM(D2,G2,H2,I2))</x:f>
        <x:v>0</x:v>
      </x:c>
    </x:row>
    <x:row r="3">
      <x:c r="A3" t="str">
        <x:v>ICW-ICG LD</x:v>
      </x:c>
      <x:c r="B3" t="n">
        <x:v>122</x:v>
      </x:c>
      <x:c r="C3"/>
      <x:c r="D3" t="str">
        <x:f>IF(C3="","",B3*C3)</x:f>
      </x:c>
      <x:c r="E3" t="n">
        <x:v>1</x:v>
      </x:c>
      <x:c r="F3"/>
      <x:c r="G3" t="str">
        <x:f>IF(F3="","",E3*F3)</x:f>
      </x:c>
      <x:c r="H3" t="n">
        <x:f>'Marine Campaign'!K3</x:f>
        <x:v>0</x:v>
      </x:c>
      <x:c r="I3"/>
      <x:c r="J3" t="n">
        <x:f>IF(COUNT(D3,G3,H3,I3)=0,"",SUM(D3,G3,H3,I3))</x:f>
        <x:v>0</x:v>
      </x:c>
    </x:row>
    <x:row r="4">
      <x:c r="A4" t="str">
        <x:v>ICG-ICP UD</x:v>
      </x:c>
      <x:c r="B4" t="n">
        <x:v>116</x:v>
      </x:c>
      <x:c r="C4"/>
      <x:c r="D4" t="str">
        <x:f>IF(C4="","",B4*C4)</x:f>
      </x:c>
      <x:c r="E4" t="n">
        <x:v>25</x:v>
      </x:c>
      <x:c r="F4"/>
      <x:c r="G4" t="str">
        <x:f>IF(F4="","",E4*F4)</x:f>
      </x:c>
      <x:c r="H4" t="n">
        <x:f>'Marine Campaign'!K4</x:f>
        <x:v>0</x:v>
      </x:c>
      <x:c r="I4"/>
      <x:c r="J4" t="n">
        <x:f>IF(COUNT(D4,G4,H4,I4)=0,"",SUM(D4,G4,H4,I4))</x:f>
        <x:v>0</x:v>
      </x:c>
    </x:row>
    <x:row r="5">
      <x:c r="A5" t="str">
        <x:v>ICG-ICP LD</x:v>
      </x:c>
      <x:c r="B5" t="n">
        <x:v>160</x:v>
      </x:c>
      <x:c r="C5"/>
      <x:c r="D5" t="str">
        <x:f>IF(C5="","",B5*C5)</x:f>
      </x:c>
      <x:c r="E5" t="n">
        <x:v>1</x:v>
      </x:c>
      <x:c r="F5"/>
      <x:c r="G5" t="str">
        <x:f>IF(F5="","",E5*F5)</x:f>
      </x:c>
      <x:c r="H5" t="n">
        <x:f>'Marine Campaign'!K5</x:f>
        <x:v>0</x:v>
      </x:c>
      <x:c r="I5"/>
      <x:c r="J5" t="n">
        <x:f>IF(COUNT(D5,G5,H5,I5)=0,"",SUM(D5,G5,H5,I5))</x:f>
        <x:v>0</x:v>
      </x:c>
    </x:row>
    <x:row r="6">
      <x:c r="A6" t="str">
        <x:v>BHS-SLQ</x:v>
      </x:c>
      <x:c r="B6" t="n">
        <x:v>282</x:v>
      </x:c>
      <x:c r="C6"/>
      <x:c r="D6" t="str">
        <x:f>IF(C6="","",B6*C6)</x:f>
      </x:c>
      <x:c r="E6" t="n">
        <x:v>210</x:v>
      </x:c>
      <x:c r="F6"/>
      <x:c r="G6" t="str">
        <x:f>IF(F6="","",E6*F6)</x:f>
      </x:c>
      <x:c r="H6" t="n">
        <x:f>'Marine Campaign'!K6</x:f>
        <x:v>0</x:v>
      </x:c>
      <x:c r="I6"/>
      <x:c r="J6" t="n">
        <x:f>IF(COUNT(D6,G6,H6,I6)=0,"",SUM(D6,G6,H6,I6))</x:f>
        <x:v>0</x:v>
      </x:c>
    </x:row>
    <x:row r="7">
      <x:c r="A7" t="str">
        <x:v>SLQ-WIS</x:v>
      </x:c>
      <x:c r="B7" t="n">
        <x:v>91</x:v>
      </x:c>
      <x:c r="C7"/>
      <x:c r="D7" t="str">
        <x:f>IF(C7="","",B7*C7)</x:f>
      </x:c>
      <x:c r="E7" t="n">
        <x:v>15</x:v>
      </x:c>
      <x:c r="F7"/>
      <x:c r="G7" t="str">
        <x:f>IF(F7="","",E7*F7)</x:f>
      </x:c>
      <x:c r="H7" t="n">
        <x:f>'Marine Campaign'!K7</x:f>
        <x:v>0</x:v>
      </x:c>
      <x:c r="I7"/>
      <x:c r="J7" t="n">
        <x:f>IF(COUNT(D7,G7,H7,I7)=0,"",SUM(D7,G7,H7,I7))</x:f>
        <x:v>0</x:v>
      </x:c>
    </x:row>
    <x:row r="8">
      <x:c r="A8" t="str">
        <x:v>NQO-NQD</x:v>
      </x:c>
      <x:c r="B8" t="n">
        <x:v>93</x:v>
      </x:c>
      <x:c r="C8"/>
      <x:c r="D8" t="str">
        <x:f>IF(C8="","",B8*C8)</x:f>
      </x:c>
      <x:c r="E8" t="n">
        <x:v>25</x:v>
      </x:c>
      <x:c r="F8"/>
      <x:c r="G8" t="str">
        <x:f>IF(F8="","",E8*F8)</x:f>
      </x:c>
      <x:c r="H8" t="n">
        <x:f>'Marine Campaign'!K8</x:f>
        <x:v>0</x:v>
      </x:c>
      <x:c r="I8"/>
      <x:c r="J8" t="n">
        <x:f>IF(COUNT(D8,G8,H8,I8)=0,"",SUM(D8,G8,H8,I8))</x:f>
        <x:v>0</x:v>
      </x:c>
    </x:row>
    <x:row r="9">
      <x:c r="A9" t="str">
        <x:v>WIN-NC</x:v>
      </x:c>
      <x:c r="B9" t="n">
        <x:v>46</x:v>
      </x:c>
      <x:c r="C9"/>
      <x:c r="D9" t="str">
        <x:f>IF(C9="","",B9*C9)</x:f>
      </x:c>
      <x:c r="E9" t="n">
        <x:v>10</x:v>
      </x:c>
      <x:c r="F9"/>
      <x:c r="G9" t="str">
        <x:f>IF(F9="","",E9*F9)</x:f>
      </x:c>
      <x:c r="H9" t="n">
        <x:f>'Marine Campaign'!K9</x:f>
        <x:v>0</x:v>
      </x:c>
      <x:c r="I9"/>
      <x:c r="J9" t="n">
        <x:f>IF(COUNT(D9,G9,H9,I9)=0,"",SUM(D9,G9,H9,I9))</x:f>
        <x:v>0</x:v>
      </x:c>
    </x:row>
    <x:row r="10">
      <x:c r="A10" t="str">
        <x:v>SCA-SC1</x:v>
      </x:c>
      <x:c r="B10" t="n">
        <x:v>63</x:v>
      </x:c>
      <x:c r="C10"/>
      <x:c r="D10" t="str">
        <x:f>IF(C10="","",B10*C10)</x:f>
      </x:c>
      <x:c r="E10" t="n">
        <x:v>15</x:v>
      </x:c>
      <x:c r="F10"/>
      <x:c r="G10" t="str">
        <x:f>IF(F10="","",E10*F10)</x:f>
      </x:c>
      <x:c r="H10" t="n">
        <x:f>'Marine Campaign'!K10</x:f>
        <x:v>0</x:v>
      </x:c>
      <x:c r="I10"/>
      <x:c r="J10" t="n">
        <x:f>IF(COUNT(D10,G10,H10,I10)=0,"",SUM(D10,G10,H10,I10))</x:f>
        <x:v>0</x:v>
      </x:c>
    </x:row>
    <x:row r="11">
      <x:c r="A11" t="str">
        <x:v>SCA-SCF</x:v>
      </x:c>
      <x:c r="B11" t="n">
        <x:v>119</x:v>
      </x:c>
      <x:c r="C11"/>
      <x:c r="D11" t="str">
        <x:f>IF(C11="","",B11*C11)</x:f>
      </x:c>
      <x:c r="E11" t="n">
        <x:v>30</x:v>
      </x:c>
      <x:c r="F11"/>
      <x:c r="G11" t="str">
        <x:f>IF(F11="","",E11*F11)</x:f>
      </x:c>
      <x:c r="H11" t="n">
        <x:f>'Marine Campaign'!K11</x:f>
        <x:v>0</x:v>
      </x:c>
      <x:c r="I11"/>
      <x:c r="J11" t="n">
        <x:f>IF(COUNT(D11,G11,H11,I11)=0,"",SUM(D11,G11,H11,I11))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6" t="str">
        <x:v>Activity ID</x:v>
      </x:c>
      <x:c r="B1" s="6" t="str">
        <x:v>Package</x:v>
      </x:c>
      <x:c r="C1" s="6" t="str">
        <x:v>Discipline</x:v>
      </x:c>
      <x:c r="D1" s="6" t="str">
        <x:v>Activity</x:v>
      </x:c>
      <x:c r="E1" s="6" t="str">
        <x:v>Start Day</x:v>
      </x:c>
      <x:c r="F1" s="6" t="str">
        <x:v>Finish Day</x:v>
      </x:c>
      <x:c r="G1" s="6" t="str">
        <x:v>Duration</x:v>
      </x:c>
      <x:c r="H1" s="6" t="str">
        <x:v>Predecessor</x:v>
      </x:c>
      <x:c r="I1" s="6" t="str">
        <x:v>Relationship</x:v>
      </x:c>
      <x:c r="J1" s="6" t="str">
        <x:v>Accountable Role</x:v>
      </x:c>
      <x:c r="K1" s="6" t="str">
        <x:v>Crew assumption</x:v>
      </x:c>
      <x:c r="L1" s="6" t="str">
        <x:v>Marine Resource</x:v>
      </x:c>
    </x:row>
    <x:row r="2">
      <x:c r="A2" t="str">
        <x:v>BR0001</x:v>
      </x:c>
      <x:c r="B2" t="str">
        <x:v>COMMON</x:v>
      </x:c>
      <x:c r="C2" t="str">
        <x:v>Management</x:v>
      </x:c>
      <x:c r="D2" t="str">
        <x:v>Kickoff / contract review</x:v>
      </x:c>
      <x:c r="E2" t="str">
        <x:v>1</x:v>
      </x:c>
      <x:c r="F2" t="str">
        <x:v>10</x:v>
      </x:c>
      <x:c r="G2" t="str">
        <x:v>10</x:v>
      </x:c>
      <x:c r="H2" t="str"/>
      <x:c r="I2" t="str"/>
      <x:c r="J2" t="str">
        <x:v>Project Director</x:v>
      </x:c>
      <x:c r="K2" t="str">
        <x:v>6</x:v>
      </x:c>
      <x:c r="L2" t="str"/>
    </x:row>
    <x:row r="3">
      <x:c r="A3" t="str">
        <x:v>BR0002</x:v>
      </x:c>
      <x:c r="B3" t="str">
        <x:v>COMMON</x:v>
      </x:c>
      <x:c r="C3" t="str">
        <x:v>Survey</x:v>
      </x:c>
      <x:c r="D3" t="str">
        <x:v>Offshore survey campaign planning and permits</x:v>
      </x:c>
      <x:c r="E3" t="str">
        <x:v>5</x:v>
      </x:c>
      <x:c r="F3" t="str">
        <x:v>20</x:v>
      </x:c>
      <x:c r="G3" t="str">
        <x:v>16</x:v>
      </x:c>
      <x:c r="H3" t="str">
        <x:v>BR0001</x:v>
      </x:c>
      <x:c r="I3" t="str">
        <x:v>FS</x:v>
      </x:c>
      <x:c r="J3" t="str">
        <x:v>Survey Manager</x:v>
      </x:c>
      <x:c r="K3" t="str">
        <x:v>8</x:v>
      </x:c>
      <x:c r="L3" t="str">
        <x:v>Workboat</x:v>
      </x:c>
    </x:row>
    <x:row r="4">
      <x:c r="A4" t="str">
        <x:v>BR0003</x:v>
      </x:c>
      <x:c r="B4" t="str">
        <x:v>COMMON</x:v>
      </x:c>
      <x:c r="C4" t="str">
        <x:v>Engineering</x:v>
      </x:c>
      <x:c r="D4" t="str">
        <x:v>Design basis and engineering register approval</x:v>
      </x:c>
      <x:c r="E4" t="str">
        <x:v>10</x:v>
      </x:c>
      <x:c r="F4" t="str">
        <x:v>30</x:v>
      </x:c>
      <x:c r="G4" t="str">
        <x:v>21</x:v>
      </x:c>
      <x:c r="H4" t="str">
        <x:v>BR0001</x:v>
      </x:c>
      <x:c r="I4" t="str">
        <x:v>FS</x:v>
      </x:c>
      <x:c r="J4" t="str">
        <x:v>Engineering Manager</x:v>
      </x:c>
      <x:c r="K4" t="str">
        <x:v>7</x:v>
      </x:c>
      <x:c r="L4" t="str"/>
    </x:row>
    <x:row r="5">
      <x:c r="A5" t="str">
        <x:v>BR0004</x:v>
      </x:c>
      <x:c r="B5" t="str">
        <x:v>COMMON</x:v>
      </x:c>
      <x:c r="C5" t="str">
        <x:v>Marine</x:v>
      </x:c>
      <x:c r="D5" t="str">
        <x:v>Marine spread capability audit and charter strategy</x:v>
      </x:c>
      <x:c r="E5" t="str">
        <x:v>15</x:v>
      </x:c>
      <x:c r="F5" t="str">
        <x:v>45</x:v>
      </x:c>
      <x:c r="G5" t="str">
        <x:v>31</x:v>
      </x:c>
      <x:c r="H5" t="str">
        <x:v>BR0001</x:v>
      </x:c>
      <x:c r="I5" t="str">
        <x:v>FS</x:v>
      </x:c>
      <x:c r="J5" t="str">
        <x:v>Marine Manager</x:v>
      </x:c>
      <x:c r="K5" t="str">
        <x:v>4</x:v>
      </x:c>
      <x:c r="L5" t="str"/>
    </x:row>
    <x:row r="6">
      <x:c r="A6" t="str">
        <x:v>BR0005</x:v>
      </x:c>
      <x:c r="B6" t="str">
        <x:v>ICW-ICG UD</x:v>
      </x:c>
      <x:c r="C6" t="str">
        <x:v>Survey</x:v>
      </x:c>
      <x:c r="D6" t="str">
        <x:v>Site survey and as-built interface verification</x:v>
      </x:c>
      <x:c r="E6" t="str">
        <x:v>20</x:v>
      </x:c>
      <x:c r="F6" t="str">
        <x:v>43</x:v>
      </x:c>
      <x:c r="G6" t="str">
        <x:v>24</x:v>
      </x:c>
      <x:c r="H6" t="str">
        <x:v>BR0002</x:v>
      </x:c>
      <x:c r="I6" t="str">
        <x:v>FS</x:v>
      </x:c>
      <x:c r="J6" t="str">
        <x:v>Survey Lead</x:v>
      </x:c>
      <x:c r="K6" t="str">
        <x:v>8</x:v>
      </x:c>
      <x:c r="L6" t="str">
        <x:v>Workboat</x:v>
      </x:c>
    </x:row>
    <x:row r="7">
      <x:c r="A7" t="str">
        <x:v>BR0006</x:v>
      </x:c>
      <x:c r="B7" t="str">
        <x:v>ICW-ICG UD</x:v>
      </x:c>
      <x:c r="C7" t="str">
        <x:v>Engineering</x:v>
      </x:c>
      <x:c r="D7" t="str">
        <x:v>Structural assessment / detailed engineering / AFC</x:v>
      </x:c>
      <x:c r="E7" t="str">
        <x:v>44</x:v>
      </x:c>
      <x:c r="F7" t="str">
        <x:v>99</x:v>
      </x:c>
      <x:c r="G7" t="str">
        <x:v>56</x:v>
      </x:c>
      <x:c r="H7" t="str">
        <x:v>BR0005</x:v>
      </x:c>
      <x:c r="I7" t="str">
        <x:v>FS</x:v>
      </x:c>
      <x:c r="J7" t="str">
        <x:v>Engineering Lead</x:v>
      </x:c>
      <x:c r="K7" t="str">
        <x:v>6</x:v>
      </x:c>
      <x:c r="L7" t="str"/>
    </x:row>
    <x:row r="8">
      <x:c r="A8" t="str">
        <x:v>BR0007</x:v>
      </x:c>
      <x:c r="B8" t="str">
        <x:v>ICW-ICG UD</x:v>
      </x:c>
      <x:c r="C8" t="str">
        <x:v>Procurement</x:v>
      </x:c>
      <x:c r="D8" t="str">
        <x:v>Material requisition, vendor review and steel receipt</x:v>
      </x:c>
      <x:c r="E8" t="str">
        <x:v>76</x:v>
      </x:c>
      <x:c r="F8" t="str">
        <x:v>141</x:v>
      </x:c>
      <x:c r="G8" t="str">
        <x:v>66</x:v>
      </x:c>
      <x:c r="H8" t="str">
        <x:v>BR0006</x:v>
      </x:c>
      <x:c r="I8" t="str">
        <x:v>FS</x:v>
      </x:c>
      <x:c r="J8" t="str">
        <x:v>Procurement Lead</x:v>
      </x:c>
      <x:c r="K8" t="str">
        <x:v>3</x:v>
      </x:c>
      <x:c r="L8" t="str"/>
    </x:row>
    <x:row r="9">
      <x:c r="A9" t="str">
        <x:v>BR0008</x:v>
      </x:c>
      <x:c r="B9" t="str">
        <x:v>ICW-ICG UD</x:v>
      </x:c>
      <x:c r="C9" t="str">
        <x:v>Fabrication</x:v>
      </x:c>
      <x:c r="D9" t="str">
        <x:v>Fabricate / weld / inspect / coat assemblies</x:v>
      </x:c>
      <x:c r="E9" t="str">
        <x:v>125</x:v>
      </x:c>
      <x:c r="F9" t="str">
        <x:v>205</x:v>
      </x:c>
      <x:c r="G9" t="str">
        <x:v>81</x:v>
      </x:c>
      <x:c r="H9" t="str">
        <x:v>BR0007</x:v>
      </x:c>
      <x:c r="I9" t="str">
        <x:v>FS</x:v>
      </x:c>
      <x:c r="J9" t="str">
        <x:v>Fabrication Lead</x:v>
      </x:c>
      <x:c r="K9" t="str">
        <x:v>18</x:v>
      </x:c>
      <x:c r="L9" t="str"/>
    </x:row>
    <x:row r="10">
      <x:c r="A10" t="str">
        <x:v>BR0009</x:v>
      </x:c>
      <x:c r="B10" t="str">
        <x:v>ICW-ICG UD</x:v>
      </x:c>
      <x:c r="C10" t="str">
        <x:v>Marine</x:v>
      </x:c>
      <x:c r="D10" t="str">
        <x:v>Weigh, COG, lifting, seafastening and marine approval</x:v>
      </x:c>
      <x:c r="E10" t="str">
        <x:v>190</x:v>
      </x:c>
      <x:c r="F10" t="str">
        <x:v>231</x:v>
      </x:c>
      <x:c r="G10" t="str">
        <x:v>42</x:v>
      </x:c>
      <x:c r="H10" t="str">
        <x:v>BR0008</x:v>
      </x:c>
      <x:c r="I10" t="str">
        <x:v>FS</x:v>
      </x:c>
      <x:c r="J10" t="str">
        <x:v>Marine Engineer</x:v>
      </x:c>
      <x:c r="K10" t="str">
        <x:v>5</x:v>
      </x:c>
      <x:c r="L10" t="str"/>
    </x:row>
    <x:row r="11">
      <x:c r="A11" t="str">
        <x:v>BR0010</x:v>
      </x:c>
      <x:c r="B11" t="str">
        <x:v>ICW-ICG UD</x:v>
      </x:c>
      <x:c r="C11" t="str">
        <x:v>Offshore</x:v>
      </x:c>
      <x:c r="D11" t="str">
        <x:v>Offshore mobilisation, access and enabling works</x:v>
      </x:c>
      <x:c r="E11" t="str">
        <x:v>218</x:v>
      </x:c>
      <x:c r="F11" t="str">
        <x:v>246</x:v>
      </x:c>
      <x:c r="G11" t="str">
        <x:v>29</x:v>
      </x:c>
      <x:c r="H11" t="str">
        <x:v>BR0009</x:v>
      </x:c>
      <x:c r="I11" t="str">
        <x:v>FS</x:v>
      </x:c>
      <x:c r="J11" t="str">
        <x:v>Offshore Manager</x:v>
      </x:c>
      <x:c r="K11" t="str">
        <x:v>20</x:v>
      </x:c>
      <x:c r="L11" t="str">
        <x:v>Accommodation barge</x:v>
      </x:c>
    </x:row>
    <x:row r="12">
      <x:c r="A12" t="str">
        <x:v>BR0011</x:v>
      </x:c>
      <x:c r="B12" t="str">
        <x:v>ICW-ICG UD</x:v>
      </x:c>
      <x:c r="C12" t="str">
        <x:v>Offshore</x:v>
      </x:c>
      <x:c r="D12" t="str">
        <x:v>Install bridge / strengthening assemblies</x:v>
      </x:c>
      <x:c r="E12" t="str">
        <x:v>242</x:v>
      </x:c>
      <x:c r="F12" t="str">
        <x:v>278</x:v>
      </x:c>
      <x:c r="G12" t="str">
        <x:v>37</x:v>
      </x:c>
      <x:c r="H12" t="str">
        <x:v>BR0010</x:v>
      </x:c>
      <x:c r="I12" t="str">
        <x:v>FS</x:v>
      </x:c>
      <x:c r="J12" t="str">
        <x:v>Construction Manager</x:v>
      </x:c>
      <x:c r="K12" t="str">
        <x:v>26</x:v>
      </x:c>
      <x:c r="L12" t="str">
        <x:v>Crane vessel (verify)</x:v>
      </x:c>
    </x:row>
    <x:row r="13">
      <x:c r="A13" t="str">
        <x:v>BR0012</x:v>
      </x:c>
      <x:c r="B13" t="str">
        <x:v>ICW-ICG UD</x:v>
      </x:c>
      <x:c r="C13" t="str">
        <x:v>Completion</x:v>
      </x:c>
      <x:c r="D13" t="str">
        <x:v>Inspection, punch clearance and turnover dossier</x:v>
      </x:c>
      <x:c r="E13" t="str">
        <x:v>280</x:v>
      </x:c>
      <x:c r="F13" t="str">
        <x:v>298</x:v>
      </x:c>
      <x:c r="G13" t="str">
        <x:v>19</x:v>
      </x:c>
      <x:c r="H13" t="str">
        <x:v>BR0011</x:v>
      </x:c>
      <x:c r="I13" t="str">
        <x:v>FS</x:v>
      </x:c>
      <x:c r="J13" t="str">
        <x:v>QAQC Lead</x:v>
      </x:c>
      <x:c r="K13" t="str">
        <x:v>6</x:v>
      </x:c>
      <x:c r="L13" t="str"/>
    </x:row>
    <x:row r="14">
      <x:c r="A14" t="str">
        <x:v>BR0013</x:v>
      </x:c>
      <x:c r="B14" t="str">
        <x:v>ICW-ICG LD</x:v>
      </x:c>
      <x:c r="C14" t="str">
        <x:v>Survey</x:v>
      </x:c>
      <x:c r="D14" t="str">
        <x:v>Site survey and as-built interface verification</x:v>
      </x:c>
      <x:c r="E14" t="str">
        <x:v>26</x:v>
      </x:c>
      <x:c r="F14" t="str">
        <x:v>49</x:v>
      </x:c>
      <x:c r="G14" t="str">
        <x:v>24</x:v>
      </x:c>
      <x:c r="H14" t="str">
        <x:v>BR0002</x:v>
      </x:c>
      <x:c r="I14" t="str">
        <x:v>FS</x:v>
      </x:c>
      <x:c r="J14" t="str">
        <x:v>Survey Lead</x:v>
      </x:c>
      <x:c r="K14" t="str">
        <x:v>8</x:v>
      </x:c>
      <x:c r="L14" t="str">
        <x:v>Workboat</x:v>
      </x:c>
    </x:row>
    <x:row r="15">
      <x:c r="A15" t="str">
        <x:v>BR0014</x:v>
      </x:c>
      <x:c r="B15" t="str">
        <x:v>ICW-ICG LD</x:v>
      </x:c>
      <x:c r="C15" t="str">
        <x:v>Engineering</x:v>
      </x:c>
      <x:c r="D15" t="str">
        <x:v>Structural assessment / detailed engineering / AFC</x:v>
      </x:c>
      <x:c r="E15" t="str">
        <x:v>50</x:v>
      </x:c>
      <x:c r="F15" t="str">
        <x:v>105</x:v>
      </x:c>
      <x:c r="G15" t="str">
        <x:v>56</x:v>
      </x:c>
      <x:c r="H15" t="str">
        <x:v>BR0013</x:v>
      </x:c>
      <x:c r="I15" t="str">
        <x:v>FS</x:v>
      </x:c>
      <x:c r="J15" t="str">
        <x:v>Engineering Lead</x:v>
      </x:c>
      <x:c r="K15" t="str">
        <x:v>6</x:v>
      </x:c>
      <x:c r="L15" t="str"/>
    </x:row>
    <x:row r="16">
      <x:c r="A16" t="str">
        <x:v>BR0015</x:v>
      </x:c>
      <x:c r="B16" t="str">
        <x:v>ICW-ICG LD</x:v>
      </x:c>
      <x:c r="C16" t="str">
        <x:v>Procurement</x:v>
      </x:c>
      <x:c r="D16" t="str">
        <x:v>Material requisition, vendor review and steel receipt</x:v>
      </x:c>
      <x:c r="E16" t="str">
        <x:v>82</x:v>
      </x:c>
      <x:c r="F16" t="str">
        <x:v>147</x:v>
      </x:c>
      <x:c r="G16" t="str">
        <x:v>66</x:v>
      </x:c>
      <x:c r="H16" t="str">
        <x:v>BR0014</x:v>
      </x:c>
      <x:c r="I16" t="str">
        <x:v>FS</x:v>
      </x:c>
      <x:c r="J16" t="str">
        <x:v>Procurement Lead</x:v>
      </x:c>
      <x:c r="K16" t="str">
        <x:v>3</x:v>
      </x:c>
      <x:c r="L16" t="str"/>
    </x:row>
    <x:row r="17">
      <x:c r="A17" t="str">
        <x:v>BR0016</x:v>
      </x:c>
      <x:c r="B17" t="str">
        <x:v>ICW-ICG LD</x:v>
      </x:c>
      <x:c r="C17" t="str">
        <x:v>Fabrication</x:v>
      </x:c>
      <x:c r="D17" t="str">
        <x:v>Fabricate / weld / inspect / coat assemblies</x:v>
      </x:c>
      <x:c r="E17" t="str">
        <x:v>131</x:v>
      </x:c>
      <x:c r="F17" t="str">
        <x:v>211</x:v>
      </x:c>
      <x:c r="G17" t="str">
        <x:v>81</x:v>
      </x:c>
      <x:c r="H17" t="str">
        <x:v>BR0015</x:v>
      </x:c>
      <x:c r="I17" t="str">
        <x:v>FS</x:v>
      </x:c>
      <x:c r="J17" t="str">
        <x:v>Fabrication Lead</x:v>
      </x:c>
      <x:c r="K17" t="str">
        <x:v>18</x:v>
      </x:c>
      <x:c r="L17" t="str"/>
    </x:row>
    <x:row r="18">
      <x:c r="A18" t="str">
        <x:v>BR0017</x:v>
      </x:c>
      <x:c r="B18" t="str">
        <x:v>ICW-ICG LD</x:v>
      </x:c>
      <x:c r="C18" t="str">
        <x:v>Marine</x:v>
      </x:c>
      <x:c r="D18" t="str">
        <x:v>Weigh, COG, lifting, seafastening and marine approval</x:v>
      </x:c>
      <x:c r="E18" t="str">
        <x:v>196</x:v>
      </x:c>
      <x:c r="F18" t="str">
        <x:v>237</x:v>
      </x:c>
      <x:c r="G18" t="str">
        <x:v>42</x:v>
      </x:c>
      <x:c r="H18" t="str">
        <x:v>BR0016</x:v>
      </x:c>
      <x:c r="I18" t="str">
        <x:v>FS</x:v>
      </x:c>
      <x:c r="J18" t="str">
        <x:v>Marine Engineer</x:v>
      </x:c>
      <x:c r="K18" t="str">
        <x:v>5</x:v>
      </x:c>
      <x:c r="L18" t="str"/>
    </x:row>
    <x:row r="19">
      <x:c r="A19" t="str">
        <x:v>BR0018</x:v>
      </x:c>
      <x:c r="B19" t="str">
        <x:v>ICW-ICG LD</x:v>
      </x:c>
      <x:c r="C19" t="str">
        <x:v>Offshore</x:v>
      </x:c>
      <x:c r="D19" t="str">
        <x:v>Offshore mobilisation, access and enabling works</x:v>
      </x:c>
      <x:c r="E19" t="str">
        <x:v>224</x:v>
      </x:c>
      <x:c r="F19" t="str">
        <x:v>252</x:v>
      </x:c>
      <x:c r="G19" t="str">
        <x:v>29</x:v>
      </x:c>
      <x:c r="H19" t="str">
        <x:v>BR0017</x:v>
      </x:c>
      <x:c r="I19" t="str">
        <x:v>FS</x:v>
      </x:c>
      <x:c r="J19" t="str">
        <x:v>Offshore Manager</x:v>
      </x:c>
      <x:c r="K19" t="str">
        <x:v>20</x:v>
      </x:c>
      <x:c r="L19" t="str">
        <x:v>Accommodation barge</x:v>
      </x:c>
    </x:row>
    <x:row r="20">
      <x:c r="A20" t="str">
        <x:v>BR0019</x:v>
      </x:c>
      <x:c r="B20" t="str">
        <x:v>ICW-ICG LD</x:v>
      </x:c>
      <x:c r="C20" t="str">
        <x:v>Offshore</x:v>
      </x:c>
      <x:c r="D20" t="str">
        <x:v>Install bridge / strengthening assemblies</x:v>
      </x:c>
      <x:c r="E20" t="str">
        <x:v>248</x:v>
      </x:c>
      <x:c r="F20" t="str">
        <x:v>284</x:v>
      </x:c>
      <x:c r="G20" t="str">
        <x:v>37</x:v>
      </x:c>
      <x:c r="H20" t="str">
        <x:v>BR0018</x:v>
      </x:c>
      <x:c r="I20" t="str">
        <x:v>FS</x:v>
      </x:c>
      <x:c r="J20" t="str">
        <x:v>Construction Manager</x:v>
      </x:c>
      <x:c r="K20" t="str">
        <x:v>26</x:v>
      </x:c>
      <x:c r="L20" t="str">
        <x:v>Crane vessel (verify)</x:v>
      </x:c>
    </x:row>
    <x:row r="21">
      <x:c r="A21" t="str">
        <x:v>BR0020</x:v>
      </x:c>
      <x:c r="B21" t="str">
        <x:v>ICW-ICG LD</x:v>
      </x:c>
      <x:c r="C21" t="str">
        <x:v>Completion</x:v>
      </x:c>
      <x:c r="D21" t="str">
        <x:v>Inspection, punch clearance and turnover dossier</x:v>
      </x:c>
      <x:c r="E21" t="str">
        <x:v>286</x:v>
      </x:c>
      <x:c r="F21" t="str">
        <x:v>304</x:v>
      </x:c>
      <x:c r="G21" t="str">
        <x:v>19</x:v>
      </x:c>
      <x:c r="H21" t="str">
        <x:v>BR0019</x:v>
      </x:c>
      <x:c r="I21" t="str">
        <x:v>FS</x:v>
      </x:c>
      <x:c r="J21" t="str">
        <x:v>QAQC Lead</x:v>
      </x:c>
      <x:c r="K21" t="str">
        <x:v>6</x:v>
      </x:c>
      <x:c r="L21" t="str"/>
    </x:row>
    <x:row r="22">
      <x:c r="A22" t="str">
        <x:v>BR0021</x:v>
      </x:c>
      <x:c r="B22" t="str">
        <x:v>ICG-ICP UD</x:v>
      </x:c>
      <x:c r="C22" t="str">
        <x:v>Survey</x:v>
      </x:c>
      <x:c r="D22" t="str">
        <x:v>Site survey and as-built interface verification</x:v>
      </x:c>
      <x:c r="E22" t="str">
        <x:v>32</x:v>
      </x:c>
      <x:c r="F22" t="str">
        <x:v>55</x:v>
      </x:c>
      <x:c r="G22" t="str">
        <x:v>24</x:v>
      </x:c>
      <x:c r="H22" t="str">
        <x:v>BR0002</x:v>
      </x:c>
      <x:c r="I22" t="str">
        <x:v>FS</x:v>
      </x:c>
      <x:c r="J22" t="str">
        <x:v>Survey Lead</x:v>
      </x:c>
      <x:c r="K22" t="str">
        <x:v>8</x:v>
      </x:c>
      <x:c r="L22" t="str">
        <x:v>Workboat</x:v>
      </x:c>
    </x:row>
    <x:row r="23">
      <x:c r="A23" t="str">
        <x:v>BR0022</x:v>
      </x:c>
      <x:c r="B23" t="str">
        <x:v>ICG-ICP UD</x:v>
      </x:c>
      <x:c r="C23" t="str">
        <x:v>Engineering</x:v>
      </x:c>
      <x:c r="D23" t="str">
        <x:v>Structural assessment / detailed engineering / AFC</x:v>
      </x:c>
      <x:c r="E23" t="str">
        <x:v>56</x:v>
      </x:c>
      <x:c r="F23" t="str">
        <x:v>111</x:v>
      </x:c>
      <x:c r="G23" t="str">
        <x:v>56</x:v>
      </x:c>
      <x:c r="H23" t="str">
        <x:v>BR0021</x:v>
      </x:c>
      <x:c r="I23" t="str">
        <x:v>FS</x:v>
      </x:c>
      <x:c r="J23" t="str">
        <x:v>Engineering Lead</x:v>
      </x:c>
      <x:c r="K23" t="str">
        <x:v>6</x:v>
      </x:c>
      <x:c r="L23" t="str"/>
    </x:row>
    <x:row r="24">
      <x:c r="A24" t="str">
        <x:v>BR0023</x:v>
      </x:c>
      <x:c r="B24" t="str">
        <x:v>ICG-ICP UD</x:v>
      </x:c>
      <x:c r="C24" t="str">
        <x:v>Procurement</x:v>
      </x:c>
      <x:c r="D24" t="str">
        <x:v>Material requisition, vendor review and steel receipt</x:v>
      </x:c>
      <x:c r="E24" t="str">
        <x:v>88</x:v>
      </x:c>
      <x:c r="F24" t="str">
        <x:v>153</x:v>
      </x:c>
      <x:c r="G24" t="str">
        <x:v>66</x:v>
      </x:c>
      <x:c r="H24" t="str">
        <x:v>BR0022</x:v>
      </x:c>
      <x:c r="I24" t="str">
        <x:v>FS</x:v>
      </x:c>
      <x:c r="J24" t="str">
        <x:v>Procurement Lead</x:v>
      </x:c>
      <x:c r="K24" t="str">
        <x:v>3</x:v>
      </x:c>
      <x:c r="L24" t="str"/>
    </x:row>
    <x:row r="25">
      <x:c r="A25" t="str">
        <x:v>BR0024</x:v>
      </x:c>
      <x:c r="B25" t="str">
        <x:v>ICG-ICP UD</x:v>
      </x:c>
      <x:c r="C25" t="str">
        <x:v>Fabrication</x:v>
      </x:c>
      <x:c r="D25" t="str">
        <x:v>Fabricate / weld / inspect / coat assemblies</x:v>
      </x:c>
      <x:c r="E25" t="str">
        <x:v>137</x:v>
      </x:c>
      <x:c r="F25" t="str">
        <x:v>217</x:v>
      </x:c>
      <x:c r="G25" t="str">
        <x:v>81</x:v>
      </x:c>
      <x:c r="H25" t="str">
        <x:v>BR0023</x:v>
      </x:c>
      <x:c r="I25" t="str">
        <x:v>FS</x:v>
      </x:c>
      <x:c r="J25" t="str">
        <x:v>Fabrication Lead</x:v>
      </x:c>
      <x:c r="K25" t="str">
        <x:v>18</x:v>
      </x:c>
      <x:c r="L25" t="str"/>
    </x:row>
    <x:row r="26">
      <x:c r="A26" t="str">
        <x:v>BR0025</x:v>
      </x:c>
      <x:c r="B26" t="str">
        <x:v>ICG-ICP UD</x:v>
      </x:c>
      <x:c r="C26" t="str">
        <x:v>Marine</x:v>
      </x:c>
      <x:c r="D26" t="str">
        <x:v>Weigh, COG, lifting, seafastening and marine approval</x:v>
      </x:c>
      <x:c r="E26" t="str">
        <x:v>202</x:v>
      </x:c>
      <x:c r="F26" t="str">
        <x:v>243</x:v>
      </x:c>
      <x:c r="G26" t="str">
        <x:v>42</x:v>
      </x:c>
      <x:c r="H26" t="str">
        <x:v>BR0024</x:v>
      </x:c>
      <x:c r="I26" t="str">
        <x:v>FS</x:v>
      </x:c>
      <x:c r="J26" t="str">
        <x:v>Marine Engineer</x:v>
      </x:c>
      <x:c r="K26" t="str">
        <x:v>5</x:v>
      </x:c>
      <x:c r="L26" t="str"/>
    </x:row>
    <x:row r="27">
      <x:c r="A27" t="str">
        <x:v>BR0026</x:v>
      </x:c>
      <x:c r="B27" t="str">
        <x:v>ICG-ICP UD</x:v>
      </x:c>
      <x:c r="C27" t="str">
        <x:v>Offshore</x:v>
      </x:c>
      <x:c r="D27" t="str">
        <x:v>Offshore mobilisation, access and enabling works</x:v>
      </x:c>
      <x:c r="E27" t="str">
        <x:v>230</x:v>
      </x:c>
      <x:c r="F27" t="str">
        <x:v>258</x:v>
      </x:c>
      <x:c r="G27" t="str">
        <x:v>29</x:v>
      </x:c>
      <x:c r="H27" t="str">
        <x:v>BR0025</x:v>
      </x:c>
      <x:c r="I27" t="str">
        <x:v>FS</x:v>
      </x:c>
      <x:c r="J27" t="str">
        <x:v>Offshore Manager</x:v>
      </x:c>
      <x:c r="K27" t="str">
        <x:v>20</x:v>
      </x:c>
      <x:c r="L27" t="str">
        <x:v>Accommodation barge</x:v>
      </x:c>
    </x:row>
    <x:row r="28">
      <x:c r="A28" t="str">
        <x:v>BR0027</x:v>
      </x:c>
      <x:c r="B28" t="str">
        <x:v>ICG-ICP UD</x:v>
      </x:c>
      <x:c r="C28" t="str">
        <x:v>Offshore</x:v>
      </x:c>
      <x:c r="D28" t="str">
        <x:v>Install bridge / strengthening assemblies</x:v>
      </x:c>
      <x:c r="E28" t="str">
        <x:v>254</x:v>
      </x:c>
      <x:c r="F28" t="str">
        <x:v>290</x:v>
      </x:c>
      <x:c r="G28" t="str">
        <x:v>37</x:v>
      </x:c>
      <x:c r="H28" t="str">
        <x:v>BR0026</x:v>
      </x:c>
      <x:c r="I28" t="str">
        <x:v>FS</x:v>
      </x:c>
      <x:c r="J28" t="str">
        <x:v>Construction Manager</x:v>
      </x:c>
      <x:c r="K28" t="str">
        <x:v>26</x:v>
      </x:c>
      <x:c r="L28" t="str">
        <x:v>Crane vessel (verify)</x:v>
      </x:c>
    </x:row>
    <x:row r="29">
      <x:c r="A29" t="str">
        <x:v>BR0028</x:v>
      </x:c>
      <x:c r="B29" t="str">
        <x:v>ICG-ICP UD</x:v>
      </x:c>
      <x:c r="C29" t="str">
        <x:v>Completion</x:v>
      </x:c>
      <x:c r="D29" t="str">
        <x:v>Inspection, punch clearance and turnover dossier</x:v>
      </x:c>
      <x:c r="E29" t="str">
        <x:v>292</x:v>
      </x:c>
      <x:c r="F29" t="str">
        <x:v>310</x:v>
      </x:c>
      <x:c r="G29" t="str">
        <x:v>19</x:v>
      </x:c>
      <x:c r="H29" t="str">
        <x:v>BR0027</x:v>
      </x:c>
      <x:c r="I29" t="str">
        <x:v>FS</x:v>
      </x:c>
      <x:c r="J29" t="str">
        <x:v>QAQC Lead</x:v>
      </x:c>
      <x:c r="K29" t="str">
        <x:v>6</x:v>
      </x:c>
      <x:c r="L29" t="str"/>
    </x:row>
    <x:row r="30">
      <x:c r="A30" t="str">
        <x:v>BR0029</x:v>
      </x:c>
      <x:c r="B30" t="str">
        <x:v>ICG-ICP LD</x:v>
      </x:c>
      <x:c r="C30" t="str">
        <x:v>Survey</x:v>
      </x:c>
      <x:c r="D30" t="str">
        <x:v>Site survey and as-built interface verification</x:v>
      </x:c>
      <x:c r="E30" t="str">
        <x:v>38</x:v>
      </x:c>
      <x:c r="F30" t="str">
        <x:v>61</x:v>
      </x:c>
      <x:c r="G30" t="str">
        <x:v>24</x:v>
      </x:c>
      <x:c r="H30" t="str">
        <x:v>BR0002</x:v>
      </x:c>
      <x:c r="I30" t="str">
        <x:v>FS</x:v>
      </x:c>
      <x:c r="J30" t="str">
        <x:v>Survey Lead</x:v>
      </x:c>
      <x:c r="K30" t="str">
        <x:v>8</x:v>
      </x:c>
      <x:c r="L30" t="str">
        <x:v>Workboat</x:v>
      </x:c>
    </x:row>
    <x:row r="31">
      <x:c r="A31" t="str">
        <x:v>BR0030</x:v>
      </x:c>
      <x:c r="B31" t="str">
        <x:v>ICG-ICP LD</x:v>
      </x:c>
      <x:c r="C31" t="str">
        <x:v>Engineering</x:v>
      </x:c>
      <x:c r="D31" t="str">
        <x:v>Structural assessment / detailed engineering / AFC</x:v>
      </x:c>
      <x:c r="E31" t="str">
        <x:v>62</x:v>
      </x:c>
      <x:c r="F31" t="str">
        <x:v>117</x:v>
      </x:c>
      <x:c r="G31" t="str">
        <x:v>56</x:v>
      </x:c>
      <x:c r="H31" t="str">
        <x:v>BR0029</x:v>
      </x:c>
      <x:c r="I31" t="str">
        <x:v>FS</x:v>
      </x:c>
      <x:c r="J31" t="str">
        <x:v>Engineering Lead</x:v>
      </x:c>
      <x:c r="K31" t="str">
        <x:v>6</x:v>
      </x:c>
      <x:c r="L31" t="str"/>
    </x:row>
    <x:row r="32">
      <x:c r="A32" t="str">
        <x:v>BR0031</x:v>
      </x:c>
      <x:c r="B32" t="str">
        <x:v>ICG-ICP LD</x:v>
      </x:c>
      <x:c r="C32" t="str">
        <x:v>Procurement</x:v>
      </x:c>
      <x:c r="D32" t="str">
        <x:v>Material requisition, vendor review and steel receipt</x:v>
      </x:c>
      <x:c r="E32" t="str">
        <x:v>94</x:v>
      </x:c>
      <x:c r="F32" t="str">
        <x:v>159</x:v>
      </x:c>
      <x:c r="G32" t="str">
        <x:v>66</x:v>
      </x:c>
      <x:c r="H32" t="str">
        <x:v>BR0030</x:v>
      </x:c>
      <x:c r="I32" t="str">
        <x:v>FS</x:v>
      </x:c>
      <x:c r="J32" t="str">
        <x:v>Procurement Lead</x:v>
      </x:c>
      <x:c r="K32" t="str">
        <x:v>3</x:v>
      </x:c>
      <x:c r="L32" t="str"/>
    </x:row>
    <x:row r="33">
      <x:c r="A33" t="str">
        <x:v>BR0032</x:v>
      </x:c>
      <x:c r="B33" t="str">
        <x:v>ICG-ICP LD</x:v>
      </x:c>
      <x:c r="C33" t="str">
        <x:v>Fabrication</x:v>
      </x:c>
      <x:c r="D33" t="str">
        <x:v>Fabricate / weld / inspect / coat assemblies</x:v>
      </x:c>
      <x:c r="E33" t="str">
        <x:v>143</x:v>
      </x:c>
      <x:c r="F33" t="str">
        <x:v>223</x:v>
      </x:c>
      <x:c r="G33" t="str">
        <x:v>81</x:v>
      </x:c>
      <x:c r="H33" t="str">
        <x:v>BR0031</x:v>
      </x:c>
      <x:c r="I33" t="str">
        <x:v>FS</x:v>
      </x:c>
      <x:c r="J33" t="str">
        <x:v>Fabrication Lead</x:v>
      </x:c>
      <x:c r="K33" t="str">
        <x:v>18</x:v>
      </x:c>
      <x:c r="L33" t="str"/>
    </x:row>
    <x:row r="34">
      <x:c r="A34" t="str">
        <x:v>BR0033</x:v>
      </x:c>
      <x:c r="B34" t="str">
        <x:v>ICG-ICP LD</x:v>
      </x:c>
      <x:c r="C34" t="str">
        <x:v>Marine</x:v>
      </x:c>
      <x:c r="D34" t="str">
        <x:v>Weigh, COG, lifting, seafastening and marine approval</x:v>
      </x:c>
      <x:c r="E34" t="str">
        <x:v>208</x:v>
      </x:c>
      <x:c r="F34" t="str">
        <x:v>249</x:v>
      </x:c>
      <x:c r="G34" t="str">
        <x:v>42</x:v>
      </x:c>
      <x:c r="H34" t="str">
        <x:v>BR0032</x:v>
      </x:c>
      <x:c r="I34" t="str">
        <x:v>FS</x:v>
      </x:c>
      <x:c r="J34" t="str">
        <x:v>Marine Engineer</x:v>
      </x:c>
      <x:c r="K34" t="str">
        <x:v>5</x:v>
      </x:c>
      <x:c r="L34" t="str"/>
    </x:row>
    <x:row r="35">
      <x:c r="A35" t="str">
        <x:v>BR0034</x:v>
      </x:c>
      <x:c r="B35" t="str">
        <x:v>ICG-ICP LD</x:v>
      </x:c>
      <x:c r="C35" t="str">
        <x:v>Offshore</x:v>
      </x:c>
      <x:c r="D35" t="str">
        <x:v>Offshore mobilisation, access and enabling works</x:v>
      </x:c>
      <x:c r="E35" t="str">
        <x:v>236</x:v>
      </x:c>
      <x:c r="F35" t="str">
        <x:v>264</x:v>
      </x:c>
      <x:c r="G35" t="str">
        <x:v>29</x:v>
      </x:c>
      <x:c r="H35" t="str">
        <x:v>BR0033</x:v>
      </x:c>
      <x:c r="I35" t="str">
        <x:v>FS</x:v>
      </x:c>
      <x:c r="J35" t="str">
        <x:v>Offshore Manager</x:v>
      </x:c>
      <x:c r="K35" t="str">
        <x:v>20</x:v>
      </x:c>
      <x:c r="L35" t="str">
        <x:v>Accommodation barge</x:v>
      </x:c>
    </x:row>
    <x:row r="36">
      <x:c r="A36" t="str">
        <x:v>BR0035</x:v>
      </x:c>
      <x:c r="B36" t="str">
        <x:v>ICG-ICP LD</x:v>
      </x:c>
      <x:c r="C36" t="str">
        <x:v>Offshore</x:v>
      </x:c>
      <x:c r="D36" t="str">
        <x:v>Install bridge / strengthening assemblies</x:v>
      </x:c>
      <x:c r="E36" t="str">
        <x:v>260</x:v>
      </x:c>
      <x:c r="F36" t="str">
        <x:v>296</x:v>
      </x:c>
      <x:c r="G36" t="str">
        <x:v>37</x:v>
      </x:c>
      <x:c r="H36" t="str">
        <x:v>BR0034</x:v>
      </x:c>
      <x:c r="I36" t="str">
        <x:v>FS</x:v>
      </x:c>
      <x:c r="J36" t="str">
        <x:v>Construction Manager</x:v>
      </x:c>
      <x:c r="K36" t="str">
        <x:v>26</x:v>
      </x:c>
      <x:c r="L36" t="str">
        <x:v>Crane vessel (verify)</x:v>
      </x:c>
    </x:row>
    <x:row r="37">
      <x:c r="A37" t="str">
        <x:v>BR0036</x:v>
      </x:c>
      <x:c r="B37" t="str">
        <x:v>ICG-ICP LD</x:v>
      </x:c>
      <x:c r="C37" t="str">
        <x:v>Completion</x:v>
      </x:c>
      <x:c r="D37" t="str">
        <x:v>Inspection, punch clearance and turnover dossier</x:v>
      </x:c>
      <x:c r="E37" t="str">
        <x:v>298</x:v>
      </x:c>
      <x:c r="F37" t="str">
        <x:v>316</x:v>
      </x:c>
      <x:c r="G37" t="str">
        <x:v>19</x:v>
      </x:c>
      <x:c r="H37" t="str">
        <x:v>BR0035</x:v>
      </x:c>
      <x:c r="I37" t="str">
        <x:v>FS</x:v>
      </x:c>
      <x:c r="J37" t="str">
        <x:v>QAQC Lead</x:v>
      </x:c>
      <x:c r="K37" t="str">
        <x:v>6</x:v>
      </x:c>
      <x:c r="L37" t="str"/>
    </x:row>
    <x:row r="38">
      <x:c r="A38" t="str">
        <x:v>BR0037</x:v>
      </x:c>
      <x:c r="B38" t="str">
        <x:v>BHS-SLQ</x:v>
      </x:c>
      <x:c r="C38" t="str">
        <x:v>Survey</x:v>
      </x:c>
      <x:c r="D38" t="str">
        <x:v>Site survey and as-built interface verification</x:v>
      </x:c>
      <x:c r="E38" t="str">
        <x:v>44</x:v>
      </x:c>
      <x:c r="F38" t="str">
        <x:v>67</x:v>
      </x:c>
      <x:c r="G38" t="str">
        <x:v>24</x:v>
      </x:c>
      <x:c r="H38" t="str">
        <x:v>BR0002</x:v>
      </x:c>
      <x:c r="I38" t="str">
        <x:v>FS</x:v>
      </x:c>
      <x:c r="J38" t="str">
        <x:v>Survey Lead</x:v>
      </x:c>
      <x:c r="K38" t="str">
        <x:v>8</x:v>
      </x:c>
      <x:c r="L38" t="str">
        <x:v>Workboat</x:v>
      </x:c>
    </x:row>
    <x:row r="39">
      <x:c r="A39" t="str">
        <x:v>BR0038</x:v>
      </x:c>
      <x:c r="B39" t="str">
        <x:v>BHS-SLQ</x:v>
      </x:c>
      <x:c r="C39" t="str">
        <x:v>Engineering</x:v>
      </x:c>
      <x:c r="D39" t="str">
        <x:v>Structural assessment / detailed engineering / AFC</x:v>
      </x:c>
      <x:c r="E39" t="str">
        <x:v>68</x:v>
      </x:c>
      <x:c r="F39" t="str">
        <x:v>123</x:v>
      </x:c>
      <x:c r="G39" t="str">
        <x:v>56</x:v>
      </x:c>
      <x:c r="H39" t="str">
        <x:v>BR0037</x:v>
      </x:c>
      <x:c r="I39" t="str">
        <x:v>FS</x:v>
      </x:c>
      <x:c r="J39" t="str">
        <x:v>Engineering Lead</x:v>
      </x:c>
      <x:c r="K39" t="str">
        <x:v>6</x:v>
      </x:c>
      <x:c r="L39" t="str"/>
    </x:row>
    <x:row r="40">
      <x:c r="A40" t="str">
        <x:v>BR0039</x:v>
      </x:c>
      <x:c r="B40" t="str">
        <x:v>BHS-SLQ</x:v>
      </x:c>
      <x:c r="C40" t="str">
        <x:v>Procurement</x:v>
      </x:c>
      <x:c r="D40" t="str">
        <x:v>Material requisition, vendor review and steel receipt</x:v>
      </x:c>
      <x:c r="E40" t="str">
        <x:v>100</x:v>
      </x:c>
      <x:c r="F40" t="str">
        <x:v>165</x:v>
      </x:c>
      <x:c r="G40" t="str">
        <x:v>66</x:v>
      </x:c>
      <x:c r="H40" t="str">
        <x:v>BR0038</x:v>
      </x:c>
      <x:c r="I40" t="str">
        <x:v>FS</x:v>
      </x:c>
      <x:c r="J40" t="str">
        <x:v>Procurement Lead</x:v>
      </x:c>
      <x:c r="K40" t="str">
        <x:v>3</x:v>
      </x:c>
      <x:c r="L40" t="str"/>
    </x:row>
    <x:row r="41">
      <x:c r="A41" t="str">
        <x:v>BR0040</x:v>
      </x:c>
      <x:c r="B41" t="str">
        <x:v>BHS-SLQ</x:v>
      </x:c>
      <x:c r="C41" t="str">
        <x:v>Fabrication</x:v>
      </x:c>
      <x:c r="D41" t="str">
        <x:v>Fabricate / weld / inspect / coat assemblies</x:v>
      </x:c>
      <x:c r="E41" t="str">
        <x:v>149</x:v>
      </x:c>
      <x:c r="F41" t="str">
        <x:v>229</x:v>
      </x:c>
      <x:c r="G41" t="str">
        <x:v>81</x:v>
      </x:c>
      <x:c r="H41" t="str">
        <x:v>BR0039</x:v>
      </x:c>
      <x:c r="I41" t="str">
        <x:v>FS</x:v>
      </x:c>
      <x:c r="J41" t="str">
        <x:v>Fabrication Lead</x:v>
      </x:c>
      <x:c r="K41" t="str">
        <x:v>18</x:v>
      </x:c>
      <x:c r="L41" t="str"/>
    </x:row>
    <x:row r="42">
      <x:c r="A42" t="str">
        <x:v>BR0041</x:v>
      </x:c>
      <x:c r="B42" t="str">
        <x:v>BHS-SLQ</x:v>
      </x:c>
      <x:c r="C42" t="str">
        <x:v>Marine</x:v>
      </x:c>
      <x:c r="D42" t="str">
        <x:v>Weigh, COG, lifting, seafastening and marine approval</x:v>
      </x:c>
      <x:c r="E42" t="str">
        <x:v>214</x:v>
      </x:c>
      <x:c r="F42" t="str">
        <x:v>255</x:v>
      </x:c>
      <x:c r="G42" t="str">
        <x:v>42</x:v>
      </x:c>
      <x:c r="H42" t="str">
        <x:v>BR0040</x:v>
      </x:c>
      <x:c r="I42" t="str">
        <x:v>FS</x:v>
      </x:c>
      <x:c r="J42" t="str">
        <x:v>Marine Engineer</x:v>
      </x:c>
      <x:c r="K42" t="str">
        <x:v>5</x:v>
      </x:c>
      <x:c r="L42" t="str"/>
    </x:row>
    <x:row r="43">
      <x:c r="A43" t="str">
        <x:v>BR0042</x:v>
      </x:c>
      <x:c r="B43" t="str">
        <x:v>BHS-SLQ</x:v>
      </x:c>
      <x:c r="C43" t="str">
        <x:v>Offshore</x:v>
      </x:c>
      <x:c r="D43" t="str">
        <x:v>Offshore mobilisation, access and enabling works</x:v>
      </x:c>
      <x:c r="E43" t="str">
        <x:v>242</x:v>
      </x:c>
      <x:c r="F43" t="str">
        <x:v>270</x:v>
      </x:c>
      <x:c r="G43" t="str">
        <x:v>29</x:v>
      </x:c>
      <x:c r="H43" t="str">
        <x:v>BR0041</x:v>
      </x:c>
      <x:c r="I43" t="str">
        <x:v>FS</x:v>
      </x:c>
      <x:c r="J43" t="str">
        <x:v>Offshore Manager</x:v>
      </x:c>
      <x:c r="K43" t="str">
        <x:v>20</x:v>
      </x:c>
      <x:c r="L43" t="str">
        <x:v>Accommodation barge</x:v>
      </x:c>
    </x:row>
    <x:row r="44">
      <x:c r="A44" t="str">
        <x:v>BR0043</x:v>
      </x:c>
      <x:c r="B44" t="str">
        <x:v>BHS-SLQ</x:v>
      </x:c>
      <x:c r="C44" t="str">
        <x:v>Offshore</x:v>
      </x:c>
      <x:c r="D44" t="str">
        <x:v>Install bridge / strengthening assemblies</x:v>
      </x:c>
      <x:c r="E44" t="str">
        <x:v>266</x:v>
      </x:c>
      <x:c r="F44" t="str">
        <x:v>302</x:v>
      </x:c>
      <x:c r="G44" t="str">
        <x:v>37</x:v>
      </x:c>
      <x:c r="H44" t="str">
        <x:v>BR0042</x:v>
      </x:c>
      <x:c r="I44" t="str">
        <x:v>FS</x:v>
      </x:c>
      <x:c r="J44" t="str">
        <x:v>Construction Manager</x:v>
      </x:c>
      <x:c r="K44" t="str">
        <x:v>26</x:v>
      </x:c>
      <x:c r="L44" t="str">
        <x:v>Crane vessel (verify)</x:v>
      </x:c>
    </x:row>
    <x:row r="45">
      <x:c r="A45" t="str">
        <x:v>BR0044</x:v>
      </x:c>
      <x:c r="B45" t="str">
        <x:v>BHS-SLQ</x:v>
      </x:c>
      <x:c r="C45" t="str">
        <x:v>Offshore</x:v>
      </x:c>
      <x:c r="D45" t="str">
        <x:v>Transfer services, test and obtain ONGC acceptance</x:v>
      </x:c>
      <x:c r="E45" t="str">
        <x:v>303</x:v>
      </x:c>
      <x:c r="F45" t="str">
        <x:v>326</x:v>
      </x:c>
      <x:c r="G45" t="str">
        <x:v>24</x:v>
      </x:c>
      <x:c r="H45" t="str">
        <x:v>BR0043</x:v>
      </x:c>
      <x:c r="I45" t="str">
        <x:v>FS</x:v>
      </x:c>
      <x:c r="J45" t="str">
        <x:v>Interface Manager</x:v>
      </x:c>
      <x:c r="K45" t="str">
        <x:v>16</x:v>
      </x:c>
      <x:c r="L45" t="str"/>
    </x:row>
    <x:row r="46">
      <x:c r="A46" t="str">
        <x:v>BR0045</x:v>
      </x:c>
      <x:c r="B46" t="str">
        <x:v>BHS-SLQ</x:v>
      </x:c>
      <x:c r="C46" t="str">
        <x:v>Offshore</x:v>
      </x:c>
      <x:c r="D46" t="str">
        <x:v>Engineered demolition of existing bridge</x:v>
      </x:c>
      <x:c r="E46" t="str">
        <x:v>327</x:v>
      </x:c>
      <x:c r="F46" t="str">
        <x:v>351</x:v>
      </x:c>
      <x:c r="G46" t="str">
        <x:v>25</x:v>
      </x:c>
      <x:c r="H46" t="str">
        <x:v>BR0044</x:v>
      </x:c>
      <x:c r="I46" t="str">
        <x:v>FS</x:v>
      </x:c>
      <x:c r="J46" t="str">
        <x:v>Construction Manager</x:v>
      </x:c>
      <x:c r="K46" t="str">
        <x:v>20</x:v>
      </x:c>
      <x:c r="L46" t="str">
        <x:v>Crane vessel (verify)</x:v>
      </x:c>
    </x:row>
    <x:row r="47">
      <x:c r="A47" t="str">
        <x:v>BR0046</x:v>
      </x:c>
      <x:c r="B47" t="str">
        <x:v>BHS-SLQ</x:v>
      </x:c>
      <x:c r="C47" t="str">
        <x:v>Completion</x:v>
      </x:c>
      <x:c r="D47" t="str">
        <x:v>Inspection, punch clearance and turnover dossier</x:v>
      </x:c>
      <x:c r="E47" t="str">
        <x:v>304</x:v>
      </x:c>
      <x:c r="F47" t="str">
        <x:v>322</x:v>
      </x:c>
      <x:c r="G47" t="str">
        <x:v>19</x:v>
      </x:c>
      <x:c r="H47" t="str">
        <x:v>BR0045</x:v>
      </x:c>
      <x:c r="I47" t="str">
        <x:v>FS</x:v>
      </x:c>
      <x:c r="J47" t="str">
        <x:v>QAQC Lead</x:v>
      </x:c>
      <x:c r="K47" t="str">
        <x:v>6</x:v>
      </x:c>
      <x:c r="L47" t="str"/>
    </x:row>
    <x:row r="48">
      <x:c r="A48" t="str">
        <x:v>BR0047</x:v>
      </x:c>
      <x:c r="B48" t="str">
        <x:v>SLQ-WIS</x:v>
      </x:c>
      <x:c r="C48" t="str">
        <x:v>Survey</x:v>
      </x:c>
      <x:c r="D48" t="str">
        <x:v>Site survey and as-built interface verification</x:v>
      </x:c>
      <x:c r="E48" t="str">
        <x:v>50</x:v>
      </x:c>
      <x:c r="F48" t="str">
        <x:v>73</x:v>
      </x:c>
      <x:c r="G48" t="str">
        <x:v>24</x:v>
      </x:c>
      <x:c r="H48" t="str">
        <x:v>BR0002</x:v>
      </x:c>
      <x:c r="I48" t="str">
        <x:v>FS</x:v>
      </x:c>
      <x:c r="J48" t="str">
        <x:v>Survey Lead</x:v>
      </x:c>
      <x:c r="K48" t="str">
        <x:v>8</x:v>
      </x:c>
      <x:c r="L48" t="str">
        <x:v>Workboat</x:v>
      </x:c>
    </x:row>
    <x:row r="49">
      <x:c r="A49" t="str">
        <x:v>BR0048</x:v>
      </x:c>
      <x:c r="B49" t="str">
        <x:v>SLQ-WIS</x:v>
      </x:c>
      <x:c r="C49" t="str">
        <x:v>Engineering</x:v>
      </x:c>
      <x:c r="D49" t="str">
        <x:v>Structural assessment / detailed engineering / AFC</x:v>
      </x:c>
      <x:c r="E49" t="str">
        <x:v>74</x:v>
      </x:c>
      <x:c r="F49" t="str">
        <x:v>129</x:v>
      </x:c>
      <x:c r="G49" t="str">
        <x:v>56</x:v>
      </x:c>
      <x:c r="H49" t="str">
        <x:v>BR0047</x:v>
      </x:c>
      <x:c r="I49" t="str">
        <x:v>FS</x:v>
      </x:c>
      <x:c r="J49" t="str">
        <x:v>Engineering Lead</x:v>
      </x:c>
      <x:c r="K49" t="str">
        <x:v>6</x:v>
      </x:c>
      <x:c r="L49" t="str"/>
    </x:row>
    <x:row r="50">
      <x:c r="A50" t="str">
        <x:v>BR0049</x:v>
      </x:c>
      <x:c r="B50" t="str">
        <x:v>SLQ-WIS</x:v>
      </x:c>
      <x:c r="C50" t="str">
        <x:v>Procurement</x:v>
      </x:c>
      <x:c r="D50" t="str">
        <x:v>Material requisition, vendor review and steel receipt</x:v>
      </x:c>
      <x:c r="E50" t="str">
        <x:v>106</x:v>
      </x:c>
      <x:c r="F50" t="str">
        <x:v>171</x:v>
      </x:c>
      <x:c r="G50" t="str">
        <x:v>66</x:v>
      </x:c>
      <x:c r="H50" t="str">
        <x:v>BR0048</x:v>
      </x:c>
      <x:c r="I50" t="str">
        <x:v>FS</x:v>
      </x:c>
      <x:c r="J50" t="str">
        <x:v>Procurement Lead</x:v>
      </x:c>
      <x:c r="K50" t="str">
        <x:v>3</x:v>
      </x:c>
      <x:c r="L50" t="str"/>
    </x:row>
    <x:row r="51">
      <x:c r="A51" t="str">
        <x:v>BR0050</x:v>
      </x:c>
      <x:c r="B51" t="str">
        <x:v>SLQ-WIS</x:v>
      </x:c>
      <x:c r="C51" t="str">
        <x:v>Fabrication</x:v>
      </x:c>
      <x:c r="D51" t="str">
        <x:v>Fabricate / weld / inspect / coat assemblies</x:v>
      </x:c>
      <x:c r="E51" t="str">
        <x:v>155</x:v>
      </x:c>
      <x:c r="F51" t="str">
        <x:v>235</x:v>
      </x:c>
      <x:c r="G51" t="str">
        <x:v>81</x:v>
      </x:c>
      <x:c r="H51" t="str">
        <x:v>BR0049</x:v>
      </x:c>
      <x:c r="I51" t="str">
        <x:v>FS</x:v>
      </x:c>
      <x:c r="J51" t="str">
        <x:v>Fabrication Lead</x:v>
      </x:c>
      <x:c r="K51" t="str">
        <x:v>18</x:v>
      </x:c>
      <x:c r="L51" t="str"/>
    </x:row>
    <x:row r="52">
      <x:c r="A52" t="str">
        <x:v>BR0051</x:v>
      </x:c>
      <x:c r="B52" t="str">
        <x:v>SLQ-WIS</x:v>
      </x:c>
      <x:c r="C52" t="str">
        <x:v>Marine</x:v>
      </x:c>
      <x:c r="D52" t="str">
        <x:v>Weigh, COG, lifting, seafastening and marine approval</x:v>
      </x:c>
      <x:c r="E52" t="str">
        <x:v>220</x:v>
      </x:c>
      <x:c r="F52" t="str">
        <x:v>261</x:v>
      </x:c>
      <x:c r="G52" t="str">
        <x:v>42</x:v>
      </x:c>
      <x:c r="H52" t="str">
        <x:v>BR0050</x:v>
      </x:c>
      <x:c r="I52" t="str">
        <x:v>FS</x:v>
      </x:c>
      <x:c r="J52" t="str">
        <x:v>Marine Engineer</x:v>
      </x:c>
      <x:c r="K52" t="str">
        <x:v>5</x:v>
      </x:c>
      <x:c r="L52" t="str"/>
    </x:row>
    <x:row r="53">
      <x:c r="A53" t="str">
        <x:v>BR0052</x:v>
      </x:c>
      <x:c r="B53" t="str">
        <x:v>SLQ-WIS</x:v>
      </x:c>
      <x:c r="C53" t="str">
        <x:v>Offshore</x:v>
      </x:c>
      <x:c r="D53" t="str">
        <x:v>Offshore mobilisation, access and enabling works</x:v>
      </x:c>
      <x:c r="E53" t="str">
        <x:v>248</x:v>
      </x:c>
      <x:c r="F53" t="str">
        <x:v>276</x:v>
      </x:c>
      <x:c r="G53" t="str">
        <x:v>29</x:v>
      </x:c>
      <x:c r="H53" t="str">
        <x:v>BR0051</x:v>
      </x:c>
      <x:c r="I53" t="str">
        <x:v>FS</x:v>
      </x:c>
      <x:c r="J53" t="str">
        <x:v>Offshore Manager</x:v>
      </x:c>
      <x:c r="K53" t="str">
        <x:v>20</x:v>
      </x:c>
      <x:c r="L53" t="str">
        <x:v>Accommodation barge</x:v>
      </x:c>
    </x:row>
    <x:row r="54">
      <x:c r="A54" t="str">
        <x:v>BR0053</x:v>
      </x:c>
      <x:c r="B54" t="str">
        <x:v>SLQ-WIS</x:v>
      </x:c>
      <x:c r="C54" t="str">
        <x:v>Offshore</x:v>
      </x:c>
      <x:c r="D54" t="str">
        <x:v>Install bridge / strengthening assemblies</x:v>
      </x:c>
      <x:c r="E54" t="str">
        <x:v>272</x:v>
      </x:c>
      <x:c r="F54" t="str">
        <x:v>308</x:v>
      </x:c>
      <x:c r="G54" t="str">
        <x:v>37</x:v>
      </x:c>
      <x:c r="H54" t="str">
        <x:v>BR0052</x:v>
      </x:c>
      <x:c r="I54" t="str">
        <x:v>FS</x:v>
      </x:c>
      <x:c r="J54" t="str">
        <x:v>Construction Manager</x:v>
      </x:c>
      <x:c r="K54" t="str">
        <x:v>26</x:v>
      </x:c>
      <x:c r="L54" t="str">
        <x:v>Crane vessel (verify)</x:v>
      </x:c>
    </x:row>
    <x:row r="55">
      <x:c r="A55" t="str">
        <x:v>BR0054</x:v>
      </x:c>
      <x:c r="B55" t="str">
        <x:v>SLQ-WIS</x:v>
      </x:c>
      <x:c r="C55" t="str">
        <x:v>Completion</x:v>
      </x:c>
      <x:c r="D55" t="str">
        <x:v>Inspection, punch clearance and turnover dossier</x:v>
      </x:c>
      <x:c r="E55" t="str">
        <x:v>310</x:v>
      </x:c>
      <x:c r="F55" t="str">
        <x:v>328</x:v>
      </x:c>
      <x:c r="G55" t="str">
        <x:v>19</x:v>
      </x:c>
      <x:c r="H55" t="str">
        <x:v>BR0053</x:v>
      </x:c>
      <x:c r="I55" t="str">
        <x:v>FS</x:v>
      </x:c>
      <x:c r="J55" t="str">
        <x:v>QAQC Lead</x:v>
      </x:c>
      <x:c r="K55" t="str">
        <x:v>6</x:v>
      </x:c>
      <x:c r="L55" t="str"/>
    </x:row>
    <x:row r="56">
      <x:c r="A56" t="str">
        <x:v>BR0055</x:v>
      </x:c>
      <x:c r="B56" t="str">
        <x:v>NQO-NQD</x:v>
      </x:c>
      <x:c r="C56" t="str">
        <x:v>Survey</x:v>
      </x:c>
      <x:c r="D56" t="str">
        <x:v>Site survey and as-built interface verification</x:v>
      </x:c>
      <x:c r="E56" t="str">
        <x:v>56</x:v>
      </x:c>
      <x:c r="F56" t="str">
        <x:v>79</x:v>
      </x:c>
      <x:c r="G56" t="str">
        <x:v>24</x:v>
      </x:c>
      <x:c r="H56" t="str">
        <x:v>BR0002</x:v>
      </x:c>
      <x:c r="I56" t="str">
        <x:v>FS</x:v>
      </x:c>
      <x:c r="J56" t="str">
        <x:v>Survey Lead</x:v>
      </x:c>
      <x:c r="K56" t="str">
        <x:v>8</x:v>
      </x:c>
      <x:c r="L56" t="str">
        <x:v>Workboat</x:v>
      </x:c>
    </x:row>
    <x:row r="57">
      <x:c r="A57" t="str">
        <x:v>BR0056</x:v>
      </x:c>
      <x:c r="B57" t="str">
        <x:v>NQO-NQD</x:v>
      </x:c>
      <x:c r="C57" t="str">
        <x:v>Engineering</x:v>
      </x:c>
      <x:c r="D57" t="str">
        <x:v>Structural assessment / detailed engineering / AFC</x:v>
      </x:c>
      <x:c r="E57" t="str">
        <x:v>80</x:v>
      </x:c>
      <x:c r="F57" t="str">
        <x:v>135</x:v>
      </x:c>
      <x:c r="G57" t="str">
        <x:v>56</x:v>
      </x:c>
      <x:c r="H57" t="str">
        <x:v>BR0055</x:v>
      </x:c>
      <x:c r="I57" t="str">
        <x:v>FS</x:v>
      </x:c>
      <x:c r="J57" t="str">
        <x:v>Engineering Lead</x:v>
      </x:c>
      <x:c r="K57" t="str">
        <x:v>6</x:v>
      </x:c>
      <x:c r="L57" t="str"/>
    </x:row>
    <x:row r="58">
      <x:c r="A58" t="str">
        <x:v>BR0057</x:v>
      </x:c>
      <x:c r="B58" t="str">
        <x:v>NQO-NQD</x:v>
      </x:c>
      <x:c r="C58" t="str">
        <x:v>Procurement</x:v>
      </x:c>
      <x:c r="D58" t="str">
        <x:v>Material requisition, vendor review and steel receipt</x:v>
      </x:c>
      <x:c r="E58" t="str">
        <x:v>112</x:v>
      </x:c>
      <x:c r="F58" t="str">
        <x:v>177</x:v>
      </x:c>
      <x:c r="G58" t="str">
        <x:v>66</x:v>
      </x:c>
      <x:c r="H58" t="str">
        <x:v>BR0056</x:v>
      </x:c>
      <x:c r="I58" t="str">
        <x:v>FS</x:v>
      </x:c>
      <x:c r="J58" t="str">
        <x:v>Procurement Lead</x:v>
      </x:c>
      <x:c r="K58" t="str">
        <x:v>3</x:v>
      </x:c>
      <x:c r="L58" t="str"/>
    </x:row>
    <x:row r="59">
      <x:c r="A59" t="str">
        <x:v>BR0058</x:v>
      </x:c>
      <x:c r="B59" t="str">
        <x:v>NQO-NQD</x:v>
      </x:c>
      <x:c r="C59" t="str">
        <x:v>Fabrication</x:v>
      </x:c>
      <x:c r="D59" t="str">
        <x:v>Fabricate / weld / inspect / coat assemblies</x:v>
      </x:c>
      <x:c r="E59" t="str">
        <x:v>161</x:v>
      </x:c>
      <x:c r="F59" t="str">
        <x:v>241</x:v>
      </x:c>
      <x:c r="G59" t="str">
        <x:v>81</x:v>
      </x:c>
      <x:c r="H59" t="str">
        <x:v>BR0057</x:v>
      </x:c>
      <x:c r="I59" t="str">
        <x:v>FS</x:v>
      </x:c>
      <x:c r="J59" t="str">
        <x:v>Fabrication Lead</x:v>
      </x:c>
      <x:c r="K59" t="str">
        <x:v>18</x:v>
      </x:c>
      <x:c r="L59" t="str"/>
    </x:row>
    <x:row r="60">
      <x:c r="A60" t="str">
        <x:v>BR0059</x:v>
      </x:c>
      <x:c r="B60" t="str">
        <x:v>NQO-NQD</x:v>
      </x:c>
      <x:c r="C60" t="str">
        <x:v>Marine</x:v>
      </x:c>
      <x:c r="D60" t="str">
        <x:v>Weigh, COG, lifting, seafastening and marine approval</x:v>
      </x:c>
      <x:c r="E60" t="str">
        <x:v>226</x:v>
      </x:c>
      <x:c r="F60" t="str">
        <x:v>267</x:v>
      </x:c>
      <x:c r="G60" t="str">
        <x:v>42</x:v>
      </x:c>
      <x:c r="H60" t="str">
        <x:v>BR0058</x:v>
      </x:c>
      <x:c r="I60" t="str">
        <x:v>FS</x:v>
      </x:c>
      <x:c r="J60" t="str">
        <x:v>Marine Engineer</x:v>
      </x:c>
      <x:c r="K60" t="str">
        <x:v>5</x:v>
      </x:c>
      <x:c r="L60" t="str"/>
    </x:row>
    <x:row r="61">
      <x:c r="A61" t="str">
        <x:v>BR0060</x:v>
      </x:c>
      <x:c r="B61" t="str">
        <x:v>NQO-NQD</x:v>
      </x:c>
      <x:c r="C61" t="str">
        <x:v>Offshore</x:v>
      </x:c>
      <x:c r="D61" t="str">
        <x:v>Offshore mobilisation, access and enabling works</x:v>
      </x:c>
      <x:c r="E61" t="str">
        <x:v>254</x:v>
      </x:c>
      <x:c r="F61" t="str">
        <x:v>282</x:v>
      </x:c>
      <x:c r="G61" t="str">
        <x:v>29</x:v>
      </x:c>
      <x:c r="H61" t="str">
        <x:v>BR0059</x:v>
      </x:c>
      <x:c r="I61" t="str">
        <x:v>FS</x:v>
      </x:c>
      <x:c r="J61" t="str">
        <x:v>Offshore Manager</x:v>
      </x:c>
      <x:c r="K61" t="str">
        <x:v>20</x:v>
      </x:c>
      <x:c r="L61" t="str">
        <x:v>Accommodation barge</x:v>
      </x:c>
    </x:row>
    <x:row r="62">
      <x:c r="A62" t="str">
        <x:v>BR0061</x:v>
      </x:c>
      <x:c r="B62" t="str">
        <x:v>NQO-NQD</x:v>
      </x:c>
      <x:c r="C62" t="str">
        <x:v>Offshore</x:v>
      </x:c>
      <x:c r="D62" t="str">
        <x:v>Install bridge / strengthening assemblies</x:v>
      </x:c>
      <x:c r="E62" t="str">
        <x:v>278</x:v>
      </x:c>
      <x:c r="F62" t="str">
        <x:v>314</x:v>
      </x:c>
      <x:c r="G62" t="str">
        <x:v>37</x:v>
      </x:c>
      <x:c r="H62" t="str">
        <x:v>BR0060</x:v>
      </x:c>
      <x:c r="I62" t="str">
        <x:v>FS</x:v>
      </x:c>
      <x:c r="J62" t="str">
        <x:v>Construction Manager</x:v>
      </x:c>
      <x:c r="K62" t="str">
        <x:v>26</x:v>
      </x:c>
      <x:c r="L62" t="str">
        <x:v>Crane vessel (verify)</x:v>
      </x:c>
    </x:row>
    <x:row r="63">
      <x:c r="A63" t="str">
        <x:v>BR0062</x:v>
      </x:c>
      <x:c r="B63" t="str">
        <x:v>NQO-NQD</x:v>
      </x:c>
      <x:c r="C63" t="str">
        <x:v>Completion</x:v>
      </x:c>
      <x:c r="D63" t="str">
        <x:v>Inspection, punch clearance and turnover dossier</x:v>
      </x:c>
      <x:c r="E63" t="str">
        <x:v>316</x:v>
      </x:c>
      <x:c r="F63" t="str">
        <x:v>334</x:v>
      </x:c>
      <x:c r="G63" t="str">
        <x:v>19</x:v>
      </x:c>
      <x:c r="H63" t="str">
        <x:v>BR0061</x:v>
      </x:c>
      <x:c r="I63" t="str">
        <x:v>FS</x:v>
      </x:c>
      <x:c r="J63" t="str">
        <x:v>QAQC Lead</x:v>
      </x:c>
      <x:c r="K63" t="str">
        <x:v>6</x:v>
      </x:c>
      <x:c r="L63" t="str"/>
    </x:row>
    <x:row r="64">
      <x:c r="A64" t="str">
        <x:v>BR0063</x:v>
      </x:c>
      <x:c r="B64" t="str">
        <x:v>WIN-NC</x:v>
      </x:c>
      <x:c r="C64" t="str">
        <x:v>Survey</x:v>
      </x:c>
      <x:c r="D64" t="str">
        <x:v>Site survey and as-built interface verification</x:v>
      </x:c>
      <x:c r="E64" t="str">
        <x:v>62</x:v>
      </x:c>
      <x:c r="F64" t="str">
        <x:v>85</x:v>
      </x:c>
      <x:c r="G64" t="str">
        <x:v>24</x:v>
      </x:c>
      <x:c r="H64" t="str">
        <x:v>BR0002</x:v>
      </x:c>
      <x:c r="I64" t="str">
        <x:v>FS</x:v>
      </x:c>
      <x:c r="J64" t="str">
        <x:v>Survey Lead</x:v>
      </x:c>
      <x:c r="K64" t="str">
        <x:v>8</x:v>
      </x:c>
      <x:c r="L64" t="str">
        <x:v>Workboat</x:v>
      </x:c>
    </x:row>
    <x:row r="65">
      <x:c r="A65" t="str">
        <x:v>BR0064</x:v>
      </x:c>
      <x:c r="B65" t="str">
        <x:v>WIN-NC</x:v>
      </x:c>
      <x:c r="C65" t="str">
        <x:v>Engineering</x:v>
      </x:c>
      <x:c r="D65" t="str">
        <x:v>Structural assessment / detailed engineering / AFC</x:v>
      </x:c>
      <x:c r="E65" t="str">
        <x:v>86</x:v>
      </x:c>
      <x:c r="F65" t="str">
        <x:v>141</x:v>
      </x:c>
      <x:c r="G65" t="str">
        <x:v>56</x:v>
      </x:c>
      <x:c r="H65" t="str">
        <x:v>BR0063</x:v>
      </x:c>
      <x:c r="I65" t="str">
        <x:v>FS</x:v>
      </x:c>
      <x:c r="J65" t="str">
        <x:v>Engineering Lead</x:v>
      </x:c>
      <x:c r="K65" t="str">
        <x:v>6</x:v>
      </x:c>
      <x:c r="L65" t="str"/>
    </x:row>
    <x:row r="66">
      <x:c r="A66" t="str">
        <x:v>BR0065</x:v>
      </x:c>
      <x:c r="B66" t="str">
        <x:v>WIN-NC</x:v>
      </x:c>
      <x:c r="C66" t="str">
        <x:v>Procurement</x:v>
      </x:c>
      <x:c r="D66" t="str">
        <x:v>Material requisition, vendor review and steel receipt</x:v>
      </x:c>
      <x:c r="E66" t="str">
        <x:v>118</x:v>
      </x:c>
      <x:c r="F66" t="str">
        <x:v>183</x:v>
      </x:c>
      <x:c r="G66" t="str">
        <x:v>66</x:v>
      </x:c>
      <x:c r="H66" t="str">
        <x:v>BR0064</x:v>
      </x:c>
      <x:c r="I66" t="str">
        <x:v>FS</x:v>
      </x:c>
      <x:c r="J66" t="str">
        <x:v>Procurement Lead</x:v>
      </x:c>
      <x:c r="K66" t="str">
        <x:v>3</x:v>
      </x:c>
      <x:c r="L66" t="str"/>
    </x:row>
    <x:row r="67">
      <x:c r="A67" t="str">
        <x:v>BR0066</x:v>
      </x:c>
      <x:c r="B67" t="str">
        <x:v>WIN-NC</x:v>
      </x:c>
      <x:c r="C67" t="str">
        <x:v>Fabrication</x:v>
      </x:c>
      <x:c r="D67" t="str">
        <x:v>Fabricate / weld / inspect / coat assemblies</x:v>
      </x:c>
      <x:c r="E67" t="str">
        <x:v>167</x:v>
      </x:c>
      <x:c r="F67" t="str">
        <x:v>247</x:v>
      </x:c>
      <x:c r="G67" t="str">
        <x:v>81</x:v>
      </x:c>
      <x:c r="H67" t="str">
        <x:v>BR0065</x:v>
      </x:c>
      <x:c r="I67" t="str">
        <x:v>FS</x:v>
      </x:c>
      <x:c r="J67" t="str">
        <x:v>Fabrication Lead</x:v>
      </x:c>
      <x:c r="K67" t="str">
        <x:v>18</x:v>
      </x:c>
      <x:c r="L67" t="str"/>
    </x:row>
    <x:row r="68">
      <x:c r="A68" t="str">
        <x:v>BR0067</x:v>
      </x:c>
      <x:c r="B68" t="str">
        <x:v>WIN-NC</x:v>
      </x:c>
      <x:c r="C68" t="str">
        <x:v>Marine</x:v>
      </x:c>
      <x:c r="D68" t="str">
        <x:v>Weigh, COG, lifting, seafastening and marine approval</x:v>
      </x:c>
      <x:c r="E68" t="str">
        <x:v>232</x:v>
      </x:c>
      <x:c r="F68" t="str">
        <x:v>273</x:v>
      </x:c>
      <x:c r="G68" t="str">
        <x:v>42</x:v>
      </x:c>
      <x:c r="H68" t="str">
        <x:v>BR0066</x:v>
      </x:c>
      <x:c r="I68" t="str">
        <x:v>FS</x:v>
      </x:c>
      <x:c r="J68" t="str">
        <x:v>Marine Engineer</x:v>
      </x:c>
      <x:c r="K68" t="str">
        <x:v>5</x:v>
      </x:c>
      <x:c r="L68" t="str"/>
    </x:row>
    <x:row r="69">
      <x:c r="A69" t="str">
        <x:v>BR0068</x:v>
      </x:c>
      <x:c r="B69" t="str">
        <x:v>WIN-NC</x:v>
      </x:c>
      <x:c r="C69" t="str">
        <x:v>Offshore</x:v>
      </x:c>
      <x:c r="D69" t="str">
        <x:v>Offshore mobilisation, access and enabling works</x:v>
      </x:c>
      <x:c r="E69" t="str">
        <x:v>260</x:v>
      </x:c>
      <x:c r="F69" t="str">
        <x:v>288</x:v>
      </x:c>
      <x:c r="G69" t="str">
        <x:v>29</x:v>
      </x:c>
      <x:c r="H69" t="str">
        <x:v>BR0067</x:v>
      </x:c>
      <x:c r="I69" t="str">
        <x:v>FS</x:v>
      </x:c>
      <x:c r="J69" t="str">
        <x:v>Offshore Manager</x:v>
      </x:c>
      <x:c r="K69" t="str">
        <x:v>20</x:v>
      </x:c>
      <x:c r="L69" t="str">
        <x:v>Accommodation barge</x:v>
      </x:c>
    </x:row>
    <x:row r="70">
      <x:c r="A70" t="str">
        <x:v>BR0069</x:v>
      </x:c>
      <x:c r="B70" t="str">
        <x:v>WIN-NC</x:v>
      </x:c>
      <x:c r="C70" t="str">
        <x:v>Offshore</x:v>
      </x:c>
      <x:c r="D70" t="str">
        <x:v>Install bridge / strengthening assemblies</x:v>
      </x:c>
      <x:c r="E70" t="str">
        <x:v>284</x:v>
      </x:c>
      <x:c r="F70" t="str">
        <x:v>320</x:v>
      </x:c>
      <x:c r="G70" t="str">
        <x:v>37</x:v>
      </x:c>
      <x:c r="H70" t="str">
        <x:v>BR0068</x:v>
      </x:c>
      <x:c r="I70" t="str">
        <x:v>FS</x:v>
      </x:c>
      <x:c r="J70" t="str">
        <x:v>Construction Manager</x:v>
      </x:c>
      <x:c r="K70" t="str">
        <x:v>26</x:v>
      </x:c>
      <x:c r="L70" t="str">
        <x:v>Crane vessel (verify)</x:v>
      </x:c>
    </x:row>
    <x:row r="71">
      <x:c r="A71" t="str">
        <x:v>BR0070</x:v>
      </x:c>
      <x:c r="B71" t="str">
        <x:v>WIN-NC</x:v>
      </x:c>
      <x:c r="C71" t="str">
        <x:v>Completion</x:v>
      </x:c>
      <x:c r="D71" t="str">
        <x:v>Inspection, punch clearance and turnover dossier</x:v>
      </x:c>
      <x:c r="E71" t="str">
        <x:v>322</x:v>
      </x:c>
      <x:c r="F71" t="str">
        <x:v>340</x:v>
      </x:c>
      <x:c r="G71" t="str">
        <x:v>19</x:v>
      </x:c>
      <x:c r="H71" t="str">
        <x:v>BR0069</x:v>
      </x:c>
      <x:c r="I71" t="str">
        <x:v>FS</x:v>
      </x:c>
      <x:c r="J71" t="str">
        <x:v>QAQC Lead</x:v>
      </x:c>
      <x:c r="K71" t="str">
        <x:v>6</x:v>
      </x:c>
      <x:c r="L71" t="str"/>
    </x:row>
    <x:row r="72">
      <x:c r="A72" t="str">
        <x:v>BR0071</x:v>
      </x:c>
      <x:c r="B72" t="str">
        <x:v>SCA-SC1</x:v>
      </x:c>
      <x:c r="C72" t="str">
        <x:v>Survey</x:v>
      </x:c>
      <x:c r="D72" t="str">
        <x:v>Site survey and as-built interface verification</x:v>
      </x:c>
      <x:c r="E72" t="str">
        <x:v>68</x:v>
      </x:c>
      <x:c r="F72" t="str">
        <x:v>91</x:v>
      </x:c>
      <x:c r="G72" t="str">
        <x:v>24</x:v>
      </x:c>
      <x:c r="H72" t="str">
        <x:v>BR0002</x:v>
      </x:c>
      <x:c r="I72" t="str">
        <x:v>FS</x:v>
      </x:c>
      <x:c r="J72" t="str">
        <x:v>Survey Lead</x:v>
      </x:c>
      <x:c r="K72" t="str">
        <x:v>8</x:v>
      </x:c>
      <x:c r="L72" t="str">
        <x:v>Workboat</x:v>
      </x:c>
    </x:row>
    <x:row r="73">
      <x:c r="A73" t="str">
        <x:v>BR0072</x:v>
      </x:c>
      <x:c r="B73" t="str">
        <x:v>SCA-SC1</x:v>
      </x:c>
      <x:c r="C73" t="str">
        <x:v>Engineering</x:v>
      </x:c>
      <x:c r="D73" t="str">
        <x:v>Structural assessment / detailed engineering / AFC</x:v>
      </x:c>
      <x:c r="E73" t="str">
        <x:v>92</x:v>
      </x:c>
      <x:c r="F73" t="str">
        <x:v>147</x:v>
      </x:c>
      <x:c r="G73" t="str">
        <x:v>56</x:v>
      </x:c>
      <x:c r="H73" t="str">
        <x:v>BR0071</x:v>
      </x:c>
      <x:c r="I73" t="str">
        <x:v>FS</x:v>
      </x:c>
      <x:c r="J73" t="str">
        <x:v>Engineering Lead</x:v>
      </x:c>
      <x:c r="K73" t="str">
        <x:v>6</x:v>
      </x:c>
      <x:c r="L73" t="str"/>
    </x:row>
    <x:row r="74">
      <x:c r="A74" t="str">
        <x:v>BR0073</x:v>
      </x:c>
      <x:c r="B74" t="str">
        <x:v>SCA-SC1</x:v>
      </x:c>
      <x:c r="C74" t="str">
        <x:v>Procurement</x:v>
      </x:c>
      <x:c r="D74" t="str">
        <x:v>Material requisition, vendor review and steel receipt</x:v>
      </x:c>
      <x:c r="E74" t="str">
        <x:v>124</x:v>
      </x:c>
      <x:c r="F74" t="str">
        <x:v>189</x:v>
      </x:c>
      <x:c r="G74" t="str">
        <x:v>66</x:v>
      </x:c>
      <x:c r="H74" t="str">
        <x:v>BR0072</x:v>
      </x:c>
      <x:c r="I74" t="str">
        <x:v>FS</x:v>
      </x:c>
      <x:c r="J74" t="str">
        <x:v>Procurement Lead</x:v>
      </x:c>
      <x:c r="K74" t="str">
        <x:v>3</x:v>
      </x:c>
      <x:c r="L74" t="str"/>
    </x:row>
    <x:row r="75">
      <x:c r="A75" t="str">
        <x:v>BR0074</x:v>
      </x:c>
      <x:c r="B75" t="str">
        <x:v>SCA-SC1</x:v>
      </x:c>
      <x:c r="C75" t="str">
        <x:v>Fabrication</x:v>
      </x:c>
      <x:c r="D75" t="str">
        <x:v>Fabricate / weld / inspect / coat assemblies</x:v>
      </x:c>
      <x:c r="E75" t="str">
        <x:v>173</x:v>
      </x:c>
      <x:c r="F75" t="str">
        <x:v>253</x:v>
      </x:c>
      <x:c r="G75" t="str">
        <x:v>81</x:v>
      </x:c>
      <x:c r="H75" t="str">
        <x:v>BR0073</x:v>
      </x:c>
      <x:c r="I75" t="str">
        <x:v>FS</x:v>
      </x:c>
      <x:c r="J75" t="str">
        <x:v>Fabrication Lead</x:v>
      </x:c>
      <x:c r="K75" t="str">
        <x:v>18</x:v>
      </x:c>
      <x:c r="L75" t="str"/>
    </x:row>
    <x:row r="76">
      <x:c r="A76" t="str">
        <x:v>BR0075</x:v>
      </x:c>
      <x:c r="B76" t="str">
        <x:v>SCA-SC1</x:v>
      </x:c>
      <x:c r="C76" t="str">
        <x:v>Marine</x:v>
      </x:c>
      <x:c r="D76" t="str">
        <x:v>Weigh, COG, lifting, seafastening and marine approval</x:v>
      </x:c>
      <x:c r="E76" t="str">
        <x:v>238</x:v>
      </x:c>
      <x:c r="F76" t="str">
        <x:v>279</x:v>
      </x:c>
      <x:c r="G76" t="str">
        <x:v>42</x:v>
      </x:c>
      <x:c r="H76" t="str">
        <x:v>BR0074</x:v>
      </x:c>
      <x:c r="I76" t="str">
        <x:v>FS</x:v>
      </x:c>
      <x:c r="J76" t="str">
        <x:v>Marine Engineer</x:v>
      </x:c>
      <x:c r="K76" t="str">
        <x:v>5</x:v>
      </x:c>
      <x:c r="L76" t="str"/>
    </x:row>
    <x:row r="77">
      <x:c r="A77" t="str">
        <x:v>BR0076</x:v>
      </x:c>
      <x:c r="B77" t="str">
        <x:v>SCA-SC1</x:v>
      </x:c>
      <x:c r="C77" t="str">
        <x:v>Offshore</x:v>
      </x:c>
      <x:c r="D77" t="str">
        <x:v>Offshore mobilisation, access and enabling works</x:v>
      </x:c>
      <x:c r="E77" t="str">
        <x:v>266</x:v>
      </x:c>
      <x:c r="F77" t="str">
        <x:v>294</x:v>
      </x:c>
      <x:c r="G77" t="str">
        <x:v>29</x:v>
      </x:c>
      <x:c r="H77" t="str">
        <x:v>BR0075</x:v>
      </x:c>
      <x:c r="I77" t="str">
        <x:v>FS</x:v>
      </x:c>
      <x:c r="J77" t="str">
        <x:v>Offshore Manager</x:v>
      </x:c>
      <x:c r="K77" t="str">
        <x:v>20</x:v>
      </x:c>
      <x:c r="L77" t="str">
        <x:v>Accommodation barge</x:v>
      </x:c>
    </x:row>
    <x:row r="78">
      <x:c r="A78" t="str">
        <x:v>BR0077</x:v>
      </x:c>
      <x:c r="B78" t="str">
        <x:v>SCA-SC1</x:v>
      </x:c>
      <x:c r="C78" t="str">
        <x:v>Offshore</x:v>
      </x:c>
      <x:c r="D78" t="str">
        <x:v>Install bridge / strengthening assemblies</x:v>
      </x:c>
      <x:c r="E78" t="str">
        <x:v>290</x:v>
      </x:c>
      <x:c r="F78" t="str">
        <x:v>326</x:v>
      </x:c>
      <x:c r="G78" t="str">
        <x:v>37</x:v>
      </x:c>
      <x:c r="H78" t="str">
        <x:v>BR0076</x:v>
      </x:c>
      <x:c r="I78" t="str">
        <x:v>FS</x:v>
      </x:c>
      <x:c r="J78" t="str">
        <x:v>Construction Manager</x:v>
      </x:c>
      <x:c r="K78" t="str">
        <x:v>26</x:v>
      </x:c>
      <x:c r="L78" t="str">
        <x:v>Crane vessel (verify)</x:v>
      </x:c>
    </x:row>
    <x:row r="79">
      <x:c r="A79" t="str">
        <x:v>BR0078</x:v>
      </x:c>
      <x:c r="B79" t="str">
        <x:v>SCA-SC1</x:v>
      </x:c>
      <x:c r="C79" t="str">
        <x:v>Completion</x:v>
      </x:c>
      <x:c r="D79" t="str">
        <x:v>Inspection, punch clearance and turnover dossier</x:v>
      </x:c>
      <x:c r="E79" t="str">
        <x:v>328</x:v>
      </x:c>
      <x:c r="F79" t="str">
        <x:v>346</x:v>
      </x:c>
      <x:c r="G79" t="str">
        <x:v>19</x:v>
      </x:c>
      <x:c r="H79" t="str">
        <x:v>BR0077</x:v>
      </x:c>
      <x:c r="I79" t="str">
        <x:v>FS</x:v>
      </x:c>
      <x:c r="J79" t="str">
        <x:v>QAQC Lead</x:v>
      </x:c>
      <x:c r="K79" t="str">
        <x:v>6</x:v>
      </x:c>
      <x:c r="L79" t="str"/>
    </x:row>
    <x:row r="80">
      <x:c r="A80" t="str">
        <x:v>BR0079</x:v>
      </x:c>
      <x:c r="B80" t="str">
        <x:v>SCA-SCF</x:v>
      </x:c>
      <x:c r="C80" t="str">
        <x:v>Survey</x:v>
      </x:c>
      <x:c r="D80" t="str">
        <x:v>Site survey and as-built interface verification</x:v>
      </x:c>
      <x:c r="E80" t="str">
        <x:v>74</x:v>
      </x:c>
      <x:c r="F80" t="str">
        <x:v>97</x:v>
      </x:c>
      <x:c r="G80" t="str">
        <x:v>24</x:v>
      </x:c>
      <x:c r="H80" t="str">
        <x:v>BR0002</x:v>
      </x:c>
      <x:c r="I80" t="str">
        <x:v>FS</x:v>
      </x:c>
      <x:c r="J80" t="str">
        <x:v>Survey Lead</x:v>
      </x:c>
      <x:c r="K80" t="str">
        <x:v>8</x:v>
      </x:c>
      <x:c r="L80" t="str">
        <x:v>Workboat</x:v>
      </x:c>
    </x:row>
    <x:row r="81">
      <x:c r="A81" t="str">
        <x:v>BR0080</x:v>
      </x:c>
      <x:c r="B81" t="str">
        <x:v>SCA-SCF</x:v>
      </x:c>
      <x:c r="C81" t="str">
        <x:v>Engineering</x:v>
      </x:c>
      <x:c r="D81" t="str">
        <x:v>Structural assessment / detailed engineering / AFC</x:v>
      </x:c>
      <x:c r="E81" t="str">
        <x:v>98</x:v>
      </x:c>
      <x:c r="F81" t="str">
        <x:v>153</x:v>
      </x:c>
      <x:c r="G81" t="str">
        <x:v>56</x:v>
      </x:c>
      <x:c r="H81" t="str">
        <x:v>BR0079</x:v>
      </x:c>
      <x:c r="I81" t="str">
        <x:v>FS</x:v>
      </x:c>
      <x:c r="J81" t="str">
        <x:v>Engineering Lead</x:v>
      </x:c>
      <x:c r="K81" t="str">
        <x:v>6</x:v>
      </x:c>
      <x:c r="L81" t="str"/>
    </x:row>
    <x:row r="82">
      <x:c r="A82" t="str">
        <x:v>BR0081</x:v>
      </x:c>
      <x:c r="B82" t="str">
        <x:v>SCA-SCF</x:v>
      </x:c>
      <x:c r="C82" t="str">
        <x:v>Procurement</x:v>
      </x:c>
      <x:c r="D82" t="str">
        <x:v>Material requisition, vendor review and steel receipt</x:v>
      </x:c>
      <x:c r="E82" t="str">
        <x:v>130</x:v>
      </x:c>
      <x:c r="F82" t="str">
        <x:v>195</x:v>
      </x:c>
      <x:c r="G82" t="str">
        <x:v>66</x:v>
      </x:c>
      <x:c r="H82" t="str">
        <x:v>BR0080</x:v>
      </x:c>
      <x:c r="I82" t="str">
        <x:v>FS</x:v>
      </x:c>
      <x:c r="J82" t="str">
        <x:v>Procurement Lead</x:v>
      </x:c>
      <x:c r="K82" t="str">
        <x:v>3</x:v>
      </x:c>
      <x:c r="L82" t="str"/>
    </x:row>
    <x:row r="83">
      <x:c r="A83" t="str">
        <x:v>BR0082</x:v>
      </x:c>
      <x:c r="B83" t="str">
        <x:v>SCA-SCF</x:v>
      </x:c>
      <x:c r="C83" t="str">
        <x:v>Fabrication</x:v>
      </x:c>
      <x:c r="D83" t="str">
        <x:v>Fabricate / weld / inspect / coat assemblies</x:v>
      </x:c>
      <x:c r="E83" t="str">
        <x:v>179</x:v>
      </x:c>
      <x:c r="F83" t="str">
        <x:v>259</x:v>
      </x:c>
      <x:c r="G83" t="str">
        <x:v>81</x:v>
      </x:c>
      <x:c r="H83" t="str">
        <x:v>BR0081</x:v>
      </x:c>
      <x:c r="I83" t="str">
        <x:v>FS</x:v>
      </x:c>
      <x:c r="J83" t="str">
        <x:v>Fabrication Lead</x:v>
      </x:c>
      <x:c r="K83" t="str">
        <x:v>18</x:v>
      </x:c>
      <x:c r="L83" t="str"/>
    </x:row>
    <x:row r="84">
      <x:c r="A84" t="str">
        <x:v>BR0083</x:v>
      </x:c>
      <x:c r="B84" t="str">
        <x:v>SCA-SCF</x:v>
      </x:c>
      <x:c r="C84" t="str">
        <x:v>Marine</x:v>
      </x:c>
      <x:c r="D84" t="str">
        <x:v>Weigh, COG, lifting, seafastening and marine approval</x:v>
      </x:c>
      <x:c r="E84" t="str">
        <x:v>244</x:v>
      </x:c>
      <x:c r="F84" t="str">
        <x:v>285</x:v>
      </x:c>
      <x:c r="G84" t="str">
        <x:v>42</x:v>
      </x:c>
      <x:c r="H84" t="str">
        <x:v>BR0082</x:v>
      </x:c>
      <x:c r="I84" t="str">
        <x:v>FS</x:v>
      </x:c>
      <x:c r="J84" t="str">
        <x:v>Marine Engineer</x:v>
      </x:c>
      <x:c r="K84" t="str">
        <x:v>5</x:v>
      </x:c>
      <x:c r="L84" t="str"/>
    </x:row>
    <x:row r="85">
      <x:c r="A85" t="str">
        <x:v>BR0084</x:v>
      </x:c>
      <x:c r="B85" t="str">
        <x:v>SCA-SCF</x:v>
      </x:c>
      <x:c r="C85" t="str">
        <x:v>Offshore</x:v>
      </x:c>
      <x:c r="D85" t="str">
        <x:v>Offshore mobilisation, access and enabling works</x:v>
      </x:c>
      <x:c r="E85" t="str">
        <x:v>272</x:v>
      </x:c>
      <x:c r="F85" t="str">
        <x:v>300</x:v>
      </x:c>
      <x:c r="G85" t="str">
        <x:v>29</x:v>
      </x:c>
      <x:c r="H85" t="str">
        <x:v>BR0083</x:v>
      </x:c>
      <x:c r="I85" t="str">
        <x:v>FS</x:v>
      </x:c>
      <x:c r="J85" t="str">
        <x:v>Offshore Manager</x:v>
      </x:c>
      <x:c r="K85" t="str">
        <x:v>20</x:v>
      </x:c>
      <x:c r="L85" t="str">
        <x:v>Accommodation barge</x:v>
      </x:c>
    </x:row>
    <x:row r="86">
      <x:c r="A86" t="str">
        <x:v>BR0085</x:v>
      </x:c>
      <x:c r="B86" t="str">
        <x:v>SCA-SCF</x:v>
      </x:c>
      <x:c r="C86" t="str">
        <x:v>Offshore</x:v>
      </x:c>
      <x:c r="D86" t="str">
        <x:v>Install bridge / strengthening assemblies</x:v>
      </x:c>
      <x:c r="E86" t="str">
        <x:v>296</x:v>
      </x:c>
      <x:c r="F86" t="str">
        <x:v>332</x:v>
      </x:c>
      <x:c r="G86" t="str">
        <x:v>37</x:v>
      </x:c>
      <x:c r="H86" t="str">
        <x:v>BR0084</x:v>
      </x:c>
      <x:c r="I86" t="str">
        <x:v>FS</x:v>
      </x:c>
      <x:c r="J86" t="str">
        <x:v>Construction Manager</x:v>
      </x:c>
      <x:c r="K86" t="str">
        <x:v>26</x:v>
      </x:c>
      <x:c r="L86" t="str">
        <x:v>Crane vessel (verify)</x:v>
      </x:c>
    </x:row>
    <x:row r="87">
      <x:c r="A87" t="str">
        <x:v>BR0086</x:v>
      </x:c>
      <x:c r="B87" t="str">
        <x:v>SCA-SCF</x:v>
      </x:c>
      <x:c r="C87" t="str">
        <x:v>Completion</x:v>
      </x:c>
      <x:c r="D87" t="str">
        <x:v>Inspection, punch clearance and turnover dossier</x:v>
      </x:c>
      <x:c r="E87" t="str">
        <x:v>334</x:v>
      </x:c>
      <x:c r="F87" t="str">
        <x:v>349</x:v>
      </x:c>
      <x:c r="G87" t="str">
        <x:v>16</x:v>
      </x:c>
      <x:c r="H87" t="str">
        <x:v>BR0085</x:v>
      </x:c>
      <x:c r="I87" t="str">
        <x:v>FS</x:v>
      </x:c>
      <x:c r="J87" t="str">
        <x:v>QAQC Lead</x:v>
      </x:c>
      <x:c r="K87" t="str">
        <x:v>6</x:v>
      </x:c>
      <x:c r="L87" t="str"/>
    </x:row>
    <x:row r="88">
      <x:c r="A88" t="str">
        <x:v>BR0087</x:v>
      </x:c>
      <x:c r="B88" t="str">
        <x:v>COMMON</x:v>
      </x:c>
      <x:c r="C88" t="str">
        <x:v>Completion</x:v>
      </x:c>
      <x:c r="D88" t="str">
        <x:v>Consolidated completion and handover</x:v>
      </x:c>
      <x:c r="E88" t="str">
        <x:v>350</x:v>
      </x:c>
      <x:c r="F88" t="str">
        <x:v>360</x:v>
      </x:c>
      <x:c r="G88" t="str">
        <x:v>11</x:v>
      </x:c>
      <x:c r="H88" t="str">
        <x:v>BR0086</x:v>
      </x:c>
      <x:c r="I88" t="str">
        <x:v>FS</x:v>
      </x:c>
      <x:c r="J88" t="str">
        <x:v>Project Director</x:v>
      </x:c>
      <x:c r="K88" t="str">
        <x:v>8</x:v>
      </x:c>
      <x:c r="L8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6" t="str">
        <x:v>Package</x:v>
      </x:c>
      <x:c r="B1" s="6" t="str">
        <x:v>Survey verified</x:v>
      </x:c>
      <x:c r="C1" s="6" t="str">
        <x:v>Weight control</x:v>
      </x:c>
      <x:c r="D1" s="6" t="str">
        <x:v>COG</x:v>
      </x:c>
      <x:c r="E1" s="6" t="str">
        <x:v>Padeyes / local design</x:v>
      </x:c>
      <x:c r="F1" s="6" t="str">
        <x:v>Rigging calculation</x:v>
      </x:c>
      <x:c r="G1" s="6" t="str">
        <x:v>Crane radius / load chart</x:v>
      </x:c>
      <x:c r="H1" s="6" t="str">
        <x:v>Marine stability</x:v>
      </x:c>
      <x:c r="I1" s="6" t="str">
        <x:v>Weather criteria</x:v>
      </x:c>
      <x:c r="J1" s="6" t="str">
        <x:v>Independent review</x:v>
      </x:c>
      <x:c r="K1" s="6" t="str">
        <x:v>ONGC release</x:v>
      </x:c>
    </x:row>
    <x:row r="2">
      <x:c r="A2" t="str">
        <x:v>ICW-ICG UD</x:v>
      </x:c>
      <x:c r="B2" t="str">
        <x:v>NO</x:v>
      </x:c>
      <x:c r="C2" t="str">
        <x:v>NO</x:v>
      </x:c>
      <x:c r="D2" t="str">
        <x:v>NO</x:v>
      </x:c>
      <x:c r="E2" t="str">
        <x:v>NO</x:v>
      </x:c>
      <x:c r="F2" t="str">
        <x:v>NO</x:v>
      </x:c>
      <x:c r="G2" t="str">
        <x:v>NO</x:v>
      </x:c>
      <x:c r="H2" t="str">
        <x:v>NO</x:v>
      </x:c>
      <x:c r="I2" t="str">
        <x:v>NO</x:v>
      </x:c>
      <x:c r="J2" t="str">
        <x:v>NO</x:v>
      </x:c>
      <x:c r="K2" t="str">
        <x:v>NO</x:v>
      </x:c>
    </x:row>
    <x:row r="3">
      <x:c r="A3" t="str">
        <x:v>ICW-ICG LD</x:v>
      </x:c>
      <x:c r="B3" t="str">
        <x:v>NO</x:v>
      </x:c>
      <x:c r="C3" t="str">
        <x:v>NO</x:v>
      </x:c>
      <x:c r="D3" t="str">
        <x:v>NO</x:v>
      </x:c>
      <x:c r="E3" t="str">
        <x:v>NO</x:v>
      </x:c>
      <x:c r="F3" t="str">
        <x:v>NO</x:v>
      </x:c>
      <x:c r="G3" t="str">
        <x:v>NO</x:v>
      </x:c>
      <x:c r="H3" t="str">
        <x:v>NO</x:v>
      </x:c>
      <x:c r="I3" t="str">
        <x:v>NO</x:v>
      </x:c>
      <x:c r="J3" t="str">
        <x:v>NO</x:v>
      </x:c>
      <x:c r="K3" t="str">
        <x:v>NO</x:v>
      </x:c>
    </x:row>
    <x:row r="4">
      <x:c r="A4" t="str">
        <x:v>ICG-ICP UD</x:v>
      </x:c>
      <x:c r="B4" t="str">
        <x:v>NO</x:v>
      </x:c>
      <x:c r="C4" t="str">
        <x:v>NO</x:v>
      </x:c>
      <x:c r="D4" t="str">
        <x:v>NO</x:v>
      </x:c>
      <x:c r="E4" t="str">
        <x:v>NO</x:v>
      </x:c>
      <x:c r="F4" t="str">
        <x:v>NO</x:v>
      </x:c>
      <x:c r="G4" t="str">
        <x:v>NO</x:v>
      </x:c>
      <x:c r="H4" t="str">
        <x:v>NO</x:v>
      </x:c>
      <x:c r="I4" t="str">
        <x:v>NO</x:v>
      </x:c>
      <x:c r="J4" t="str">
        <x:v>NO</x:v>
      </x:c>
      <x:c r="K4" t="str">
        <x:v>NO</x:v>
      </x:c>
    </x:row>
    <x:row r="5">
      <x:c r="A5" t="str">
        <x:v>ICG-ICP LD</x:v>
      </x:c>
      <x:c r="B5" t="str">
        <x:v>NO</x:v>
      </x:c>
      <x:c r="C5" t="str">
        <x:v>NO</x:v>
      </x:c>
      <x:c r="D5" t="str">
        <x:v>NO</x:v>
      </x:c>
      <x:c r="E5" t="str">
        <x:v>NO</x:v>
      </x:c>
      <x:c r="F5" t="str">
        <x:v>NO</x:v>
      </x:c>
      <x:c r="G5" t="str">
        <x:v>NO</x:v>
      </x:c>
      <x:c r="H5" t="str">
        <x:v>NO</x:v>
      </x:c>
      <x:c r="I5" t="str">
        <x:v>NO</x:v>
      </x:c>
      <x:c r="J5" t="str">
        <x:v>NO</x:v>
      </x:c>
      <x:c r="K5" t="str">
        <x:v>NO</x:v>
      </x:c>
    </x:row>
    <x:row r="6">
      <x:c r="A6" t="str">
        <x:v>BHS-SLQ</x:v>
      </x:c>
      <x:c r="B6" t="str">
        <x:v>NO</x:v>
      </x:c>
      <x:c r="C6" t="str">
        <x:v>NO</x:v>
      </x:c>
      <x:c r="D6" t="str">
        <x:v>NO</x:v>
      </x:c>
      <x:c r="E6" t="str">
        <x:v>NO</x:v>
      </x:c>
      <x:c r="F6" t="str">
        <x:v>NO</x:v>
      </x:c>
      <x:c r="G6" t="str">
        <x:v>NO</x:v>
      </x:c>
      <x:c r="H6" t="str">
        <x:v>NO</x:v>
      </x:c>
      <x:c r="I6" t="str">
        <x:v>NO</x:v>
      </x:c>
      <x:c r="J6" t="str">
        <x:v>NO</x:v>
      </x:c>
      <x:c r="K6" t="str">
        <x:v>NO</x:v>
      </x:c>
    </x:row>
    <x:row r="7">
      <x:c r="A7" t="str">
        <x:v>SLQ-WIS</x:v>
      </x:c>
      <x:c r="B7" t="str">
        <x:v>NO</x:v>
      </x:c>
      <x:c r="C7" t="str">
        <x:v>NO</x:v>
      </x:c>
      <x:c r="D7" t="str">
        <x:v>NO</x:v>
      </x:c>
      <x:c r="E7" t="str">
        <x:v>NO</x:v>
      </x:c>
      <x:c r="F7" t="str">
        <x:v>NO</x:v>
      </x:c>
      <x:c r="G7" t="str">
        <x:v>NO</x:v>
      </x:c>
      <x:c r="H7" t="str">
        <x:v>NO</x:v>
      </x:c>
      <x:c r="I7" t="str">
        <x:v>NO</x:v>
      </x:c>
      <x:c r="J7" t="str">
        <x:v>NO</x:v>
      </x:c>
      <x:c r="K7" t="str">
        <x:v>NO</x:v>
      </x:c>
    </x:row>
    <x:row r="8">
      <x:c r="A8" t="str">
        <x:v>NQO-NQD</x:v>
      </x:c>
      <x:c r="B8" t="str">
        <x:v>NO</x:v>
      </x:c>
      <x:c r="C8" t="str">
        <x:v>NO</x:v>
      </x:c>
      <x:c r="D8" t="str">
        <x:v>NO</x:v>
      </x:c>
      <x:c r="E8" t="str">
        <x:v>NO</x:v>
      </x:c>
      <x:c r="F8" t="str">
        <x:v>NO</x:v>
      </x:c>
      <x:c r="G8" t="str">
        <x:v>NO</x:v>
      </x:c>
      <x:c r="H8" t="str">
        <x:v>NO</x:v>
      </x:c>
      <x:c r="I8" t="str">
        <x:v>NO</x:v>
      </x:c>
      <x:c r="J8" t="str">
        <x:v>NO</x:v>
      </x:c>
      <x:c r="K8" t="str">
        <x:v>NO</x:v>
      </x:c>
    </x:row>
    <x:row r="9">
      <x:c r="A9" t="str">
        <x:v>WIN-NC</x:v>
      </x:c>
      <x:c r="B9" t="str">
        <x:v>NO</x:v>
      </x:c>
      <x:c r="C9" t="str">
        <x:v>NO</x:v>
      </x:c>
      <x:c r="D9" t="str">
        <x:v>NO</x:v>
      </x:c>
      <x:c r="E9" t="str">
        <x:v>NO</x:v>
      </x:c>
      <x:c r="F9" t="str">
        <x:v>NO</x:v>
      </x:c>
      <x:c r="G9" t="str">
        <x:v>NO</x:v>
      </x:c>
      <x:c r="H9" t="str">
        <x:v>NO</x:v>
      </x:c>
      <x:c r="I9" t="str">
        <x:v>NO</x:v>
      </x:c>
      <x:c r="J9" t="str">
        <x:v>NO</x:v>
      </x:c>
      <x:c r="K9" t="str">
        <x:v>NO</x:v>
      </x:c>
    </x:row>
    <x:row r="10">
      <x:c r="A10" t="str">
        <x:v>SCA-SC1</x:v>
      </x:c>
      <x:c r="B10" t="str">
        <x:v>NO</x:v>
      </x:c>
      <x:c r="C10" t="str">
        <x:v>NO</x:v>
      </x:c>
      <x:c r="D10" t="str">
        <x:v>NO</x:v>
      </x:c>
      <x:c r="E10" t="str">
        <x:v>NO</x:v>
      </x:c>
      <x:c r="F10" t="str">
        <x:v>NO</x:v>
      </x:c>
      <x:c r="G10" t="str">
        <x:v>NO</x:v>
      </x:c>
      <x:c r="H10" t="str">
        <x:v>NO</x:v>
      </x:c>
      <x:c r="I10" t="str">
        <x:v>NO</x:v>
      </x:c>
      <x:c r="J10" t="str">
        <x:v>NO</x:v>
      </x:c>
      <x:c r="K10" t="str">
        <x:v>NO</x:v>
      </x:c>
    </x:row>
    <x:row r="11">
      <x:c r="A11" t="str">
        <x:v>SCA-SCF</x:v>
      </x:c>
      <x:c r="B11" t="str">
        <x:v>NO</x:v>
      </x:c>
      <x:c r="C11" t="str">
        <x:v>NO</x:v>
      </x:c>
      <x:c r="D11" t="str">
        <x:v>NO</x:v>
      </x:c>
      <x:c r="E11" t="str">
        <x:v>NO</x:v>
      </x:c>
      <x:c r="F11" t="str">
        <x:v>NO</x:v>
      </x:c>
      <x:c r="G11" t="str">
        <x:v>NO</x:v>
      </x:c>
      <x:c r="H11" t="str">
        <x:v>NO</x:v>
      </x:c>
      <x:c r="I11" t="str">
        <x:v>NO</x:v>
      </x:c>
      <x:c r="J11" t="str">
        <x:v>NO</x:v>
      </x:c>
      <x:c r="K1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</x:cols>
  <x:sheetData>
    <x:row r="1">
      <x:c r="A1" s="6" t="str">
        <x:v>ID</x:v>
      </x:c>
      <x:c r="B1" s="6" t="str">
        <x:v>Risk</x:v>
      </x:c>
      <x:c r="C1" s="6" t="str">
        <x:v>Mitigation</x:v>
      </x:c>
      <x:c r="D1" s="6" t="str">
        <x:v>Owner</x:v>
      </x:c>
      <x:c r="E1" s="6" t="str">
        <x:v>Status</x:v>
      </x:c>
    </x:row>
    <x:row r="2">
      <x:c r="A2" t="str">
        <x:v>R01</x:v>
      </x:c>
      <x:c r="B2" t="str">
        <x:v>Marine window lost</x:v>
      </x:c>
      <x:c r="C2" t="str">
        <x:v>Seasonal calendar, vessel standby strategy</x:v>
      </x:c>
      <x:c r="D2" t="str">
        <x:v>Marine Manager</x:v>
      </x:c>
      <x:c r="E2" t="str">
        <x:v>OPEN</x:v>
      </x:c>
    </x:row>
    <x:row r="3">
      <x:c r="A3" t="str">
        <x:v>R02</x:v>
      </x:c>
      <x:c r="B3" t="str">
        <x:v>Existing dimensions differ</x:v>
      </x:c>
      <x:c r="C3" t="str">
        <x:v>Early survey and interface freeze</x:v>
      </x:c>
      <x:c r="D3" t="str">
        <x:v>Engineering Manager</x:v>
      </x:c>
      <x:c r="E3" t="str">
        <x:v>OPEN</x:v>
      </x:c>
    </x:row>
    <x:row r="4">
      <x:c r="A4" t="str">
        <x:v>R03</x:v>
      </x:c>
      <x:c r="B4" t="str">
        <x:v>BHS-SLQ services affected</x:v>
      </x:c>
      <x:c r="C4" t="str">
        <x:v>New bridge + tested transfer before demolition</x:v>
      </x:c>
      <x:c r="D4" t="str">
        <x:v>Construction Manager</x:v>
      </x:c>
      <x:c r="E4" t="str">
        <x:v>OPEN</x:v>
      </x:c>
    </x:row>
    <x:row r="5">
      <x:c r="A5" t="str">
        <x:v>R04</x:v>
      </x:c>
      <x:c r="B5" t="str">
        <x:v>Heavy lift infeasible</x:v>
      </x:c>
      <x:c r="C5" t="str">
        <x:v>Segmentation and certified vessel feasibility</x:v>
      </x:c>
      <x:c r="D5" t="str">
        <x:v>Marine Manager</x:v>
      </x:c>
      <x:c r="E5" t="str">
        <x:v>OPEN</x:v>
      </x:c>
    </x:row>
    <x:row r="6">
      <x:c r="A6" t="str">
        <x:v>R05</x:v>
      </x:c>
      <x:c r="B6" t="str">
        <x:v>Shared yard bottleneck</x:v>
      </x:c>
      <x:c r="C6" t="str">
        <x:v>Resource leveling and dual-yard assessment</x:v>
      </x:c>
      <x:c r="D6" t="str">
        <x:v>Fabrication Manager</x:v>
      </x:c>
      <x:c r="E6" t="str">
        <x:v>OPEN</x:v>
      </x:c>
    </x:row>
    <x:row r="7">
      <x:c r="A7" t="str">
        <x:v>R06</x:v>
      </x:c>
      <x:c r="B7" t="str">
        <x:v>Lump-sum cost growth</x:v>
      </x:c>
      <x:c r="C7" t="str">
        <x:v>Variation register and forecast at completion</x:v>
      </x:c>
      <x:c r="D7" t="str">
        <x:v>Commercial Manager</x:v>
      </x:c>
      <x:c r="E7" t="str">
        <x:v>OPEN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5" hidden="0" customWidth="1"/>
    <x:col min="2" max="2" width="65" hidden="0" customWidth="1"/>
  </x:cols>
  <x:sheetData>
    <x:row r="1">
      <x:c r="A1" s="6" t="str">
        <x:v>Item</x:v>
      </x:c>
      <x:c r="B1" s="6" t="str">
        <x:v>Status / source</x:v>
      </x:c>
    </x:row>
    <x:row r="2">
      <x:c r="A2" t="str">
        <x:v>Bridge quantities</x:v>
      </x:c>
      <x:c r="B2" t="str">
        <x:v>ONGC uploaded MTO summary, preliminary and subject to survey</x:v>
      </x:c>
    </x:row>
    <x:row r="3">
      <x:c r="A3" t="str">
        <x:v>87 activity network</x:v>
      </x:c>
      <x:c r="B3" t="str">
        <x:v>Stage-3 user project CSV; not validated CPM</x:v>
      </x:c>
    </x:row>
    <x:row r="4">
      <x:c r="A4" t="str">
        <x:v>Shivansh fleet</x:v>
      </x:c>
      <x:c r="B4" t="str">
        <x:v>Official company website; suitability not independently verified</x:v>
      </x:c>
    </x:row>
    <x:row r="5">
      <x:c r="A5" t="str">
        <x:v>Marine guidance</x:v>
      </x:c>
      <x:c r="B5" t="str">
        <x:v>IMCA Guidelines for lifting operations, IMCA M 187 / LR 006</x:v>
      </x:c>
    </x:row>
    <x:row r="6">
      <x:c r="A6" t="str">
        <x:v>Scheduling</x:v>
      </x:c>
      <x:c r="B6" t="str">
        <x:v>Oracle Primavera P6 relationship and resource leveling documentation</x:v>
      </x:c>
    </x:row>
    <x:row r="7">
      <x:c r="A7" t="str">
        <x:v>Project start</x:v>
      </x:c>
      <x:c r="B7" t="str">
        <x:v>Not provided; no actual calendar dates claimed</x:v>
      </x:c>
    </x:row>
    <x:row r="8">
      <x:c r="A8" t="str">
        <x:v>Commercial rates</x:v>
      </x:c>
      <x:c r="B8" t="str">
        <x:v>Unknown, intentionally blank</x:v>
      </x:c>
    </x:row>
    <x:row r="9">
      <x:c r="A9" t="str">
        <x:v>Productivity</x:v>
      </x:c>
      <x:c r="B9" t="str">
        <x:v>Unknown, intentionally blank</x:v>
      </x:c>
    </x:row>
    <x:row r="10">
      <x:c r="A10" t="str">
        <x:v>Heavy lift weights / COG</x:v>
      </x:c>
      <x:c r="B10" t="str">
        <x:v>Unknown, require engineered calculation and verification</x:v>
      </x:c>
    </x:row>
    <x:row r="11">
      <x:c r="A11" t="str">
        <x:v>Safety</x:v>
      </x:c>
      <x:c r="B11" t="str">
        <x:v>No field execution without approved engineered procedures and ONGC permits</x:v>
      </x:c>
    </x:row>
  </x:sheetData>
  <x:pageMargins left="0.7" right="0.7" top="0.75" bottom="0.75" header="0.3" footer="0.3"/>
</x:worksheet>
</file>