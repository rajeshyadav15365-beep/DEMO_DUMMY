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480de1eb2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rcial Inputs" sheetId="1" r:id="R319d55da6c9648fb"/>
    <x:sheet xmlns:r="http://schemas.openxmlformats.org/officeDocument/2006/relationships" name="Bridge Allocation" sheetId="2" r:id="Rc135b1268d1d479b"/>
    <x:sheet xmlns:r="http://schemas.openxmlformats.org/officeDocument/2006/relationships" name="Weekly Cash Flow" sheetId="3" r:id="Rb8694833cda44eb9"/>
    <x:sheet xmlns:r="http://schemas.openxmlformats.org/officeDocument/2006/relationships" name="CEO Decision Dashboard" sheetId="4" r:id="Rb96e935b1f534bae"/>
    <x:sheet xmlns:r="http://schemas.openxmlformats.org/officeDocument/2006/relationships" name="Controls and Caveats" sheetId="5" r:id="Rf94394eba74e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.0%"/>
  </x:numFmts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4a814157940c9" /><Relationship Type="http://schemas.openxmlformats.org/officeDocument/2006/relationships/theme" Target="/xl/theme/theme1.xml" Id="Rc67a4857ef0348cf" /><Relationship Type="http://schemas.openxmlformats.org/officeDocument/2006/relationships/sharedStrings" Target="/xl/sharedStrings.xml" Id="R72f74d0dfe2d45e7" /><Relationship Type="http://schemas.openxmlformats.org/officeDocument/2006/relationships/worksheet" Target="/xl/worksheets/sheet1.xml" Id="R319d55da6c9648fb" /><Relationship Type="http://schemas.openxmlformats.org/officeDocument/2006/relationships/worksheet" Target="/xl/worksheets/sheet2.xml" Id="Rc135b1268d1d479b" /><Relationship Type="http://schemas.openxmlformats.org/officeDocument/2006/relationships/worksheet" Target="/xl/worksheets/sheet3.xml" Id="Rb8694833cda44eb9" /><Relationship Type="http://schemas.openxmlformats.org/officeDocument/2006/relationships/worksheet" Target="/xl/worksheets/sheet4.xml" Id="Rb96e935b1f534bae" /><Relationship Type="http://schemas.openxmlformats.org/officeDocument/2006/relationships/worksheet" Target="/xl/worksheets/sheet5.xml" Id="Rf94394eba74e45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2" hidden="0" customWidth="1"/>
    <x:col min="3" max="3" width="70" hidden="0" customWidth="1"/>
  </x:cols>
  <x:sheetData>
    <x:row r="1">
      <x:c r="A1" t="str">
        <x:v>STAGE 26 | CONDITIONAL COMMERCIAL ASSUMPTIONS</x:v>
      </x:c>
      <x:c r="B1" t="str"/>
      <x:c r="C1" t="str"/>
    </x:row>
    <x:row r="2">
      <x:c r="A2" s="4" t="str">
        <x:v>Parameter</x:v>
      </x:c>
      <x:c r="B2" s="4" t="str">
        <x:v>Value</x:v>
      </x:c>
      <x:c r="C2" s="4" t="str">
        <x:v>Basis / required verification</x:v>
      </x:c>
    </x:row>
    <x:row r="3">
      <x:c r="A3" t="str">
        <x:v>Contract value INR crore</x:v>
      </x:c>
      <x:c r="B3" t="n">
        <x:v>0</x:v>
      </x:c>
      <x:c r="C3" t="str">
        <x:v>Enter actual awarded or bid value; zero means unknown</x:v>
      </x:c>
    </x:row>
    <x:row r="4">
      <x:c r="A4" t="str">
        <x:v>Mobilisation advance %</x:v>
      </x:c>
      <x:c r="B4" t="n">
        <x:v>0</x:v>
      </x:c>
      <x:c r="C4" t="str">
        <x:v>Only if SCC permits</x:v>
      </x:c>
    </x:row>
    <x:row r="5">
      <x:c r="A5" t="str">
        <x:v>Advance receipt week</x:v>
      </x:c>
      <x:c r="B5" t="n">
        <x:v>2</x:v>
      </x:c>
      <x:c r="C5" t="str">
        <x:v>Verify certification/payment terms</x:v>
      </x:c>
    </x:row>
    <x:row r="6">
      <x:c r="A6" t="str">
        <x:v>Progress billing fraction %</x:v>
      </x:c>
      <x:c r="B6" t="n">
        <x:v>100</x:v>
      </x:c>
      <x:c r="C6" t="str">
        <x:v>Percentage of contract value billed through milestones, net of advance accounting</x:v>
      </x:c>
    </x:row>
    <x:row r="7">
      <x:c r="A7" t="str">
        <x:v>Certification lag weeks</x:v>
      </x:c>
      <x:c r="B7" t="n">
        <x:v>2</x:v>
      </x:c>
      <x:c r="C7" t="str">
        <x:v>Verify SCC</x:v>
      </x:c>
    </x:row>
    <x:row r="8">
      <x:c r="A8" t="str">
        <x:v>Payment lag after certification weeks</x:v>
      </x:c>
      <x:c r="B8" t="n">
        <x:v>4</x:v>
      </x:c>
      <x:c r="C8" t="str">
        <x:v>Verify SCC</x:v>
      </x:c>
    </x:row>
    <x:row r="9">
      <x:c r="A9" t="str">
        <x:v>Retention %</x:v>
      </x:c>
      <x:c r="B9" t="n">
        <x:v>0</x:v>
      </x:c>
      <x:c r="C9" t="str">
        <x:v>Verify SCC and release terms</x:v>
      </x:c>
    </x:row>
    <x:row r="10">
      <x:c r="A10" t="str">
        <x:v>Retention release week</x:v>
      </x:c>
      <x:c r="B10" t="n">
        <x:v>52</x:v>
      </x:c>
      <x:c r="C10" t="str">
        <x:v>Can extend beyond 29-week campaign</x:v>
      </x:c>
    </x:row>
    <x:row r="11">
      <x:c r="A11" t="str">
        <x:v>Performance BG %</x:v>
      </x:c>
      <x:c r="B11" t="n">
        <x:v>0</x:v>
      </x:c>
      <x:c r="C11" t="str">
        <x:v>Bank guarantee not automatically a cash outflow</x:v>
      </x:c>
    </x:row>
    <x:row r="12">
      <x:c r="A12" t="str">
        <x:v>BG cash margin %</x:v>
      </x:c>
      <x:c r="B12" t="n">
        <x:v>0</x:v>
      </x:c>
      <x:c r="C12" t="str">
        <x:v>Bank-specific margin requirement</x:v>
      </x:c>
    </x:row>
    <x:row r="13">
      <x:c r="A13" t="str">
        <x:v>Opening project cash INR crore</x:v>
      </x:c>
      <x:c r="B13" t="n">
        <x:v>0</x:v>
      </x:c>
      <x:c r="C13" t="str">
        <x:v>Enter allocated funding</x:v>
      </x:c>
    </x:row>
    <x:row r="14">
      <x:c r="A14" t="str">
        <x:v>Interest annual %</x:v>
      </x:c>
      <x:c r="B14" t="n">
        <x:v>0</x:v>
      </x:c>
      <x:c r="C14" t="str">
        <x:v>Working capital financing cost</x:v>
      </x:c>
    </x:row>
    <x:row r="15">
      <x:c r="A15" t="str">
        <x:v>Steel procurement INR crore</x:v>
      </x:c>
      <x:c r="B15" t="n">
        <x:v>0</x:v>
      </x:c>
      <x:c r="C15" t="str">
        <x:v>Enter supplier quotations</x:v>
      </x:c>
    </x:row>
    <x:row r="16">
      <x:c r="A16" t="str">
        <x:v>Fabrication INR crore</x:v>
      </x:c>
      <x:c r="B16" t="n">
        <x:v>0</x:v>
      </x:c>
      <x:c r="C16" t="str">
        <x:v>Enter yard quotation</x:v>
      </x:c>
    </x:row>
    <x:row r="17">
      <x:c r="A17" t="str">
        <x:v>Offshore crews INR crore</x:v>
      </x:c>
      <x:c r="B17" t="n">
        <x:v>0</x:v>
      </x:c>
      <x:c r="C17" t="str">
        <x:v>Enter crew and support costs</x:v>
      </x:c>
    </x:row>
    <x:row r="18">
      <x:c r="A18" t="str">
        <x:v>Heavy-lift marine INR crore</x:v>
      </x:c>
      <x:c r="B18" t="n">
        <x:v>0</x:v>
      </x:c>
      <x:c r="C18" t="str">
        <x:v>Enter charter incl standby</x:v>
      </x:c>
    </x:row>
    <x:row r="19">
      <x:c r="A19" t="str">
        <x:v>Other marine INR crore</x:v>
      </x:c>
      <x:c r="B19" t="n">
        <x:v>0</x:v>
      </x:c>
      <x:c r="C19" t="str">
        <x:v>Cargo, towage, accommodation</x:v>
      </x:c>
    </x:row>
    <x:row r="20">
      <x:c r="A20" t="str">
        <x:v>Engineering INR crore</x:v>
      </x:c>
      <x:c r="B20" t="n">
        <x:v>0</x:v>
      </x:c>
      <x:c r="C20" t="str">
        <x:v>Engineering contracts</x:v>
      </x:c>
    </x:row>
    <x:row r="21">
      <x:c r="A21" t="str">
        <x:v>QA/QC INR crore</x:v>
      </x:c>
      <x:c r="B21" t="n">
        <x:v>0</x:v>
      </x:c>
      <x:c r="C21" t="str">
        <x:v>Inspection and testing</x:v>
      </x:c>
    </x:row>
    <x:row r="22">
      <x:c r="A22" t="str">
        <x:v>Demolition INR crore</x:v>
      </x:c>
      <x:c r="B22" t="n">
        <x:v>0</x:v>
      </x:c>
      <x:c r="C22" t="str">
        <x:v>Engineered removal and disposal</x:v>
      </x:c>
    </x:row>
    <x:row r="23">
      <x:c r="A23" t="str">
        <x:v>PM overhead INR crore</x:v>
      </x:c>
      <x:c r="B23" t="n">
        <x:v>0</x:v>
      </x:c>
      <x:c r="C23" t="str">
        <x:v>PMT, site, insurance etc</x:v>
      </x:c>
    </x:row>
    <x:row r="24">
      <x:c r="A24" t="str">
        <x:v>Risk contingency INR crore</x:v>
      </x:c>
      <x:c r="B24" t="n">
        <x:v>0</x:v>
      </x:c>
      <x:c r="C24" t="str">
        <x:v>Risk register driven</x:v>
      </x:c>
    </x:row>
    <x:row r="25">
      <x:c r="A25" t="str">
        <x:v>GST/tax treatment</x:v>
      </x:c>
      <x:c r="B25" t="str">
        <x:v>Excluded</x:v>
      </x:c>
      <x:c r="C25" t="str">
        <x:v>Model net of tax until contract tax schedule verified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Bridge</x:v>
      </x:c>
      <x:c r="B1" s="4" t="str">
        <x:v>Structural MT</x:v>
      </x:c>
      <x:c r="C1" s="4" t="str">
        <x:v>Demolition MT</x:v>
      </x:c>
      <x:c r="D1" s="4" t="str">
        <x:v>Steel share</x:v>
      </x:c>
      <x:c r="E1" s="4" t="str">
        <x:v>Demolition share</x:v>
      </x:c>
      <x:c r="F1" s="4" t="str">
        <x:v>Allocated steel+fab INR Cr</x:v>
      </x:c>
      <x:c r="G1" s="4" t="str">
        <x:v>Allocated demolition INR Cr</x:v>
      </x:c>
    </x:row>
    <x:row r="2">
      <x:c r="A2" t="str">
        <x:v>ICW-ICG UD</x:v>
      </x:c>
      <x:c r="B2" t="n">
        <x:v>49</x:v>
      </x:c>
      <x:c r="C2" t="n">
        <x:v>25</x:v>
      </x:c>
      <x:c r="D2" t="n">
        <x:f>B2/SUM($B$2:$B$11)</x:f>
        <x:v>0.04294478527607362</x:v>
      </x:c>
      <x:c r="E2" t="n">
        <x:f>C2/SUM($C$2:$C$11)</x:f>
        <x:v>0.0700280112044818</x:v>
      </x:c>
      <x:c r="F2" t="n">
        <x:f>D2*('Commercial Inputs'!B15+'Commercial Inputs'!B16)</x:f>
        <x:v>0</x:v>
      </x:c>
      <x:c r="G2" t="n">
        <x:f>E2*'Commercial Inputs'!B22</x:f>
        <x:v>0</x:v>
      </x:c>
    </x:row>
    <x:row r="3">
      <x:c r="A3" t="str">
        <x:v>ICW-ICG LD</x:v>
      </x:c>
      <x:c r="B3" t="n">
        <x:v>122</x:v>
      </x:c>
      <x:c r="C3" t="n">
        <x:v>1</x:v>
      </x:c>
      <x:c r="D3" t="n">
        <x:f>B3/SUM($B$2:$B$11)</x:f>
        <x:v>0.10692375109553023</x:v>
      </x:c>
      <x:c r="E3" t="n">
        <x:f>C3/SUM($C$2:$C$11)</x:f>
        <x:v>0.0028011204481792717</x:v>
      </x:c>
      <x:c r="F3" t="n">
        <x:f>D3*('Commercial Inputs'!B15+'Commercial Inputs'!B16)</x:f>
        <x:v>0</x:v>
      </x:c>
      <x:c r="G3" t="n">
        <x:f>E3*'Commercial Inputs'!B22</x:f>
        <x:v>0</x:v>
      </x:c>
    </x:row>
    <x:row r="4">
      <x:c r="A4" t="str">
        <x:v>ICG-ICP UD</x:v>
      </x:c>
      <x:c r="B4" t="n">
        <x:v>116</x:v>
      </x:c>
      <x:c r="C4" t="n">
        <x:v>25</x:v>
      </x:c>
      <x:c r="D4" t="n">
        <x:f>B4/SUM($B$2:$B$11)</x:f>
        <x:v>0.1016652059596845</x:v>
      </x:c>
      <x:c r="E4" t="n">
        <x:f>C4/SUM($C$2:$C$11)</x:f>
        <x:v>0.0700280112044818</x:v>
      </x:c>
      <x:c r="F4" t="n">
        <x:f>D4*('Commercial Inputs'!B15+'Commercial Inputs'!B16)</x:f>
        <x:v>0</x:v>
      </x:c>
      <x:c r="G4" t="n">
        <x:f>E4*'Commercial Inputs'!B22</x:f>
        <x:v>0</x:v>
      </x:c>
    </x:row>
    <x:row r="5">
      <x:c r="A5" t="str">
        <x:v>ICG-ICP LD</x:v>
      </x:c>
      <x:c r="B5" t="n">
        <x:v>160</x:v>
      </x:c>
      <x:c r="C5" t="n">
        <x:v>1</x:v>
      </x:c>
      <x:c r="D5" t="n">
        <x:f>B5/SUM($B$2:$B$11)</x:f>
        <x:v>0.14022787028921999</x:v>
      </x:c>
      <x:c r="E5" t="n">
        <x:f>C5/SUM($C$2:$C$11)</x:f>
        <x:v>0.0028011204481792717</x:v>
      </x:c>
      <x:c r="F5" t="n">
        <x:f>D5*('Commercial Inputs'!B15+'Commercial Inputs'!B16)</x:f>
        <x:v>0</x:v>
      </x:c>
      <x:c r="G5" t="n">
        <x:f>E5*'Commercial Inputs'!B22</x:f>
        <x:v>0</x:v>
      </x:c>
    </x:row>
    <x:row r="6">
      <x:c r="A6" t="str">
        <x:v>BHS-SLQ</x:v>
      </x:c>
      <x:c r="B6" t="n">
        <x:v>282</x:v>
      </x:c>
      <x:c r="C6" t="n">
        <x:v>210</x:v>
      </x:c>
      <x:c r="D6" t="n">
        <x:f>B6/SUM($B$2:$B$11)</x:f>
        <x:v>0.24715162138475022</x:v>
      </x:c>
      <x:c r="E6" t="n">
        <x:f>C6/SUM($C$2:$C$11)</x:f>
        <x:v>0.5882352941176471</x:v>
      </x:c>
      <x:c r="F6" t="n">
        <x:f>D6*('Commercial Inputs'!B15+'Commercial Inputs'!B16)</x:f>
        <x:v>0</x:v>
      </x:c>
      <x:c r="G6" t="n">
        <x:f>E6*'Commercial Inputs'!B22</x:f>
        <x:v>0</x:v>
      </x:c>
    </x:row>
    <x:row r="7">
      <x:c r="A7" t="str">
        <x:v>SLQ-WIS</x:v>
      </x:c>
      <x:c r="B7" t="n">
        <x:v>91</x:v>
      </x:c>
      <x:c r="C7" t="n">
        <x:v>15</x:v>
      </x:c>
      <x:c r="D7" t="n">
        <x:f>B7/SUM($B$2:$B$11)</x:f>
        <x:v>0.07975460122699386</x:v>
      </x:c>
      <x:c r="E7" t="n">
        <x:f>C7/SUM($C$2:$C$11)</x:f>
        <x:v>0.04201680672268908</x:v>
      </x:c>
      <x:c r="F7" t="n">
        <x:f>D7*('Commercial Inputs'!B15+'Commercial Inputs'!B16)</x:f>
        <x:v>0</x:v>
      </x:c>
      <x:c r="G7" t="n">
        <x:f>E7*'Commercial Inputs'!B22</x:f>
        <x:v>0</x:v>
      </x:c>
    </x:row>
    <x:row r="8">
      <x:c r="A8" t="str">
        <x:v>NQO-NQD</x:v>
      </x:c>
      <x:c r="B8" t="n">
        <x:v>93</x:v>
      </x:c>
      <x:c r="C8" t="n">
        <x:v>25</x:v>
      </x:c>
      <x:c r="D8" t="n">
        <x:f>B8/SUM($B$2:$B$11)</x:f>
        <x:v>0.08150744960560911</x:v>
      </x:c>
      <x:c r="E8" t="n">
        <x:f>C8/SUM($C$2:$C$11)</x:f>
        <x:v>0.0700280112044818</x:v>
      </x:c>
      <x:c r="F8" t="n">
        <x:f>D8*('Commercial Inputs'!B15+'Commercial Inputs'!B16)</x:f>
        <x:v>0</x:v>
      </x:c>
      <x:c r="G8" t="n">
        <x:f>E8*'Commercial Inputs'!B22</x:f>
        <x:v>0</x:v>
      </x:c>
    </x:row>
    <x:row r="9">
      <x:c r="A9" t="str">
        <x:v>WIN-NC</x:v>
      </x:c>
      <x:c r="B9" t="n">
        <x:v>46</x:v>
      </x:c>
      <x:c r="C9" t="n">
        <x:v>10</x:v>
      </x:c>
      <x:c r="D9" t="n">
        <x:f>B9/SUM($B$2:$B$11)</x:f>
        <x:v>0.040315512708150744</x:v>
      </x:c>
      <x:c r="E9" t="n">
        <x:f>C9/SUM($C$2:$C$11)</x:f>
        <x:v>0.028011204481792718</x:v>
      </x:c>
      <x:c r="F9" t="n">
        <x:f>D9*('Commercial Inputs'!B15+'Commercial Inputs'!B16)</x:f>
        <x:v>0</x:v>
      </x:c>
      <x:c r="G9" t="n">
        <x:f>E9*'Commercial Inputs'!B22</x:f>
        <x:v>0</x:v>
      </x:c>
    </x:row>
    <x:row r="10">
      <x:c r="A10" t="str">
        <x:v>SCA-SC1</x:v>
      </x:c>
      <x:c r="B10" t="n">
        <x:v>63</x:v>
      </x:c>
      <x:c r="C10" t="n">
        <x:v>15</x:v>
      </x:c>
      <x:c r="D10" t="n">
        <x:f>B10/SUM($B$2:$B$11)</x:f>
        <x:v>0.05521472392638037</x:v>
      </x:c>
      <x:c r="E10" t="n">
        <x:f>C10/SUM($C$2:$C$11)</x:f>
        <x:v>0.04201680672268908</x:v>
      </x:c>
      <x:c r="F10" t="n">
        <x:f>D10*('Commercial Inputs'!B15+'Commercial Inputs'!B16)</x:f>
        <x:v>0</x:v>
      </x:c>
      <x:c r="G10" t="n">
        <x:f>E10*'Commercial Inputs'!B22</x:f>
        <x:v>0</x:v>
      </x:c>
    </x:row>
    <x:row r="11">
      <x:c r="A11" t="str">
        <x:v>SCA-SCF</x:v>
      </x:c>
      <x:c r="B11" t="n">
        <x:v>119</x:v>
      </x:c>
      <x:c r="C11" t="n">
        <x:v>30</x:v>
      </x:c>
      <x:c r="D11" t="n">
        <x:f>B11/SUM($B$2:$B$11)</x:f>
        <x:v>0.10429447852760736</x:v>
      </x:c>
      <x:c r="E11" t="n">
        <x:f>C11/SUM($C$2:$C$11)</x:f>
        <x:v>0.08403361344537816</x:v>
      </x:c>
      <x:c r="F11" t="n">
        <x:f>D11*('Commercial Inputs'!B15+'Commercial Inputs'!B16)</x:f>
        <x:v>0</x:v>
      </x:c>
      <x:c r="G11" t="n">
        <x:f>E11*'Commercial Inputs'!B22</x:f>
        <x:v>0</x:v>
      </x:c>
    </x:row>
    <x:row r="12">
      <x:c r="A12" t="str">
        <x:v>TOTAL</x:v>
      </x:c>
      <x:c r="B12" t="n">
        <x:v>1141</x:v>
      </x:c>
      <x:c r="C12" t="n">
        <x:v>357</x:v>
      </x:c>
      <x:c r="D12" t="n">
        <x:f>SUM(D2:D11)</x:f>
        <x:v>0.9999999999999999</x:v>
      </x:c>
      <x:c r="E12" t="n">
        <x:f>SUM(E2:E11)</x:f>
        <x:v>1</x:v>
      </x:c>
      <x:c r="F12" t="n">
        <x:f>SUM(F2:F11)</x:f>
        <x:v>0</x:v>
      </x:c>
      <x:c r="G12" t="n">
        <x:f>SUM(G2:G11)</x:f>
        <x:v>0</x:v>
      </x:c>
    </x:row>
    <x:row r="14">
      <x:c r="A14" t="str">
        <x:v>NOTE</x:v>
      </x:c>
      <x:c r="B14" t="str">
        <x:v>Printed structural summary 1142 MT; row total 1141 MT. Reconcile 1 MT before baseline.</x:v>
      </x:c>
      <x:c r="C14" t="str"/>
      <x:c r="D14" t="str"/>
      <x:c r="E14" t="str"/>
      <x:c r="F14" t="str"/>
      <x:c r="G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54" hidden="0" customWidth="1"/>
  </x:cols>
  <x:sheetData>
    <x:row r="1">
      <x:c r="A1" s="4" t="str">
        <x:v>Week</x:v>
      </x:c>
      <x:c r="B1" s="4" t="str">
        <x:v>Week start</x:v>
      </x:c>
      <x:c r="C1" s="4" t="str">
        <x:v>Weight %</x:v>
      </x:c>
      <x:c r="D1" s="4" t="str">
        <x:v>Direct outflow Cr</x:v>
      </x:c>
      <x:c r="E1" s="4" t="str">
        <x:v>Marine outflow Cr</x:v>
      </x:c>
      <x:c r="F1" s="4" t="str">
        <x:v>Total outflow Cr</x:v>
      </x:c>
      <x:c r="G1" s="4" t="str">
        <x:v>Milestone bill %</x:v>
      </x:c>
      <x:c r="H1" s="4" t="str">
        <x:v>Invoice value Cr</x:v>
      </x:c>
      <x:c r="I1" s="4" t="str">
        <x:v>Certified Cr</x:v>
      </x:c>
      <x:c r="J1" s="4" t="str">
        <x:v>Cash receipt Cr</x:v>
      </x:c>
      <x:c r="K1" s="4" t="str">
        <x:v>Net flow Cr</x:v>
      </x:c>
      <x:c r="L1" s="4" t="str">
        <x:v>Cumulative cash Cr</x:v>
      </x:c>
      <x:c r="M1" s="4" t="str">
        <x:v>Funding gap Cr</x:v>
      </x:c>
      <x:c r="N1" s="4" t="str">
        <x:v>BG margin Cr</x:v>
      </x:c>
      <x:c r="O1" s="4" t="str">
        <x:v>Cumulative net after BG Cr</x:v>
      </x:c>
      <x:c r="P1" s="4" t="str">
        <x:v>Comments</x:v>
      </x:c>
    </x:row>
    <x:row r="2">
      <x:c r="A2" t="n">
        <x:v>1</x:v>
      </x:c>
      <x:c r="B2" s="6" t="n">
        <x:v>46327</x:v>
      </x:c>
      <x:c r="C2" s="8" t="n">
        <x:v>0.014285714285714285</x:v>
      </x:c>
      <x:c r="D2" t="n">
        <x:f>C2*SUM('Commercial Inputs'!$B$15:$B$18,'Commercial Inputs'!$B$20:$B$24)</x:f>
        <x:v>0</x:v>
      </x:c>
      <x:c r="E2" t="n">
        <x:f>C2*SUM('Commercial Inputs'!$B$19,'Commercial Inputs'!$B$20)</x:f>
        <x:v>0</x:v>
      </x:c>
      <x:c r="F2" t="n">
        <x:f>D2+E2</x:f>
        <x:v>0</x:v>
      </x:c>
      <x:c r="G2" t="n">
        <x:f>0</x:f>
        <x:v>0</x:v>
      </x:c>
      <x:c r="H2" t="n">
        <x:f>G2*'Commercial Inputs'!$B$3/100</x:f>
        <x:v>0</x:v>
      </x:c>
      <x:c r="I2" t="n">
        <x:f>IF(A2&gt;'Commercial Inputs'!$B$7,INDEX($H$2:$H$30,MAX(1,A2-'Commercial Inputs'!$B$7)),0)</x:f>
        <x:v>0</x:v>
      </x:c>
      <x:c r="J2" t="n">
        <x:f>IF(A2='Commercial Inputs'!$B$5,'Commercial Inputs'!$B$3*'Commercial Inputs'!$B$4/100,0)+IF(A2&gt;'Commercial Inputs'!$B$8,INDEX($I$2:$I$30,MAX(1,A2-'Commercial Inputs'!$B$8))*(1-'Commercial Inputs'!$B$9/100),0)</x:f>
        <x:v>0</x:v>
      </x:c>
      <x:c r="K2" t="n">
        <x:f>J2-F2</x:f>
        <x:v>0</x:v>
      </x:c>
      <x:c r="L2" t="n">
        <x:f>'Commercial Inputs'!$B$13+SUM($K$2:K2)</x:f>
        <x:v>0</x:v>
      </x:c>
      <x:c r="M2" t="n">
        <x:f>MAX(0,-L2)</x:f>
        <x:v>0</x:v>
      </x:c>
      <x:c r="N2" t="n">
        <x:f>IF(A2=1,'Commercial Inputs'!$B$3*'Commercial Inputs'!$B$11/100*'Commercial Inputs'!$B$12/100,0)</x:f>
        <x:v>0</x:v>
      </x:c>
      <x:c r="O2" t="n">
        <x:f>L2-SUM($N$2:N2)</x:f>
        <x:v>0</x:v>
      </x:c>
      <x:c r="P2" t="str">
        <x:f>"Illustrative timing; replace with approved milestones"</x:f>
        <x:v>Illustrative timing; replace with approved milestones</x:v>
      </x:c>
    </x:row>
    <x:row r="3">
      <x:c r="A3" t="n">
        <x:v>2</x:v>
      </x:c>
      <x:c r="B3" s="6" t="n">
        <x:v>46334</x:v>
      </x:c>
      <x:c r="C3" s="8" t="n">
        <x:v>0.019047619047619046</x:v>
      </x:c>
      <x:c r="D3" t="n">
        <x:f>C3*SUM('Commercial Inputs'!$B$15:$B$18,'Commercial Inputs'!$B$20:$B$24)</x:f>
        <x:v>0</x:v>
      </x:c>
      <x:c r="E3" t="n">
        <x:f>C3*SUM('Commercial Inputs'!$B$19,'Commercial Inputs'!$B$20)</x:f>
        <x:v>0</x:v>
      </x:c>
      <x:c r="F3" t="n">
        <x:f>D3+E3</x:f>
        <x:v>0</x:v>
      </x:c>
      <x:c r="G3" t="n">
        <x:f>0</x:f>
        <x:v>0</x:v>
      </x:c>
      <x:c r="H3" t="n">
        <x:f>G3*'Commercial Inputs'!$B$3/100</x:f>
        <x:v>0</x:v>
      </x:c>
      <x:c r="I3" t="n">
        <x:f>IF(A3&gt;'Commercial Inputs'!$B$7,INDEX($H$2:$H$30,MAX(1,A3-'Commercial Inputs'!$B$7)),0)</x:f>
        <x:v>0</x:v>
      </x:c>
      <x:c r="J3" t="n">
        <x:f>IF(A3='Commercial Inputs'!$B$5,'Commercial Inputs'!$B$3*'Commercial Inputs'!$B$4/100,0)+IF(A3&gt;'Commercial Inputs'!$B$8,INDEX($I$2:$I$30,MAX(1,A3-'Commercial Inputs'!$B$8))*(1-'Commercial Inputs'!$B$9/100),0)</x:f>
        <x:v>0</x:v>
      </x:c>
      <x:c r="K3" t="n">
        <x:f>J3-F3</x:f>
        <x:v>0</x:v>
      </x:c>
      <x:c r="L3" t="n">
        <x:f>'Commercial Inputs'!$B$13+SUM($K$2:K3)</x:f>
        <x:v>0</x:v>
      </x:c>
      <x:c r="M3" t="n">
        <x:f>MAX(0,-L3)</x:f>
        <x:v>0</x:v>
      </x:c>
      <x:c r="N3" t="n">
        <x:f>IF(A3=1,'Commercial Inputs'!$B$3*'Commercial Inputs'!$B$11/100*'Commercial Inputs'!$B$12/100,0)</x:f>
        <x:v>0</x:v>
      </x:c>
      <x:c r="O3" t="n">
        <x:f>L3-SUM($N$2:N3)</x:f>
        <x:v>0</x:v>
      </x:c>
      <x:c r="P3" t="str">
        <x:f>"Illustrative timing; replace with approved milestones"</x:f>
        <x:v>Illustrative timing; replace with approved milestones</x:v>
      </x:c>
    </x:row>
    <x:row r="4">
      <x:c r="A4" t="n">
        <x:v>3</x:v>
      </x:c>
      <x:c r="B4" s="6" t="n">
        <x:v>46341</x:v>
      </x:c>
      <x:c r="C4" s="8" t="n">
        <x:v>0.023809523809523808</x:v>
      </x:c>
      <x:c r="D4" t="n">
        <x:f>C4*SUM('Commercial Inputs'!$B$15:$B$18,'Commercial Inputs'!$B$20:$B$24)</x:f>
        <x:v>0</x:v>
      </x:c>
      <x:c r="E4" t="n">
        <x:f>C4*SUM('Commercial Inputs'!$B$19,'Commercial Inputs'!$B$20)</x:f>
        <x:v>0</x:v>
      </x:c>
      <x:c r="F4" t="n">
        <x:f>D4+E4</x:f>
        <x:v>0</x:v>
      </x:c>
      <x:c r="G4" t="n">
        <x:f>0</x:f>
        <x:v>0</x:v>
      </x:c>
      <x:c r="H4" t="n">
        <x:f>G4*'Commercial Inputs'!$B$3/100</x:f>
        <x:v>0</x:v>
      </x:c>
      <x:c r="I4" t="n">
        <x:f>IF(A4&gt;'Commercial Inputs'!$B$7,INDEX($H$2:$H$30,MAX(1,A4-'Commercial Inputs'!$B$7)),0)</x:f>
        <x:v>0</x:v>
      </x:c>
      <x:c r="J4" t="n">
        <x:f>IF(A4='Commercial Inputs'!$B$5,'Commercial Inputs'!$B$3*'Commercial Inputs'!$B$4/100,0)+IF(A4&gt;'Commercial Inputs'!$B$8,INDEX($I$2:$I$30,MAX(1,A4-'Commercial Inputs'!$B$8))*(1-'Commercial Inputs'!$B$9/100),0)</x:f>
        <x:v>0</x:v>
      </x:c>
      <x:c r="K4" t="n">
        <x:f>J4-F4</x:f>
        <x:v>0</x:v>
      </x:c>
      <x:c r="L4" t="n">
        <x:f>'Commercial Inputs'!$B$13+SUM($K$2:K4)</x:f>
        <x:v>0</x:v>
      </x:c>
      <x:c r="M4" t="n">
        <x:f>MAX(0,-L4)</x:f>
        <x:v>0</x:v>
      </x:c>
      <x:c r="N4" t="n">
        <x:f>IF(A4=1,'Commercial Inputs'!$B$3*'Commercial Inputs'!$B$11/100*'Commercial Inputs'!$B$12/100,0)</x:f>
        <x:v>0</x:v>
      </x:c>
      <x:c r="O4" t="n">
        <x:f>L4-SUM($N$2:N4)</x:f>
        <x:v>0</x:v>
      </x:c>
      <x:c r="P4" t="str">
        <x:f>"Illustrative timing; replace with approved milestones"</x:f>
        <x:v>Illustrative timing; replace with approved milestones</x:v>
      </x:c>
    </x:row>
    <x:row r="5">
      <x:c r="A5" t="n">
        <x:v>4</x:v>
      </x:c>
      <x:c r="B5" s="6" t="n">
        <x:v>46348</x:v>
      </x:c>
      <x:c r="C5" s="8" t="n">
        <x:v>0.02857142857142857</x:v>
      </x:c>
      <x:c r="D5" t="n">
        <x:f>C5*SUM('Commercial Inputs'!$B$15:$B$18,'Commercial Inputs'!$B$20:$B$24)</x:f>
        <x:v>0</x:v>
      </x:c>
      <x:c r="E5" t="n">
        <x:f>C5*SUM('Commercial Inputs'!$B$19,'Commercial Inputs'!$B$20)</x:f>
        <x:v>0</x:v>
      </x:c>
      <x:c r="F5" t="n">
        <x:f>D5+E5</x:f>
        <x:v>0</x:v>
      </x:c>
      <x:c r="G5" t="n">
        <x:f>0</x:f>
        <x:v>0</x:v>
      </x:c>
      <x:c r="H5" t="n">
        <x:f>G5*'Commercial Inputs'!$B$3/100</x:f>
        <x:v>0</x:v>
      </x:c>
      <x:c r="I5" t="n">
        <x:f>IF(A5&gt;'Commercial Inputs'!$B$7,INDEX($H$2:$H$30,MAX(1,A5-'Commercial Inputs'!$B$7)),0)</x:f>
        <x:v>0</x:v>
      </x:c>
      <x:c r="J5" t="n">
        <x:f>IF(A5='Commercial Inputs'!$B$5,'Commercial Inputs'!$B$3*'Commercial Inputs'!$B$4/100,0)+IF(A5&gt;'Commercial Inputs'!$B$8,INDEX($I$2:$I$30,MAX(1,A5-'Commercial Inputs'!$B$8))*(1-'Commercial Inputs'!$B$9/100),0)</x:f>
        <x:v>0</x:v>
      </x:c>
      <x:c r="K5" t="n">
        <x:f>J5-F5</x:f>
        <x:v>0</x:v>
      </x:c>
      <x:c r="L5" t="n">
        <x:f>'Commercial Inputs'!$B$13+SUM($K$2:K5)</x:f>
        <x:v>0</x:v>
      </x:c>
      <x:c r="M5" t="n">
        <x:f>MAX(0,-L5)</x:f>
        <x:v>0</x:v>
      </x:c>
      <x:c r="N5" t="n">
        <x:f>IF(A5=1,'Commercial Inputs'!$B$3*'Commercial Inputs'!$B$11/100*'Commercial Inputs'!$B$12/100,0)</x:f>
        <x:v>0</x:v>
      </x:c>
      <x:c r="O5" t="n">
        <x:f>L5-SUM($N$2:N5)</x:f>
        <x:v>0</x:v>
      </x:c>
      <x:c r="P5" t="str">
        <x:f>"Illustrative timing; replace with approved milestones"</x:f>
        <x:v>Illustrative timing; replace with approved milestones</x:v>
      </x:c>
    </x:row>
    <x:row r="6">
      <x:c r="A6" t="n">
        <x:v>5</x:v>
      </x:c>
      <x:c r="B6" s="6" t="n">
        <x:v>46355</x:v>
      </x:c>
      <x:c r="C6" s="8" t="n">
        <x:v>0.02857142857142857</x:v>
      </x:c>
      <x:c r="D6" t="n">
        <x:f>C6*SUM('Commercial Inputs'!$B$15:$B$18,'Commercial Inputs'!$B$20:$B$24)</x:f>
        <x:v>0</x:v>
      </x:c>
      <x:c r="E6" t="n">
        <x:f>C6*SUM('Commercial Inputs'!$B$19,'Commercial Inputs'!$B$20)</x:f>
        <x:v>0</x:v>
      </x:c>
      <x:c r="F6" t="n">
        <x:f>D6+E6</x:f>
        <x:v>0</x:v>
      </x:c>
      <x:c r="G6" t="n">
        <x:f>0</x:f>
        <x:v>0</x:v>
      </x:c>
      <x:c r="H6" t="n">
        <x:f>G6*'Commercial Inputs'!$B$3/100</x:f>
        <x:v>0</x:v>
      </x:c>
      <x:c r="I6" t="n">
        <x:f>IF(A6&gt;'Commercial Inputs'!$B$7,INDEX($H$2:$H$30,MAX(1,A6-'Commercial Inputs'!$B$7)),0)</x:f>
        <x:v>0</x:v>
      </x:c>
      <x:c r="J6" t="n">
        <x:f>IF(A6='Commercial Inputs'!$B$5,'Commercial Inputs'!$B$3*'Commercial Inputs'!$B$4/100,0)+IF(A6&gt;'Commercial Inputs'!$B$8,INDEX($I$2:$I$30,MAX(1,A6-'Commercial Inputs'!$B$8))*(1-'Commercial Inputs'!$B$9/100),0)</x:f>
        <x:v>0</x:v>
      </x:c>
      <x:c r="K6" t="n">
        <x:f>J6-F6</x:f>
        <x:v>0</x:v>
      </x:c>
      <x:c r="L6" t="n">
        <x:f>'Commercial Inputs'!$B$13+SUM($K$2:K6)</x:f>
        <x:v>0</x:v>
      </x:c>
      <x:c r="M6" t="n">
        <x:f>MAX(0,-L6)</x:f>
        <x:v>0</x:v>
      </x:c>
      <x:c r="N6" t="n">
        <x:f>IF(A6=1,'Commercial Inputs'!$B$3*'Commercial Inputs'!$B$11/100*'Commercial Inputs'!$B$12/100,0)</x:f>
        <x:v>0</x:v>
      </x:c>
      <x:c r="O6" t="n">
        <x:f>L6-SUM($N$2:N6)</x:f>
        <x:v>0</x:v>
      </x:c>
      <x:c r="P6" t="str">
        <x:f>"Illustrative timing; replace with approved milestones"</x:f>
        <x:v>Illustrative timing; replace with approved milestones</x:v>
      </x:c>
    </x:row>
    <x:row r="7">
      <x:c r="A7" t="n">
        <x:v>6</x:v>
      </x:c>
      <x:c r="B7" s="6" t="n">
        <x:v>46362</x:v>
      </x:c>
      <x:c r="C7" s="8" t="n">
        <x:v>0.03333333333333333</x:v>
      </x:c>
      <x:c r="D7" t="n">
        <x:f>C7*SUM('Commercial Inputs'!$B$15:$B$18,'Commercial Inputs'!$B$20:$B$24)</x:f>
        <x:v>0</x:v>
      </x:c>
      <x:c r="E7" t="n">
        <x:f>C7*SUM('Commercial Inputs'!$B$19,'Commercial Inputs'!$B$20)</x:f>
        <x:v>0</x:v>
      </x:c>
      <x:c r="F7" t="n">
        <x:f>D7+E7</x:f>
        <x:v>0</x:v>
      </x:c>
      <x:c r="G7" t="n">
        <x:f>0</x:f>
        <x:v>0</x:v>
      </x:c>
      <x:c r="H7" t="n">
        <x:f>G7*'Commercial Inputs'!$B$3/100</x:f>
        <x:v>0</x:v>
      </x:c>
      <x:c r="I7" t="n">
        <x:f>IF(A7&gt;'Commercial Inputs'!$B$7,INDEX($H$2:$H$30,MAX(1,A7-'Commercial Inputs'!$B$7)),0)</x:f>
        <x:v>0</x:v>
      </x:c>
      <x:c r="J7" t="n">
        <x:f>IF(A7='Commercial Inputs'!$B$5,'Commercial Inputs'!$B$3*'Commercial Inputs'!$B$4/100,0)+IF(A7&gt;'Commercial Inputs'!$B$8,INDEX($I$2:$I$30,MAX(1,A7-'Commercial Inputs'!$B$8))*(1-'Commercial Inputs'!$B$9/100),0)</x:f>
        <x:v>0</x:v>
      </x:c>
      <x:c r="K7" t="n">
        <x:f>J7-F7</x:f>
        <x:v>0</x:v>
      </x:c>
      <x:c r="L7" t="n">
        <x:f>'Commercial Inputs'!$B$13+SUM($K$2:K7)</x:f>
        <x:v>0</x:v>
      </x:c>
      <x:c r="M7" t="n">
        <x:f>MAX(0,-L7)</x:f>
        <x:v>0</x:v>
      </x:c>
      <x:c r="N7" t="n">
        <x:f>IF(A7=1,'Commercial Inputs'!$B$3*'Commercial Inputs'!$B$11/100*'Commercial Inputs'!$B$12/100,0)</x:f>
        <x:v>0</x:v>
      </x:c>
      <x:c r="O7" t="n">
        <x:f>L7-SUM($N$2:N7)</x:f>
        <x:v>0</x:v>
      </x:c>
      <x:c r="P7" t="str">
        <x:f>"Illustrative timing; replace with approved milestones"</x:f>
        <x:v>Illustrative timing; replace with approved milestones</x:v>
      </x:c>
    </x:row>
    <x:row r="8">
      <x:c r="A8" t="n">
        <x:v>7</x:v>
      </x:c>
      <x:c r="B8" s="6" t="n">
        <x:v>46369</x:v>
      </x:c>
      <x:c r="C8" s="8" t="n">
        <x:v>0.03333333333333333</x:v>
      </x:c>
      <x:c r="D8" t="n">
        <x:f>C8*SUM('Commercial Inputs'!$B$15:$B$18,'Commercial Inputs'!$B$20:$B$24)</x:f>
        <x:v>0</x:v>
      </x:c>
      <x:c r="E8" t="n">
        <x:f>C8*SUM('Commercial Inputs'!$B$19,'Commercial Inputs'!$B$20)</x:f>
        <x:v>0</x:v>
      </x:c>
      <x:c r="F8" t="n">
        <x:f>D8+E8</x:f>
        <x:v>0</x:v>
      </x:c>
      <x:c r="G8" t="n">
        <x:f>0</x:f>
        <x:v>0</x:v>
      </x:c>
      <x:c r="H8" t="n">
        <x:f>G8*'Commercial Inputs'!$B$3/100</x:f>
        <x:v>0</x:v>
      </x:c>
      <x:c r="I8" t="n">
        <x:f>IF(A8&gt;'Commercial Inputs'!$B$7,INDEX($H$2:$H$30,MAX(1,A8-'Commercial Inputs'!$B$7)),0)</x:f>
        <x:v>0</x:v>
      </x:c>
      <x:c r="J8" t="n">
        <x:f>IF(A8='Commercial Inputs'!$B$5,'Commercial Inputs'!$B$3*'Commercial Inputs'!$B$4/100,0)+IF(A8&gt;'Commercial Inputs'!$B$8,INDEX($I$2:$I$30,MAX(1,A8-'Commercial Inputs'!$B$8))*(1-'Commercial Inputs'!$B$9/100),0)</x:f>
        <x:v>0</x:v>
      </x:c>
      <x:c r="K8" t="n">
        <x:f>J8-F8</x:f>
        <x:v>0</x:v>
      </x:c>
      <x:c r="L8" t="n">
        <x:f>'Commercial Inputs'!$B$13+SUM($K$2:K8)</x:f>
        <x:v>0</x:v>
      </x:c>
      <x:c r="M8" t="n">
        <x:f>MAX(0,-L8)</x:f>
        <x:v>0</x:v>
      </x:c>
      <x:c r="N8" t="n">
        <x:f>IF(A8=1,'Commercial Inputs'!$B$3*'Commercial Inputs'!$B$11/100*'Commercial Inputs'!$B$12/100,0)</x:f>
        <x:v>0</x:v>
      </x:c>
      <x:c r="O8" t="n">
        <x:f>L8-SUM($N$2:N8)</x:f>
        <x:v>0</x:v>
      </x:c>
      <x:c r="P8" t="str">
        <x:f>"Illustrative timing; replace with approved milestones"</x:f>
        <x:v>Illustrative timing; replace with approved milestones</x:v>
      </x:c>
    </x:row>
    <x:row r="9">
      <x:c r="A9" t="n">
        <x:v>8</x:v>
      </x:c>
      <x:c r="B9" s="6" t="n">
        <x:v>46376</x:v>
      </x:c>
      <x:c r="C9" s="8" t="n">
        <x:v>0.03809523809523809</x:v>
      </x:c>
      <x:c r="D9" t="n">
        <x:f>C9*SUM('Commercial Inputs'!$B$15:$B$18,'Commercial Inputs'!$B$20:$B$24)</x:f>
        <x:v>0</x:v>
      </x:c>
      <x:c r="E9" t="n">
        <x:f>C9*SUM('Commercial Inputs'!$B$19,'Commercial Inputs'!$B$20)</x:f>
        <x:v>0</x:v>
      </x:c>
      <x:c r="F9" t="n">
        <x:f>D9+E9</x:f>
        <x:v>0</x:v>
      </x:c>
      <x:c r="G9" t="n">
        <x:f>0</x:f>
        <x:v>0</x:v>
      </x:c>
      <x:c r="H9" t="n">
        <x:f>G9*'Commercial Inputs'!$B$3/100</x:f>
        <x:v>0</x:v>
      </x:c>
      <x:c r="I9" t="n">
        <x:f>IF(A9&gt;'Commercial Inputs'!$B$7,INDEX($H$2:$H$30,MAX(1,A9-'Commercial Inputs'!$B$7)),0)</x:f>
        <x:v>0</x:v>
      </x:c>
      <x:c r="J9" t="n">
        <x:f>IF(A9='Commercial Inputs'!$B$5,'Commercial Inputs'!$B$3*'Commercial Inputs'!$B$4/100,0)+IF(A9&gt;'Commercial Inputs'!$B$8,INDEX($I$2:$I$30,MAX(1,A9-'Commercial Inputs'!$B$8))*(1-'Commercial Inputs'!$B$9/100),0)</x:f>
        <x:v>0</x:v>
      </x:c>
      <x:c r="K9" t="n">
        <x:f>J9-F9</x:f>
        <x:v>0</x:v>
      </x:c>
      <x:c r="L9" t="n">
        <x:f>'Commercial Inputs'!$B$13+SUM($K$2:K9)</x:f>
        <x:v>0</x:v>
      </x:c>
      <x:c r="M9" t="n">
        <x:f>MAX(0,-L9)</x:f>
        <x:v>0</x:v>
      </x:c>
      <x:c r="N9" t="n">
        <x:f>IF(A9=1,'Commercial Inputs'!$B$3*'Commercial Inputs'!$B$11/100*'Commercial Inputs'!$B$12/100,0)</x:f>
        <x:v>0</x:v>
      </x:c>
      <x:c r="O9" t="n">
        <x:f>L9-SUM($N$2:N9)</x:f>
        <x:v>0</x:v>
      </x:c>
      <x:c r="P9" t="str">
        <x:f>"Illustrative timing; replace with approved milestones"</x:f>
        <x:v>Illustrative timing; replace with approved milestones</x:v>
      </x:c>
    </x:row>
    <x:row r="10">
      <x:c r="A10" t="n">
        <x:v>9</x:v>
      </x:c>
      <x:c r="B10" s="6" t="n">
        <x:v>46383</x:v>
      </x:c>
      <x:c r="C10" s="8" t="n">
        <x:v>0.04285714285714285</x:v>
      </x:c>
      <x:c r="D10" t="n">
        <x:f>C10*SUM('Commercial Inputs'!$B$15:$B$18,'Commercial Inputs'!$B$20:$B$24)</x:f>
        <x:v>0</x:v>
      </x:c>
      <x:c r="E10" t="n">
        <x:f>C10*SUM('Commercial Inputs'!$B$19,'Commercial Inputs'!$B$20)</x:f>
        <x:v>0</x:v>
      </x:c>
      <x:c r="F10" t="n">
        <x:f>D10+E10</x:f>
        <x:v>0</x:v>
      </x:c>
      <x:c r="G10" t="n">
        <x:f>0</x:f>
        <x:v>0</x:v>
      </x:c>
      <x:c r="H10" t="n">
        <x:f>G10*'Commercial Inputs'!$B$3/100</x:f>
        <x:v>0</x:v>
      </x:c>
      <x:c r="I10" t="n">
        <x:f>IF(A10&gt;'Commercial Inputs'!$B$7,INDEX($H$2:$H$30,MAX(1,A10-'Commercial Inputs'!$B$7)),0)</x:f>
        <x:v>0</x:v>
      </x:c>
      <x:c r="J10" t="n">
        <x:f>IF(A10='Commercial Inputs'!$B$5,'Commercial Inputs'!$B$3*'Commercial Inputs'!$B$4/100,0)+IF(A10&gt;'Commercial Inputs'!$B$8,INDEX($I$2:$I$30,MAX(1,A10-'Commercial Inputs'!$B$8))*(1-'Commercial Inputs'!$B$9/100),0)</x:f>
        <x:v>0</x:v>
      </x:c>
      <x:c r="K10" t="n">
        <x:f>J10-F10</x:f>
        <x:v>0</x:v>
      </x:c>
      <x:c r="L10" t="n">
        <x:f>'Commercial Inputs'!$B$13+SUM($K$2:K10)</x:f>
        <x:v>0</x:v>
      </x:c>
      <x:c r="M10" t="n">
        <x:f>MAX(0,-L10)</x:f>
        <x:v>0</x:v>
      </x:c>
      <x:c r="N10" t="n">
        <x:f>IF(A10=1,'Commercial Inputs'!$B$3*'Commercial Inputs'!$B$11/100*'Commercial Inputs'!$B$12/100,0)</x:f>
        <x:v>0</x:v>
      </x:c>
      <x:c r="O10" t="n">
        <x:f>L10-SUM($N$2:N10)</x:f>
        <x:v>0</x:v>
      </x:c>
      <x:c r="P10" t="str">
        <x:f>"Illustrative timing; replace with approved milestones"</x:f>
        <x:v>Illustrative timing; replace with approved milestones</x:v>
      </x:c>
    </x:row>
    <x:row r="11">
      <x:c r="A11" t="n">
        <x:v>10</x:v>
      </x:c>
      <x:c r="B11" s="6" t="n">
        <x:v>46390</x:v>
      </x:c>
      <x:c r="C11" s="8" t="n">
        <x:v>0.04285714285714285</x:v>
      </x:c>
      <x:c r="D11" t="n">
        <x:f>C11*SUM('Commercial Inputs'!$B$15:$B$18,'Commercial Inputs'!$B$20:$B$24)</x:f>
        <x:v>0</x:v>
      </x:c>
      <x:c r="E11" t="n">
        <x:f>C11*SUM('Commercial Inputs'!$B$19,'Commercial Inputs'!$B$20)</x:f>
        <x:v>0</x:v>
      </x:c>
      <x:c r="F11" t="n">
        <x:f>D11+E11</x:f>
        <x:v>0</x:v>
      </x:c>
      <x:c r="G11" t="n">
        <x:f>0</x:f>
        <x:v>0</x:v>
      </x:c>
      <x:c r="H11" t="n">
        <x:f>G11*'Commercial Inputs'!$B$3/100</x:f>
        <x:v>0</x:v>
      </x:c>
      <x:c r="I11" t="n">
        <x:f>IF(A11&gt;'Commercial Inputs'!$B$7,INDEX($H$2:$H$30,MAX(1,A11-'Commercial Inputs'!$B$7)),0)</x:f>
        <x:v>0</x:v>
      </x:c>
      <x:c r="J11" t="n">
        <x:f>IF(A11='Commercial Inputs'!$B$5,'Commercial Inputs'!$B$3*'Commercial Inputs'!$B$4/100,0)+IF(A11&gt;'Commercial Inputs'!$B$8,INDEX($I$2:$I$30,MAX(1,A11-'Commercial Inputs'!$B$8))*(1-'Commercial Inputs'!$B$9/100),0)</x:f>
        <x:v>0</x:v>
      </x:c>
      <x:c r="K11" t="n">
        <x:f>J11-F11</x:f>
        <x:v>0</x:v>
      </x:c>
      <x:c r="L11" t="n">
        <x:f>'Commercial Inputs'!$B$13+SUM($K$2:K11)</x:f>
        <x:v>0</x:v>
      </x:c>
      <x:c r="M11" t="n">
        <x:f>MAX(0,-L11)</x:f>
        <x:v>0</x:v>
      </x:c>
      <x:c r="N11" t="n">
        <x:f>IF(A11=1,'Commercial Inputs'!$B$3*'Commercial Inputs'!$B$11/100*'Commercial Inputs'!$B$12/100,0)</x:f>
        <x:v>0</x:v>
      </x:c>
      <x:c r="O11" t="n">
        <x:f>L11-SUM($N$2:N11)</x:f>
        <x:v>0</x:v>
      </x:c>
      <x:c r="P11" t="str">
        <x:f>"Illustrative timing; replace with approved milestones"</x:f>
        <x:v>Illustrative timing; replace with approved milestones</x:v>
      </x:c>
    </x:row>
    <x:row r="12">
      <x:c r="A12" t="n">
        <x:v>11</x:v>
      </x:c>
      <x:c r="B12" s="6" t="n">
        <x:v>46397</x:v>
      </x:c>
      <x:c r="C12" s="8" t="n">
        <x:v>0.047619047619047616</x:v>
      </x:c>
      <x:c r="D12" t="n">
        <x:f>C12*SUM('Commercial Inputs'!$B$15:$B$18,'Commercial Inputs'!$B$20:$B$24)</x:f>
        <x:v>0</x:v>
      </x:c>
      <x:c r="E12" t="n">
        <x:f>C12*SUM('Commercial Inputs'!$B$19,'Commercial Inputs'!$B$20)</x:f>
        <x:v>0</x:v>
      </x:c>
      <x:c r="F12" t="n">
        <x:f>D12+E12</x:f>
        <x:v>0</x:v>
      </x:c>
      <x:c r="G12" t="n">
        <x:f>0</x:f>
        <x:v>0</x:v>
      </x:c>
      <x:c r="H12" t="n">
        <x:f>G12*'Commercial Inputs'!$B$3/100</x:f>
        <x:v>0</x:v>
      </x:c>
      <x:c r="I12" t="n">
        <x:f>IF(A12&gt;'Commercial Inputs'!$B$7,INDEX($H$2:$H$30,MAX(1,A12-'Commercial Inputs'!$B$7)),0)</x:f>
        <x:v>0</x:v>
      </x:c>
      <x:c r="J12" t="n">
        <x:f>IF(A12='Commercial Inputs'!$B$5,'Commercial Inputs'!$B$3*'Commercial Inputs'!$B$4/100,0)+IF(A12&gt;'Commercial Inputs'!$B$8,INDEX($I$2:$I$30,MAX(1,A12-'Commercial Inputs'!$B$8))*(1-'Commercial Inputs'!$B$9/100),0)</x:f>
        <x:v>0</x:v>
      </x:c>
      <x:c r="K12" t="n">
        <x:f>J12-F12</x:f>
        <x:v>0</x:v>
      </x:c>
      <x:c r="L12" t="n">
        <x:f>'Commercial Inputs'!$B$13+SUM($K$2:K12)</x:f>
        <x:v>0</x:v>
      </x:c>
      <x:c r="M12" t="n">
        <x:f>MAX(0,-L12)</x:f>
        <x:v>0</x:v>
      </x:c>
      <x:c r="N12" t="n">
        <x:f>IF(A12=1,'Commercial Inputs'!$B$3*'Commercial Inputs'!$B$11/100*'Commercial Inputs'!$B$12/100,0)</x:f>
        <x:v>0</x:v>
      </x:c>
      <x:c r="O12" t="n">
        <x:f>L12-SUM($N$2:N12)</x:f>
        <x:v>0</x:v>
      </x:c>
      <x:c r="P12" t="str">
        <x:f>"Illustrative timing; replace with approved milestones"</x:f>
        <x:v>Illustrative timing; replace with approved milestones</x:v>
      </x:c>
    </x:row>
    <x:row r="13">
      <x:c r="A13" t="n">
        <x:v>12</x:v>
      </x:c>
      <x:c r="B13" s="6" t="n">
        <x:v>46404</x:v>
      </x:c>
      <x:c r="C13" s="8" t="n">
        <x:v>0.047619047619047616</x:v>
      </x:c>
      <x:c r="D13" t="n">
        <x:f>C13*SUM('Commercial Inputs'!$B$15:$B$18,'Commercial Inputs'!$B$20:$B$24)</x:f>
        <x:v>0</x:v>
      </x:c>
      <x:c r="E13" t="n">
        <x:f>C13*SUM('Commercial Inputs'!$B$19,'Commercial Inputs'!$B$20)</x:f>
        <x:v>0</x:v>
      </x:c>
      <x:c r="F13" t="n">
        <x:f>D13+E13</x:f>
        <x:v>0</x:v>
      </x:c>
      <x:c r="G13" t="n">
        <x:f>0</x:f>
        <x:v>0</x:v>
      </x:c>
      <x:c r="H13" t="n">
        <x:f>G13*'Commercial Inputs'!$B$3/100</x:f>
        <x:v>0</x:v>
      </x:c>
      <x:c r="I13" t="n">
        <x:f>IF(A13&gt;'Commercial Inputs'!$B$7,INDEX($H$2:$H$30,MAX(1,A13-'Commercial Inputs'!$B$7)),0)</x:f>
        <x:v>0</x:v>
      </x:c>
      <x:c r="J13" t="n">
        <x:f>IF(A13='Commercial Inputs'!$B$5,'Commercial Inputs'!$B$3*'Commercial Inputs'!$B$4/100,0)+IF(A13&gt;'Commercial Inputs'!$B$8,INDEX($I$2:$I$30,MAX(1,A13-'Commercial Inputs'!$B$8))*(1-'Commercial Inputs'!$B$9/100),0)</x:f>
        <x:v>0</x:v>
      </x:c>
      <x:c r="K13" t="n">
        <x:f>J13-F13</x:f>
        <x:v>0</x:v>
      </x:c>
      <x:c r="L13" t="n">
        <x:f>'Commercial Inputs'!$B$13+SUM($K$2:K13)</x:f>
        <x:v>0</x:v>
      </x:c>
      <x:c r="M13" t="n">
        <x:f>MAX(0,-L13)</x:f>
        <x:v>0</x:v>
      </x:c>
      <x:c r="N13" t="n">
        <x:f>IF(A13=1,'Commercial Inputs'!$B$3*'Commercial Inputs'!$B$11/100*'Commercial Inputs'!$B$12/100,0)</x:f>
        <x:v>0</x:v>
      </x:c>
      <x:c r="O13" t="n">
        <x:f>L13-SUM($N$2:N13)</x:f>
        <x:v>0</x:v>
      </x:c>
      <x:c r="P13" t="str">
        <x:f>"Illustrative timing; replace with approved milestones"</x:f>
        <x:v>Illustrative timing; replace with approved milestones</x:v>
      </x:c>
    </x:row>
    <x:row r="14">
      <x:c r="A14" t="n">
        <x:v>13</x:v>
      </x:c>
      <x:c r="B14" s="6" t="n">
        <x:v>46411</x:v>
      </x:c>
      <x:c r="C14" s="8" t="n">
        <x:v>0.047619047619047616</x:v>
      </x:c>
      <x:c r="D14" t="n">
        <x:f>C14*SUM('Commercial Inputs'!$B$15:$B$18,'Commercial Inputs'!$B$20:$B$24)</x:f>
        <x:v>0</x:v>
      </x:c>
      <x:c r="E14" t="n">
        <x:f>C14*SUM('Commercial Inputs'!$B$19,'Commercial Inputs'!$B$20)</x:f>
        <x:v>0</x:v>
      </x:c>
      <x:c r="F14" t="n">
        <x:f>D14+E14</x:f>
        <x:v>0</x:v>
      </x:c>
      <x:c r="G14" t="n">
        <x:f>0</x:f>
        <x:v>0</x:v>
      </x:c>
      <x:c r="H14" t="n">
        <x:f>G14*'Commercial Inputs'!$B$3/100</x:f>
        <x:v>0</x:v>
      </x:c>
      <x:c r="I14" t="n">
        <x:f>IF(A14&gt;'Commercial Inputs'!$B$7,INDEX($H$2:$H$30,MAX(1,A14-'Commercial Inputs'!$B$7)),0)</x:f>
        <x:v>0</x:v>
      </x:c>
      <x:c r="J14" t="n">
        <x:f>IF(A14='Commercial Inputs'!$B$5,'Commercial Inputs'!$B$3*'Commercial Inputs'!$B$4/100,0)+IF(A14&gt;'Commercial Inputs'!$B$8,INDEX($I$2:$I$30,MAX(1,A14-'Commercial Inputs'!$B$8))*(1-'Commercial Inputs'!$B$9/100),0)</x:f>
        <x:v>0</x:v>
      </x:c>
      <x:c r="K14" t="n">
        <x:f>J14-F14</x:f>
        <x:v>0</x:v>
      </x:c>
      <x:c r="L14" t="n">
        <x:f>'Commercial Inputs'!$B$13+SUM($K$2:K14)</x:f>
        <x:v>0</x:v>
      </x:c>
      <x:c r="M14" t="n">
        <x:f>MAX(0,-L14)</x:f>
        <x:v>0</x:v>
      </x:c>
      <x:c r="N14" t="n">
        <x:f>IF(A14=1,'Commercial Inputs'!$B$3*'Commercial Inputs'!$B$11/100*'Commercial Inputs'!$B$12/100,0)</x:f>
        <x:v>0</x:v>
      </x:c>
      <x:c r="O14" t="n">
        <x:f>L14-SUM($N$2:N14)</x:f>
        <x:v>0</x:v>
      </x:c>
      <x:c r="P14" t="str">
        <x:f>"Illustrative timing; replace with approved milestones"</x:f>
        <x:v>Illustrative timing; replace with approved milestones</x:v>
      </x:c>
    </x:row>
    <x:row r="15">
      <x:c r="A15" t="n">
        <x:v>14</x:v>
      </x:c>
      <x:c r="B15" s="6" t="n">
        <x:v>46418</x:v>
      </x:c>
      <x:c r="C15" s="8" t="n">
        <x:v>0.047619047619047616</x:v>
      </x:c>
      <x:c r="D15" t="n">
        <x:f>C15*SUM('Commercial Inputs'!$B$15:$B$18,'Commercial Inputs'!$B$20:$B$24)</x:f>
        <x:v>0</x:v>
      </x:c>
      <x:c r="E15" t="n">
        <x:f>C15*SUM('Commercial Inputs'!$B$19,'Commercial Inputs'!$B$20)</x:f>
        <x:v>0</x:v>
      </x:c>
      <x:c r="F15" t="n">
        <x:f>D15+E15</x:f>
        <x:v>0</x:v>
      </x:c>
      <x:c r="G15" t="n">
        <x:f>0</x:f>
        <x:v>0</x:v>
      </x:c>
      <x:c r="H15" t="n">
        <x:f>G15*'Commercial Inputs'!$B$3/100</x:f>
        <x:v>0</x:v>
      </x:c>
      <x:c r="I15" t="n">
        <x:f>IF(A15&gt;'Commercial Inputs'!$B$7,INDEX($H$2:$H$30,MAX(1,A15-'Commercial Inputs'!$B$7)),0)</x:f>
        <x:v>0</x:v>
      </x:c>
      <x:c r="J15" t="n">
        <x:f>IF(A15='Commercial Inputs'!$B$5,'Commercial Inputs'!$B$3*'Commercial Inputs'!$B$4/100,0)+IF(A15&gt;'Commercial Inputs'!$B$8,INDEX($I$2:$I$30,MAX(1,A15-'Commercial Inputs'!$B$8))*(1-'Commercial Inputs'!$B$9/100),0)</x:f>
        <x:v>0</x:v>
      </x:c>
      <x:c r="K15" t="n">
        <x:f>J15-F15</x:f>
        <x:v>0</x:v>
      </x:c>
      <x:c r="L15" t="n">
        <x:f>'Commercial Inputs'!$B$13+SUM($K$2:K15)</x:f>
        <x:v>0</x:v>
      </x:c>
      <x:c r="M15" t="n">
        <x:f>MAX(0,-L15)</x:f>
        <x:v>0</x:v>
      </x:c>
      <x:c r="N15" t="n">
        <x:f>IF(A15=1,'Commercial Inputs'!$B$3*'Commercial Inputs'!$B$11/100*'Commercial Inputs'!$B$12/100,0)</x:f>
        <x:v>0</x:v>
      </x:c>
      <x:c r="O15" t="n">
        <x:f>L15-SUM($N$2:N15)</x:f>
        <x:v>0</x:v>
      </x:c>
      <x:c r="P15" t="str">
        <x:f>"Illustrative timing; replace with approved milestones"</x:f>
        <x:v>Illustrative timing; replace with approved milestones</x:v>
      </x:c>
    </x:row>
    <x:row r="16">
      <x:c r="A16" t="n">
        <x:v>15</x:v>
      </x:c>
      <x:c r="B16" s="6" t="n">
        <x:v>46425</x:v>
      </x:c>
      <x:c r="C16" s="8" t="n">
        <x:v>0.047619047619047616</x:v>
      </x:c>
      <x:c r="D16" t="n">
        <x:f>C16*SUM('Commercial Inputs'!$B$15:$B$18,'Commercial Inputs'!$B$20:$B$24)</x:f>
        <x:v>0</x:v>
      </x:c>
      <x:c r="E16" t="n">
        <x:f>C16*SUM('Commercial Inputs'!$B$19,'Commercial Inputs'!$B$20)</x:f>
        <x:v>0</x:v>
      </x:c>
      <x:c r="F16" t="n">
        <x:f>D16+E16</x:f>
        <x:v>0</x:v>
      </x:c>
      <x:c r="G16" t="n">
        <x:f>0</x:f>
        <x:v>0</x:v>
      </x:c>
      <x:c r="H16" t="n">
        <x:f>G16*'Commercial Inputs'!$B$3/100</x:f>
        <x:v>0</x:v>
      </x:c>
      <x:c r="I16" t="n">
        <x:f>IF(A16&gt;'Commercial Inputs'!$B$7,INDEX($H$2:$H$30,MAX(1,A16-'Commercial Inputs'!$B$7)),0)</x:f>
        <x:v>0</x:v>
      </x:c>
      <x:c r="J16" t="n">
        <x:f>IF(A16='Commercial Inputs'!$B$5,'Commercial Inputs'!$B$3*'Commercial Inputs'!$B$4/100,0)+IF(A16&gt;'Commercial Inputs'!$B$8,INDEX($I$2:$I$30,MAX(1,A16-'Commercial Inputs'!$B$8))*(1-'Commercial Inputs'!$B$9/100),0)</x:f>
        <x:v>0</x:v>
      </x:c>
      <x:c r="K16" t="n">
        <x:f>J16-F16</x:f>
        <x:v>0</x:v>
      </x:c>
      <x:c r="L16" t="n">
        <x:f>'Commercial Inputs'!$B$13+SUM($K$2:K16)</x:f>
        <x:v>0</x:v>
      </x:c>
      <x:c r="M16" t="n">
        <x:f>MAX(0,-L16)</x:f>
        <x:v>0</x:v>
      </x:c>
      <x:c r="N16" t="n">
        <x:f>IF(A16=1,'Commercial Inputs'!$B$3*'Commercial Inputs'!$B$11/100*'Commercial Inputs'!$B$12/100,0)</x:f>
        <x:v>0</x:v>
      </x:c>
      <x:c r="O16" t="n">
        <x:f>L16-SUM($N$2:N16)</x:f>
        <x:v>0</x:v>
      </x:c>
      <x:c r="P16" t="str">
        <x:f>"Illustrative timing; replace with approved milestones"</x:f>
        <x:v>Illustrative timing; replace with approved milestones</x:v>
      </x:c>
    </x:row>
    <x:row r="17">
      <x:c r="A17" t="n">
        <x:v>16</x:v>
      </x:c>
      <x:c r="B17" s="6" t="n">
        <x:v>46432</x:v>
      </x:c>
      <x:c r="C17" s="8" t="n">
        <x:v>0.047619047619047616</x:v>
      </x:c>
      <x:c r="D17" t="n">
        <x:f>C17*SUM('Commercial Inputs'!$B$15:$B$18,'Commercial Inputs'!$B$20:$B$24)</x:f>
        <x:v>0</x:v>
      </x:c>
      <x:c r="E17" t="n">
        <x:f>C17*SUM('Commercial Inputs'!$B$19,'Commercial Inputs'!$B$20)</x:f>
        <x:v>0</x:v>
      </x:c>
      <x:c r="F17" t="n">
        <x:f>D17+E17</x:f>
        <x:v>0</x:v>
      </x:c>
      <x:c r="G17" t="n">
        <x:f>0</x:f>
        <x:v>0</x:v>
      </x:c>
      <x:c r="H17" t="n">
        <x:f>G17*'Commercial Inputs'!$B$3/100</x:f>
        <x:v>0</x:v>
      </x:c>
      <x:c r="I17" t="n">
        <x:f>IF(A17&gt;'Commercial Inputs'!$B$7,INDEX($H$2:$H$30,MAX(1,A17-'Commercial Inputs'!$B$7)),0)</x:f>
        <x:v>0</x:v>
      </x:c>
      <x:c r="J17" t="n">
        <x:f>IF(A17='Commercial Inputs'!$B$5,'Commercial Inputs'!$B$3*'Commercial Inputs'!$B$4/100,0)+IF(A17&gt;'Commercial Inputs'!$B$8,INDEX($I$2:$I$30,MAX(1,A17-'Commercial Inputs'!$B$8))*(1-'Commercial Inputs'!$B$9/100),0)</x:f>
        <x:v>0</x:v>
      </x:c>
      <x:c r="K17" t="n">
        <x:f>J17-F17</x:f>
        <x:v>0</x:v>
      </x:c>
      <x:c r="L17" t="n">
        <x:f>'Commercial Inputs'!$B$13+SUM($K$2:K17)</x:f>
        <x:v>0</x:v>
      </x:c>
      <x:c r="M17" t="n">
        <x:f>MAX(0,-L17)</x:f>
        <x:v>0</x:v>
      </x:c>
      <x:c r="N17" t="n">
        <x:f>IF(A17=1,'Commercial Inputs'!$B$3*'Commercial Inputs'!$B$11/100*'Commercial Inputs'!$B$12/100,0)</x:f>
        <x:v>0</x:v>
      </x:c>
      <x:c r="O17" t="n">
        <x:f>L17-SUM($N$2:N17)</x:f>
        <x:v>0</x:v>
      </x:c>
      <x:c r="P17" t="str">
        <x:f>"Illustrative timing; replace with approved milestones"</x:f>
        <x:v>Illustrative timing; replace with approved milestones</x:v>
      </x:c>
    </x:row>
    <x:row r="18">
      <x:c r="A18" t="n">
        <x:v>17</x:v>
      </x:c>
      <x:c r="B18" s="6" t="n">
        <x:v>46439</x:v>
      </x:c>
      <x:c r="C18" s="8" t="n">
        <x:v>0.047619047619047616</x:v>
      </x:c>
      <x:c r="D18" t="n">
        <x:f>C18*SUM('Commercial Inputs'!$B$15:$B$18,'Commercial Inputs'!$B$20:$B$24)</x:f>
        <x:v>0</x:v>
      </x:c>
      <x:c r="E18" t="n">
        <x:f>C18*SUM('Commercial Inputs'!$B$19,'Commercial Inputs'!$B$20)</x:f>
        <x:v>0</x:v>
      </x:c>
      <x:c r="F18" t="n">
        <x:f>D18+E18</x:f>
        <x:v>0</x:v>
      </x:c>
      <x:c r="G18" t="n">
        <x:f>0</x:f>
        <x:v>0</x:v>
      </x:c>
      <x:c r="H18" t="n">
        <x:f>G18*'Commercial Inputs'!$B$3/100</x:f>
        <x:v>0</x:v>
      </x:c>
      <x:c r="I18" t="n">
        <x:f>IF(A18&gt;'Commercial Inputs'!$B$7,INDEX($H$2:$H$30,MAX(1,A18-'Commercial Inputs'!$B$7)),0)</x:f>
        <x:v>0</x:v>
      </x:c>
      <x:c r="J18" t="n">
        <x:f>IF(A18='Commercial Inputs'!$B$5,'Commercial Inputs'!$B$3*'Commercial Inputs'!$B$4/100,0)+IF(A18&gt;'Commercial Inputs'!$B$8,INDEX($I$2:$I$30,MAX(1,A18-'Commercial Inputs'!$B$8))*(1-'Commercial Inputs'!$B$9/100),0)</x:f>
        <x:v>0</x:v>
      </x:c>
      <x:c r="K18" t="n">
        <x:f>J18-F18</x:f>
        <x:v>0</x:v>
      </x:c>
      <x:c r="L18" t="n">
        <x:f>'Commercial Inputs'!$B$13+SUM($K$2:K18)</x:f>
        <x:v>0</x:v>
      </x:c>
      <x:c r="M18" t="n">
        <x:f>MAX(0,-L18)</x:f>
        <x:v>0</x:v>
      </x:c>
      <x:c r="N18" t="n">
        <x:f>IF(A18=1,'Commercial Inputs'!$B$3*'Commercial Inputs'!$B$11/100*'Commercial Inputs'!$B$12/100,0)</x:f>
        <x:v>0</x:v>
      </x:c>
      <x:c r="O18" t="n">
        <x:f>L18-SUM($N$2:N18)</x:f>
        <x:v>0</x:v>
      </x:c>
      <x:c r="P18" t="str">
        <x:f>"Illustrative timing; replace with approved milestones"</x:f>
        <x:v>Illustrative timing; replace with approved milestones</x:v>
      </x:c>
    </x:row>
    <x:row r="19">
      <x:c r="A19" t="n">
        <x:v>18</x:v>
      </x:c>
      <x:c r="B19" s="6" t="n">
        <x:v>46446</x:v>
      </x:c>
      <x:c r="C19" s="8" t="n">
        <x:v>0.047619047619047616</x:v>
      </x:c>
      <x:c r="D19" t="n">
        <x:f>C19*SUM('Commercial Inputs'!$B$15:$B$18,'Commercial Inputs'!$B$20:$B$24)</x:f>
        <x:v>0</x:v>
      </x:c>
      <x:c r="E19" t="n">
        <x:f>C19*SUM('Commercial Inputs'!$B$19,'Commercial Inputs'!$B$20)</x:f>
        <x:v>0</x:v>
      </x:c>
      <x:c r="F19" t="n">
        <x:f>D19+E19</x:f>
        <x:v>0</x:v>
      </x:c>
      <x:c r="G19" t="n">
        <x:f>0</x:f>
        <x:v>0</x:v>
      </x:c>
      <x:c r="H19" t="n">
        <x:f>G19*'Commercial Inputs'!$B$3/100</x:f>
        <x:v>0</x:v>
      </x:c>
      <x:c r="I19" t="n">
        <x:f>IF(A19&gt;'Commercial Inputs'!$B$7,INDEX($H$2:$H$30,MAX(1,A19-'Commercial Inputs'!$B$7)),0)</x:f>
        <x:v>0</x:v>
      </x:c>
      <x:c r="J19" t="n">
        <x:f>IF(A19='Commercial Inputs'!$B$5,'Commercial Inputs'!$B$3*'Commercial Inputs'!$B$4/100,0)+IF(A19&gt;'Commercial Inputs'!$B$8,INDEX($I$2:$I$30,MAX(1,A19-'Commercial Inputs'!$B$8))*(1-'Commercial Inputs'!$B$9/100),0)</x:f>
        <x:v>0</x:v>
      </x:c>
      <x:c r="K19" t="n">
        <x:f>J19-F19</x:f>
        <x:v>0</x:v>
      </x:c>
      <x:c r="L19" t="n">
        <x:f>'Commercial Inputs'!$B$13+SUM($K$2:K19)</x:f>
        <x:v>0</x:v>
      </x:c>
      <x:c r="M19" t="n">
        <x:f>MAX(0,-L19)</x:f>
        <x:v>0</x:v>
      </x:c>
      <x:c r="N19" t="n">
        <x:f>IF(A19=1,'Commercial Inputs'!$B$3*'Commercial Inputs'!$B$11/100*'Commercial Inputs'!$B$12/100,0)</x:f>
        <x:v>0</x:v>
      </x:c>
      <x:c r="O19" t="n">
        <x:f>L19-SUM($N$2:N19)</x:f>
        <x:v>0</x:v>
      </x:c>
      <x:c r="P19" t="str">
        <x:f>"Illustrative timing; replace with approved milestones"</x:f>
        <x:v>Illustrative timing; replace with approved milestones</x:v>
      </x:c>
    </x:row>
    <x:row r="20">
      <x:c r="A20" t="n">
        <x:v>19</x:v>
      </x:c>
      <x:c r="B20" s="6" t="n">
        <x:v>46453</x:v>
      </x:c>
      <x:c r="C20" s="8" t="n">
        <x:v>0.047619047619047616</x:v>
      </x:c>
      <x:c r="D20" t="n">
        <x:f>C20*SUM('Commercial Inputs'!$B$15:$B$18,'Commercial Inputs'!$B$20:$B$24)</x:f>
        <x:v>0</x:v>
      </x:c>
      <x:c r="E20" t="n">
        <x:f>C20*SUM('Commercial Inputs'!$B$19,'Commercial Inputs'!$B$20)</x:f>
        <x:v>0</x:v>
      </x:c>
      <x:c r="F20" t="n">
        <x:f>D20+E20</x:f>
        <x:v>0</x:v>
      </x:c>
      <x:c r="G20" t="n">
        <x:f>0</x:f>
        <x:v>0</x:v>
      </x:c>
      <x:c r="H20" t="n">
        <x:f>G20*'Commercial Inputs'!$B$3/100</x:f>
        <x:v>0</x:v>
      </x:c>
      <x:c r="I20" t="n">
        <x:f>IF(A20&gt;'Commercial Inputs'!$B$7,INDEX($H$2:$H$30,MAX(1,A20-'Commercial Inputs'!$B$7)),0)</x:f>
        <x:v>0</x:v>
      </x:c>
      <x:c r="J20" t="n">
        <x:f>IF(A20='Commercial Inputs'!$B$5,'Commercial Inputs'!$B$3*'Commercial Inputs'!$B$4/100,0)+IF(A20&gt;'Commercial Inputs'!$B$8,INDEX($I$2:$I$30,MAX(1,A20-'Commercial Inputs'!$B$8))*(1-'Commercial Inputs'!$B$9/100),0)</x:f>
        <x:v>0</x:v>
      </x:c>
      <x:c r="K20" t="n">
        <x:f>J20-F20</x:f>
        <x:v>0</x:v>
      </x:c>
      <x:c r="L20" t="n">
        <x:f>'Commercial Inputs'!$B$13+SUM($K$2:K20)</x:f>
        <x:v>0</x:v>
      </x:c>
      <x:c r="M20" t="n">
        <x:f>MAX(0,-L20)</x:f>
        <x:v>0</x:v>
      </x:c>
      <x:c r="N20" t="n">
        <x:f>IF(A20=1,'Commercial Inputs'!$B$3*'Commercial Inputs'!$B$11/100*'Commercial Inputs'!$B$12/100,0)</x:f>
        <x:v>0</x:v>
      </x:c>
      <x:c r="O20" t="n">
        <x:f>L20-SUM($N$2:N20)</x:f>
        <x:v>0</x:v>
      </x:c>
      <x:c r="P20" t="str">
        <x:f>"Illustrative timing; replace with approved milestones"</x:f>
        <x:v>Illustrative timing; replace with approved milestones</x:v>
      </x:c>
    </x:row>
    <x:row r="21">
      <x:c r="A21" t="n">
        <x:v>20</x:v>
      </x:c>
      <x:c r="B21" s="6" t="n">
        <x:v>46460</x:v>
      </x:c>
      <x:c r="C21" s="8" t="n">
        <x:v>0.04285714285714285</x:v>
      </x:c>
      <x:c r="D21" t="n">
        <x:f>C21*SUM('Commercial Inputs'!$B$15:$B$18,'Commercial Inputs'!$B$20:$B$24)</x:f>
        <x:v>0</x:v>
      </x:c>
      <x:c r="E21" t="n">
        <x:f>C21*SUM('Commercial Inputs'!$B$19,'Commercial Inputs'!$B$20)</x:f>
        <x:v>0</x:v>
      </x:c>
      <x:c r="F21" t="n">
        <x:f>D21+E21</x:f>
        <x:v>0</x:v>
      </x:c>
      <x:c r="G21" t="n">
        <x:f>0</x:f>
        <x:v>0</x:v>
      </x:c>
      <x:c r="H21" t="n">
        <x:f>G21*'Commercial Inputs'!$B$3/100</x:f>
        <x:v>0</x:v>
      </x:c>
      <x:c r="I21" t="n">
        <x:f>IF(A21&gt;'Commercial Inputs'!$B$7,INDEX($H$2:$H$30,MAX(1,A21-'Commercial Inputs'!$B$7)),0)</x:f>
        <x:v>0</x:v>
      </x:c>
      <x:c r="J21" t="n">
        <x:f>IF(A21='Commercial Inputs'!$B$5,'Commercial Inputs'!$B$3*'Commercial Inputs'!$B$4/100,0)+IF(A21&gt;'Commercial Inputs'!$B$8,INDEX($I$2:$I$30,MAX(1,A21-'Commercial Inputs'!$B$8))*(1-'Commercial Inputs'!$B$9/100),0)</x:f>
        <x:v>0</x:v>
      </x:c>
      <x:c r="K21" t="n">
        <x:f>J21-F21</x:f>
        <x:v>0</x:v>
      </x:c>
      <x:c r="L21" t="n">
        <x:f>'Commercial Inputs'!$B$13+SUM($K$2:K21)</x:f>
        <x:v>0</x:v>
      </x:c>
      <x:c r="M21" t="n">
        <x:f>MAX(0,-L21)</x:f>
        <x:v>0</x:v>
      </x:c>
      <x:c r="N21" t="n">
        <x:f>IF(A21=1,'Commercial Inputs'!$B$3*'Commercial Inputs'!$B$11/100*'Commercial Inputs'!$B$12/100,0)</x:f>
        <x:v>0</x:v>
      </x:c>
      <x:c r="O21" t="n">
        <x:f>L21-SUM($N$2:N21)</x:f>
        <x:v>0</x:v>
      </x:c>
      <x:c r="P21" t="str">
        <x:f>"Illustrative timing; replace with approved milestones"</x:f>
        <x:v>Illustrative timing; replace with approved milestones</x:v>
      </x:c>
    </x:row>
    <x:row r="22">
      <x:c r="A22" t="n">
        <x:v>21</x:v>
      </x:c>
      <x:c r="B22" s="6" t="n">
        <x:v>46467</x:v>
      </x:c>
      <x:c r="C22" s="8" t="n">
        <x:v>0.03809523809523809</x:v>
      </x:c>
      <x:c r="D22" t="n">
        <x:f>C22*SUM('Commercial Inputs'!$B$15:$B$18,'Commercial Inputs'!$B$20:$B$24)</x:f>
        <x:v>0</x:v>
      </x:c>
      <x:c r="E22" t="n">
        <x:f>C22*SUM('Commercial Inputs'!$B$19,'Commercial Inputs'!$B$20)</x:f>
        <x:v>0</x:v>
      </x:c>
      <x:c r="F22" t="n">
        <x:f>D22+E22</x:f>
        <x:v>0</x:v>
      </x:c>
      <x:c r="G22" t="n">
        <x:f>0</x:f>
        <x:v>0</x:v>
      </x:c>
      <x:c r="H22" t="n">
        <x:f>G22*'Commercial Inputs'!$B$3/100</x:f>
        <x:v>0</x:v>
      </x:c>
      <x:c r="I22" t="n">
        <x:f>IF(A22&gt;'Commercial Inputs'!$B$7,INDEX($H$2:$H$30,MAX(1,A22-'Commercial Inputs'!$B$7)),0)</x:f>
        <x:v>0</x:v>
      </x:c>
      <x:c r="J22" t="n">
        <x:f>IF(A22='Commercial Inputs'!$B$5,'Commercial Inputs'!$B$3*'Commercial Inputs'!$B$4/100,0)+IF(A22&gt;'Commercial Inputs'!$B$8,INDEX($I$2:$I$30,MAX(1,A22-'Commercial Inputs'!$B$8))*(1-'Commercial Inputs'!$B$9/100),0)</x:f>
        <x:v>0</x:v>
      </x:c>
      <x:c r="K22" t="n">
        <x:f>J22-F22</x:f>
        <x:v>0</x:v>
      </x:c>
      <x:c r="L22" t="n">
        <x:f>'Commercial Inputs'!$B$13+SUM($K$2:K22)</x:f>
        <x:v>0</x:v>
      </x:c>
      <x:c r="M22" t="n">
        <x:f>MAX(0,-L22)</x:f>
        <x:v>0</x:v>
      </x:c>
      <x:c r="N22" t="n">
        <x:f>IF(A22=1,'Commercial Inputs'!$B$3*'Commercial Inputs'!$B$11/100*'Commercial Inputs'!$B$12/100,0)</x:f>
        <x:v>0</x:v>
      </x:c>
      <x:c r="O22" t="n">
        <x:f>L22-SUM($N$2:N22)</x:f>
        <x:v>0</x:v>
      </x:c>
      <x:c r="P22" t="str">
        <x:f>"Illustrative timing; replace with approved milestones"</x:f>
        <x:v>Illustrative timing; replace with approved milestones</x:v>
      </x:c>
    </x:row>
    <x:row r="23">
      <x:c r="A23" t="n">
        <x:v>22</x:v>
      </x:c>
      <x:c r="B23" s="6" t="n">
        <x:v>46474</x:v>
      </x:c>
      <x:c r="C23" s="8" t="n">
        <x:v>0.03809523809523809</x:v>
      </x:c>
      <x:c r="D23" t="n">
        <x:f>C23*SUM('Commercial Inputs'!$B$15:$B$18,'Commercial Inputs'!$B$20:$B$24)</x:f>
        <x:v>0</x:v>
      </x:c>
      <x:c r="E23" t="n">
        <x:f>C23*SUM('Commercial Inputs'!$B$19,'Commercial Inputs'!$B$20)</x:f>
        <x:v>0</x:v>
      </x:c>
      <x:c r="F23" t="n">
        <x:f>D23+E23</x:f>
        <x:v>0</x:v>
      </x:c>
      <x:c r="G23" t="n">
        <x:f>0</x:f>
        <x:v>0</x:v>
      </x:c>
      <x:c r="H23" t="n">
        <x:f>G23*'Commercial Inputs'!$B$3/100</x:f>
        <x:v>0</x:v>
      </x:c>
      <x:c r="I23" t="n">
        <x:f>IF(A23&gt;'Commercial Inputs'!$B$7,INDEX($H$2:$H$30,MAX(1,A23-'Commercial Inputs'!$B$7)),0)</x:f>
        <x:v>0</x:v>
      </x:c>
      <x:c r="J23" t="n">
        <x:f>IF(A23='Commercial Inputs'!$B$5,'Commercial Inputs'!$B$3*'Commercial Inputs'!$B$4/100,0)+IF(A23&gt;'Commercial Inputs'!$B$8,INDEX($I$2:$I$30,MAX(1,A23-'Commercial Inputs'!$B$8))*(1-'Commercial Inputs'!$B$9/100),0)</x:f>
        <x:v>0</x:v>
      </x:c>
      <x:c r="K23" t="n">
        <x:f>J23-F23</x:f>
        <x:v>0</x:v>
      </x:c>
      <x:c r="L23" t="n">
        <x:f>'Commercial Inputs'!$B$13+SUM($K$2:K23)</x:f>
        <x:v>0</x:v>
      </x:c>
      <x:c r="M23" t="n">
        <x:f>MAX(0,-L23)</x:f>
        <x:v>0</x:v>
      </x:c>
      <x:c r="N23" t="n">
        <x:f>IF(A23=1,'Commercial Inputs'!$B$3*'Commercial Inputs'!$B$11/100*'Commercial Inputs'!$B$12/100,0)</x:f>
        <x:v>0</x:v>
      </x:c>
      <x:c r="O23" t="n">
        <x:f>L23-SUM($N$2:N23)</x:f>
        <x:v>0</x:v>
      </x:c>
      <x:c r="P23" t="str">
        <x:f>"Illustrative timing; replace with approved milestones"</x:f>
        <x:v>Illustrative timing; replace with approved milestones</x:v>
      </x:c>
    </x:row>
    <x:row r="24">
      <x:c r="A24" t="n">
        <x:v>23</x:v>
      </x:c>
      <x:c r="B24" s="6" t="n">
        <x:v>46481</x:v>
      </x:c>
      <x:c r="C24" s="8" t="n">
        <x:v>0.03333333333333333</x:v>
      </x:c>
      <x:c r="D24" t="n">
        <x:f>C24*SUM('Commercial Inputs'!$B$15:$B$18,'Commercial Inputs'!$B$20:$B$24)</x:f>
        <x:v>0</x:v>
      </x:c>
      <x:c r="E24" t="n">
        <x:f>C24*SUM('Commercial Inputs'!$B$19,'Commercial Inputs'!$B$20)</x:f>
        <x:v>0</x:v>
      </x:c>
      <x:c r="F24" t="n">
        <x:f>D24+E24</x:f>
        <x:v>0</x:v>
      </x:c>
      <x:c r="G24" t="n">
        <x:f>0</x:f>
        <x:v>0</x:v>
      </x:c>
      <x:c r="H24" t="n">
        <x:f>G24*'Commercial Inputs'!$B$3/100</x:f>
        <x:v>0</x:v>
      </x:c>
      <x:c r="I24" t="n">
        <x:f>IF(A24&gt;'Commercial Inputs'!$B$7,INDEX($H$2:$H$30,MAX(1,A24-'Commercial Inputs'!$B$7)),0)</x:f>
        <x:v>0</x:v>
      </x:c>
      <x:c r="J24" t="n">
        <x:f>IF(A24='Commercial Inputs'!$B$5,'Commercial Inputs'!$B$3*'Commercial Inputs'!$B$4/100,0)+IF(A24&gt;'Commercial Inputs'!$B$8,INDEX($I$2:$I$30,MAX(1,A24-'Commercial Inputs'!$B$8))*(1-'Commercial Inputs'!$B$9/100),0)</x:f>
        <x:v>0</x:v>
      </x:c>
      <x:c r="K24" t="n">
        <x:f>J24-F24</x:f>
        <x:v>0</x:v>
      </x:c>
      <x:c r="L24" t="n">
        <x:f>'Commercial Inputs'!$B$13+SUM($K$2:K24)</x:f>
        <x:v>0</x:v>
      </x:c>
      <x:c r="M24" t="n">
        <x:f>MAX(0,-L24)</x:f>
        <x:v>0</x:v>
      </x:c>
      <x:c r="N24" t="n">
        <x:f>IF(A24=1,'Commercial Inputs'!$B$3*'Commercial Inputs'!$B$11/100*'Commercial Inputs'!$B$12/100,0)</x:f>
        <x:v>0</x:v>
      </x:c>
      <x:c r="O24" t="n">
        <x:f>L24-SUM($N$2:N24)</x:f>
        <x:v>0</x:v>
      </x:c>
      <x:c r="P24" t="str">
        <x:f>"Illustrative timing; replace with approved milestones"</x:f>
        <x:v>Illustrative timing; replace with approved milestones</x:v>
      </x:c>
    </x:row>
    <x:row r="25">
      <x:c r="A25" t="n">
        <x:v>24</x:v>
      </x:c>
      <x:c r="B25" s="6" t="n">
        <x:v>46488</x:v>
      </x:c>
      <x:c r="C25" s="8" t="n">
        <x:v>0.02857142857142857</x:v>
      </x:c>
      <x:c r="D25" t="n">
        <x:f>C25*SUM('Commercial Inputs'!$B$15:$B$18,'Commercial Inputs'!$B$20:$B$24)</x:f>
        <x:v>0</x:v>
      </x:c>
      <x:c r="E25" t="n">
        <x:f>C25*SUM('Commercial Inputs'!$B$19,'Commercial Inputs'!$B$20)</x:f>
        <x:v>0</x:v>
      </x:c>
      <x:c r="F25" t="n">
        <x:f>D25+E25</x:f>
        <x:v>0</x:v>
      </x:c>
      <x:c r="G25" t="n">
        <x:f>0</x:f>
        <x:v>0</x:v>
      </x:c>
      <x:c r="H25" t="n">
        <x:f>G25*'Commercial Inputs'!$B$3/100</x:f>
        <x:v>0</x:v>
      </x:c>
      <x:c r="I25" t="n">
        <x:f>IF(A25&gt;'Commercial Inputs'!$B$7,INDEX($H$2:$H$30,MAX(1,A25-'Commercial Inputs'!$B$7)),0)</x:f>
        <x:v>0</x:v>
      </x:c>
      <x:c r="J25" t="n">
        <x:f>IF(A25='Commercial Inputs'!$B$5,'Commercial Inputs'!$B$3*'Commercial Inputs'!$B$4/100,0)+IF(A25&gt;'Commercial Inputs'!$B$8,INDEX($I$2:$I$30,MAX(1,A25-'Commercial Inputs'!$B$8))*(1-'Commercial Inputs'!$B$9/100),0)</x:f>
        <x:v>0</x:v>
      </x:c>
      <x:c r="K25" t="n">
        <x:f>J25-F25</x:f>
        <x:v>0</x:v>
      </x:c>
      <x:c r="L25" t="n">
        <x:f>'Commercial Inputs'!$B$13+SUM($K$2:K25)</x:f>
        <x:v>0</x:v>
      </x:c>
      <x:c r="M25" t="n">
        <x:f>MAX(0,-L25)</x:f>
        <x:v>0</x:v>
      </x:c>
      <x:c r="N25" t="n">
        <x:f>IF(A25=1,'Commercial Inputs'!$B$3*'Commercial Inputs'!$B$11/100*'Commercial Inputs'!$B$12/100,0)</x:f>
        <x:v>0</x:v>
      </x:c>
      <x:c r="O25" t="n">
        <x:f>L25-SUM($N$2:N25)</x:f>
        <x:v>0</x:v>
      </x:c>
      <x:c r="P25" t="str">
        <x:f>"Illustrative timing; replace with approved milestones"</x:f>
        <x:v>Illustrative timing; replace with approved milestones</x:v>
      </x:c>
    </x:row>
    <x:row r="26">
      <x:c r="A26" t="n">
        <x:v>25</x:v>
      </x:c>
      <x:c r="B26" s="6" t="n">
        <x:v>46495</x:v>
      </x:c>
      <x:c r="C26" s="8" t="n">
        <x:v>0.023809523809523808</x:v>
      </x:c>
      <x:c r="D26" t="n">
        <x:f>C26*SUM('Commercial Inputs'!$B$15:$B$18,'Commercial Inputs'!$B$20:$B$24)</x:f>
        <x:v>0</x:v>
      </x:c>
      <x:c r="E26" t="n">
        <x:f>C26*SUM('Commercial Inputs'!$B$19,'Commercial Inputs'!$B$20)</x:f>
        <x:v>0</x:v>
      </x:c>
      <x:c r="F26" t="n">
        <x:f>D26+E26</x:f>
        <x:v>0</x:v>
      </x:c>
      <x:c r="G26" t="n">
        <x:f>0</x:f>
        <x:v>0</x:v>
      </x:c>
      <x:c r="H26" t="n">
        <x:f>G26*'Commercial Inputs'!$B$3/100</x:f>
        <x:v>0</x:v>
      </x:c>
      <x:c r="I26" t="n">
        <x:f>IF(A26&gt;'Commercial Inputs'!$B$7,INDEX($H$2:$H$30,MAX(1,A26-'Commercial Inputs'!$B$7)),0)</x:f>
        <x:v>0</x:v>
      </x:c>
      <x:c r="J26" t="n">
        <x:f>IF(A26='Commercial Inputs'!$B$5,'Commercial Inputs'!$B$3*'Commercial Inputs'!$B$4/100,0)+IF(A26&gt;'Commercial Inputs'!$B$8,INDEX($I$2:$I$30,MAX(1,A26-'Commercial Inputs'!$B$8))*(1-'Commercial Inputs'!$B$9/100),0)</x:f>
        <x:v>0</x:v>
      </x:c>
      <x:c r="K26" t="n">
        <x:f>J26-F26</x:f>
        <x:v>0</x:v>
      </x:c>
      <x:c r="L26" t="n">
        <x:f>'Commercial Inputs'!$B$13+SUM($K$2:K26)</x:f>
        <x:v>0</x:v>
      </x:c>
      <x:c r="M26" t="n">
        <x:f>MAX(0,-L26)</x:f>
        <x:v>0</x:v>
      </x:c>
      <x:c r="N26" t="n">
        <x:f>IF(A26=1,'Commercial Inputs'!$B$3*'Commercial Inputs'!$B$11/100*'Commercial Inputs'!$B$12/100,0)</x:f>
        <x:v>0</x:v>
      </x:c>
      <x:c r="O26" t="n">
        <x:f>L26-SUM($N$2:N26)</x:f>
        <x:v>0</x:v>
      </x:c>
      <x:c r="P26" t="str">
        <x:f>"Illustrative timing; replace with approved milestones"</x:f>
        <x:v>Illustrative timing; replace with approved milestones</x:v>
      </x:c>
    </x:row>
    <x:row r="27">
      <x:c r="A27" t="n">
        <x:v>26</x:v>
      </x:c>
      <x:c r="B27" s="6" t="n">
        <x:v>46502</x:v>
      </x:c>
      <x:c r="C27" s="8" t="n">
        <x:v>0.019047619047619046</x:v>
      </x:c>
      <x:c r="D27" t="n">
        <x:f>C27*SUM('Commercial Inputs'!$B$15:$B$18,'Commercial Inputs'!$B$20:$B$24)</x:f>
        <x:v>0</x:v>
      </x:c>
      <x:c r="E27" t="n">
        <x:f>C27*SUM('Commercial Inputs'!$B$19,'Commercial Inputs'!$B$20)</x:f>
        <x:v>0</x:v>
      </x:c>
      <x:c r="F27" t="n">
        <x:f>D27+E27</x:f>
        <x:v>0</x:v>
      </x:c>
      <x:c r="G27" t="n">
        <x:f>0</x:f>
        <x:v>0</x:v>
      </x:c>
      <x:c r="H27" t="n">
        <x:f>G27*'Commercial Inputs'!$B$3/100</x:f>
        <x:v>0</x:v>
      </x:c>
      <x:c r="I27" t="n">
        <x:f>IF(A27&gt;'Commercial Inputs'!$B$7,INDEX($H$2:$H$30,MAX(1,A27-'Commercial Inputs'!$B$7)),0)</x:f>
        <x:v>0</x:v>
      </x:c>
      <x:c r="J27" t="n">
        <x:f>IF(A27='Commercial Inputs'!$B$5,'Commercial Inputs'!$B$3*'Commercial Inputs'!$B$4/100,0)+IF(A27&gt;'Commercial Inputs'!$B$8,INDEX($I$2:$I$30,MAX(1,A27-'Commercial Inputs'!$B$8))*(1-'Commercial Inputs'!$B$9/100),0)</x:f>
        <x:v>0</x:v>
      </x:c>
      <x:c r="K27" t="n">
        <x:f>J27-F27</x:f>
        <x:v>0</x:v>
      </x:c>
      <x:c r="L27" t="n">
        <x:f>'Commercial Inputs'!$B$13+SUM($K$2:K27)</x:f>
        <x:v>0</x:v>
      </x:c>
      <x:c r="M27" t="n">
        <x:f>MAX(0,-L27)</x:f>
        <x:v>0</x:v>
      </x:c>
      <x:c r="N27" t="n">
        <x:f>IF(A27=1,'Commercial Inputs'!$B$3*'Commercial Inputs'!$B$11/100*'Commercial Inputs'!$B$12/100,0)</x:f>
        <x:v>0</x:v>
      </x:c>
      <x:c r="O27" t="n">
        <x:f>L27-SUM($N$2:N27)</x:f>
        <x:v>0</x:v>
      </x:c>
      <x:c r="P27" t="str">
        <x:f>"Illustrative timing; replace with approved milestones"</x:f>
        <x:v>Illustrative timing; replace with approved milestones</x:v>
      </x:c>
    </x:row>
    <x:row r="28">
      <x:c r="A28" t="n">
        <x:v>27</x:v>
      </x:c>
      <x:c r="B28" s="6" t="n">
        <x:v>46509</x:v>
      </x:c>
      <x:c r="C28" s="8" t="n">
        <x:v>0.019047619047619046</x:v>
      </x:c>
      <x:c r="D28" t="n">
        <x:f>C28*SUM('Commercial Inputs'!$B$15:$B$18,'Commercial Inputs'!$B$20:$B$24)</x:f>
        <x:v>0</x:v>
      </x:c>
      <x:c r="E28" t="n">
        <x:f>C28*SUM('Commercial Inputs'!$B$19,'Commercial Inputs'!$B$20)</x:f>
        <x:v>0</x:v>
      </x:c>
      <x:c r="F28" t="n">
        <x:f>D28+E28</x:f>
        <x:v>0</x:v>
      </x:c>
      <x:c r="G28" t="n">
        <x:f>0</x:f>
        <x:v>0</x:v>
      </x:c>
      <x:c r="H28" t="n">
        <x:f>G28*'Commercial Inputs'!$B$3/100</x:f>
        <x:v>0</x:v>
      </x:c>
      <x:c r="I28" t="n">
        <x:f>IF(A28&gt;'Commercial Inputs'!$B$7,INDEX($H$2:$H$30,MAX(1,A28-'Commercial Inputs'!$B$7)),0)</x:f>
        <x:v>0</x:v>
      </x:c>
      <x:c r="J28" t="n">
        <x:f>IF(A28='Commercial Inputs'!$B$5,'Commercial Inputs'!$B$3*'Commercial Inputs'!$B$4/100,0)+IF(A28&gt;'Commercial Inputs'!$B$8,INDEX($I$2:$I$30,MAX(1,A28-'Commercial Inputs'!$B$8))*(1-'Commercial Inputs'!$B$9/100),0)</x:f>
        <x:v>0</x:v>
      </x:c>
      <x:c r="K28" t="n">
        <x:f>J28-F28</x:f>
        <x:v>0</x:v>
      </x:c>
      <x:c r="L28" t="n">
        <x:f>'Commercial Inputs'!$B$13+SUM($K$2:K28)</x:f>
        <x:v>0</x:v>
      </x:c>
      <x:c r="M28" t="n">
        <x:f>MAX(0,-L28)</x:f>
        <x:v>0</x:v>
      </x:c>
      <x:c r="N28" t="n">
        <x:f>IF(A28=1,'Commercial Inputs'!$B$3*'Commercial Inputs'!$B$11/100*'Commercial Inputs'!$B$12/100,0)</x:f>
        <x:v>0</x:v>
      </x:c>
      <x:c r="O28" t="n">
        <x:f>L28-SUM($N$2:N28)</x:f>
        <x:v>0</x:v>
      </x:c>
      <x:c r="P28" t="str">
        <x:f>"Illustrative timing; replace with approved milestones"</x:f>
        <x:v>Illustrative timing; replace with approved milestones</x:v>
      </x:c>
    </x:row>
    <x:row r="29">
      <x:c r="A29" t="n">
        <x:v>28</x:v>
      </x:c>
      <x:c r="B29" s="6" t="n">
        <x:v>46516</x:v>
      </x:c>
      <x:c r="C29" s="8" t="n">
        <x:v>0.014285714285714285</x:v>
      </x:c>
      <x:c r="D29" t="n">
        <x:f>C29*SUM('Commercial Inputs'!$B$15:$B$18,'Commercial Inputs'!$B$20:$B$24)</x:f>
        <x:v>0</x:v>
      </x:c>
      <x:c r="E29" t="n">
        <x:f>C29*SUM('Commercial Inputs'!$B$19,'Commercial Inputs'!$B$20)</x:f>
        <x:v>0</x:v>
      </x:c>
      <x:c r="F29" t="n">
        <x:f>D29+E29</x:f>
        <x:v>0</x:v>
      </x:c>
      <x:c r="G29" t="n">
        <x:f>0</x:f>
        <x:v>0</x:v>
      </x:c>
      <x:c r="H29" t="n">
        <x:f>G29*'Commercial Inputs'!$B$3/100</x:f>
        <x:v>0</x:v>
      </x:c>
      <x:c r="I29" t="n">
        <x:f>IF(A29&gt;'Commercial Inputs'!$B$7,INDEX($H$2:$H$30,MAX(1,A29-'Commercial Inputs'!$B$7)),0)</x:f>
        <x:v>0</x:v>
      </x:c>
      <x:c r="J29" t="n">
        <x:f>IF(A29='Commercial Inputs'!$B$5,'Commercial Inputs'!$B$3*'Commercial Inputs'!$B$4/100,0)+IF(A29&gt;'Commercial Inputs'!$B$8,INDEX($I$2:$I$30,MAX(1,A29-'Commercial Inputs'!$B$8))*(1-'Commercial Inputs'!$B$9/100),0)</x:f>
        <x:v>0</x:v>
      </x:c>
      <x:c r="K29" t="n">
        <x:f>J29-F29</x:f>
        <x:v>0</x:v>
      </x:c>
      <x:c r="L29" t="n">
        <x:f>'Commercial Inputs'!$B$13+SUM($K$2:K29)</x:f>
        <x:v>0</x:v>
      </x:c>
      <x:c r="M29" t="n">
        <x:f>MAX(0,-L29)</x:f>
        <x:v>0</x:v>
      </x:c>
      <x:c r="N29" t="n">
        <x:f>IF(A29=1,'Commercial Inputs'!$B$3*'Commercial Inputs'!$B$11/100*'Commercial Inputs'!$B$12/100,0)</x:f>
        <x:v>0</x:v>
      </x:c>
      <x:c r="O29" t="n">
        <x:f>L29-SUM($N$2:N29)</x:f>
        <x:v>0</x:v>
      </x:c>
      <x:c r="P29" t="str">
        <x:f>"Illustrative timing; replace with approved milestones"</x:f>
        <x:v>Illustrative timing; replace with approved milestones</x:v>
      </x:c>
    </x:row>
    <x:row r="30">
      <x:c r="A30" t="n">
        <x:v>29</x:v>
      </x:c>
      <x:c r="B30" s="6" t="n">
        <x:v>46523</x:v>
      </x:c>
      <x:c r="C30" s="8" t="n">
        <x:v>0.009523809523809523</x:v>
      </x:c>
      <x:c r="D30" t="n">
        <x:f>C30*SUM('Commercial Inputs'!$B$15:$B$18,'Commercial Inputs'!$B$20:$B$24)</x:f>
        <x:v>0</x:v>
      </x:c>
      <x:c r="E30" t="n">
        <x:f>C30*SUM('Commercial Inputs'!$B$19,'Commercial Inputs'!$B$20)</x:f>
        <x:v>0</x:v>
      </x:c>
      <x:c r="F30" t="n">
        <x:f>D30+E30</x:f>
        <x:v>0</x:v>
      </x:c>
      <x:c r="G30" t="n">
        <x:f>0</x:f>
        <x:v>0</x:v>
      </x:c>
      <x:c r="H30" t="n">
        <x:f>G30*'Commercial Inputs'!$B$3/100</x:f>
        <x:v>0</x:v>
      </x:c>
      <x:c r="I30" t="n">
        <x:f>IF(A30&gt;'Commercial Inputs'!$B$7,INDEX($H$2:$H$30,MAX(1,A30-'Commercial Inputs'!$B$7)),0)</x:f>
        <x:v>0</x:v>
      </x:c>
      <x:c r="J30" t="n">
        <x:f>IF(A30='Commercial Inputs'!$B$5,'Commercial Inputs'!$B$3*'Commercial Inputs'!$B$4/100,0)+IF(A30&gt;'Commercial Inputs'!$B$8,INDEX($I$2:$I$30,MAX(1,A30-'Commercial Inputs'!$B$8))*(1-'Commercial Inputs'!$B$9/100),0)</x:f>
        <x:v>0</x:v>
      </x:c>
      <x:c r="K30" t="n">
        <x:f>J30-F30</x:f>
        <x:v>0</x:v>
      </x:c>
      <x:c r="L30" t="n">
        <x:f>'Commercial Inputs'!$B$13+SUM($K$2:K30)</x:f>
        <x:v>0</x:v>
      </x:c>
      <x:c r="M30" t="n">
        <x:f>MAX(0,-L30)</x:f>
        <x:v>0</x:v>
      </x:c>
      <x:c r="N30" t="n">
        <x:f>IF(A30=1,'Commercial Inputs'!$B$3*'Commercial Inputs'!$B$11/100*'Commercial Inputs'!$B$12/100,0)</x:f>
        <x:v>0</x:v>
      </x:c>
      <x:c r="O30" t="n">
        <x:f>L30-SUM($N$2:N30)</x:f>
        <x:v>0</x:v>
      </x:c>
      <x:c r="P30" t="str">
        <x:f>"Illustrative timing; replace with approved milestones"</x:f>
        <x:v>Illustrative timing; replace with approved milestones</x:v>
      </x:c>
    </x:row>
    <x:row r="31">
      <x:c r="A31" t="str">
        <x:v>TOTAL / PEAK</x:v>
      </x:c>
      <x:c r="B31" t="str"/>
      <x:c r="C31" t="n">
        <x:f>SUM(C2:C30)</x:f>
        <x:v>1.0000000000000002</x:v>
      </x:c>
      <x:c r="D31" t="n">
        <x:f>SUM(D2:D30)</x:f>
        <x:v>0</x:v>
      </x:c>
      <x:c r="E31" t="n">
        <x:f>SUM(E2:E30)</x:f>
        <x:v>0</x:v>
      </x:c>
      <x:c r="F31" t="n">
        <x:f>SUM(F2:F30)</x:f>
        <x:v>0</x:v>
      </x:c>
      <x:c r="G31" t="n">
        <x:f>SUM(G2:G30)</x:f>
        <x:v>0</x:v>
      </x:c>
      <x:c r="H31" t="n">
        <x:f>SUM(H2:H30)</x:f>
        <x:v>0</x:v>
      </x:c>
      <x:c r="I31" t="n">
        <x:f>SUM(I2:I30)</x:f>
        <x:v>0</x:v>
      </x:c>
      <x:c r="J31" t="n">
        <x:f>SUM(J2:J30)</x:f>
        <x:v>0</x:v>
      </x:c>
      <x:c r="K31" t="n">
        <x:f>SUM(K2:K30)</x:f>
        <x:v>0</x:v>
      </x:c>
      <x:c r="M31" t="n">
        <x:f>MAX(M2:M30)</x:f>
        <x:v>0</x:v>
      </x:c>
      <x:c r="N31" t="n">
        <x:f>SUM(N2:N30)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4" hidden="0" customWidth="1"/>
    <x:col min="3" max="3" width="57" hidden="0" customWidth="1"/>
  </x:cols>
  <x:sheetData>
    <x:row r="1">
      <x:c r="A1" s="4" t="str">
        <x:v>DECISION METRIC</x:v>
      </x:c>
      <x:c r="B1" s="4" t="str">
        <x:v>VALUE</x:v>
      </x:c>
      <x:c r="C1" s="4" t="str">
        <x:v>Interpretation</x:v>
      </x:c>
    </x:row>
    <x:row r="2">
      <x:c r="A2" t="str">
        <x:v>Provisional contract value</x:v>
      </x:c>
      <x:c r="B2" t="n">
        <x:f>'Commercial Inputs'!B3</x:f>
        <x:v>0</x:v>
      </x:c>
      <x:c r="C2" t="str">
        <x:v>Unknown until entered</x:v>
      </x:c>
    </x:row>
    <x:row r="3">
      <x:c r="A3" t="str">
        <x:v>Total estimated costs</x:v>
      </x:c>
      <x:c r="B3" t="n">
        <x:f>SUM('Commercial Inputs'!B15:B24)</x:f>
        <x:v>0</x:v>
      </x:c>
      <x:c r="C3" t="str">
        <x:v>Input quotes and risk allowances</x:v>
      </x:c>
    </x:row>
    <x:row r="4">
      <x:c r="A4" t="str">
        <x:v>Indicative margin</x:v>
      </x:c>
      <x:c r="B4" t="n">
        <x:f>B2-B3</x:f>
        <x:v>0</x:v>
      </x:c>
      <x:c r="C4" t="str">
        <x:v>Before tax/financing and unpriced items</x:v>
      </x:c>
    </x:row>
    <x:row r="5">
      <x:c r="A5" t="str">
        <x:v>Peak weekly funding gap</x:v>
      </x:c>
      <x:c r="B5" t="n">
        <x:f>'Weekly Cash Flow'!M31</x:f>
        <x:v>0</x:v>
      </x:c>
      <x:c r="C5" t="str">
        <x:v>Only 29-week horizon</x:v>
      </x:c>
    </x:row>
    <x:row r="6">
      <x:c r="A6" t="str">
        <x:v>BG margin cash</x:v>
      </x:c>
      <x:c r="B6" t="n">
        <x:f>SUM('Weekly Cash Flow'!N2:N30)</x:f>
        <x:v>0</x:v>
      </x:c>
      <x:c r="C6" t="str">
        <x:v>Bank-specific</x:v>
      </x:c>
    </x:row>
    <x:row r="7">
      <x:c r="A7" t="str">
        <x:v>Structural MT row total</x:v>
      </x:c>
      <x:c r="B7" t="n">
        <x:f>'Bridge Allocation'!B12</x:f>
        <x:v>1141</x:v>
      </x:c>
      <x:c r="C7" t="str">
        <x:v>1 MT below printed summary</x:v>
      </x:c>
    </x:row>
    <x:row r="8">
      <x:c r="A8" t="str">
        <x:v>Demolition MT</x:v>
      </x:c>
      <x:c r="B8" t="n">
        <x:f>'Bridge Allocation'!C12</x:f>
        <x:v>357</x:v>
      </x:c>
      <x:c r="C8" t="str">
        <x:v>From prior working baseline</x:v>
      </x:c>
    </x:row>
    <x:row r="9">
      <x:c r="A9" t="str">
        <x:v>Contract status</x:v>
      </x:c>
      <x:c r="B9" t="str">
        <x:v>NOT AWARDED</x:v>
      </x:c>
      <x:c r="C9" t="str">
        <x:v>Do not treat assumed receipts as commitments</x:v>
      </x:c>
    </x:row>
    <x:row r="10">
      <x:c r="A10" t="str">
        <x:v>Financial model status</x:v>
      </x:c>
      <x:c r="B10" t="str">
        <x:v>UNPRICED</x:v>
      </x:c>
      <x:c r="C10" t="str">
        <x:v>Zeros mean missing inputs, not zero costs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15" hidden="0" customWidth="1"/>
  </x:cols>
  <x:sheetData>
    <x:row r="1">
      <x:c r="A1" s="4" t="str">
        <x:v>CONTROL</x:v>
      </x:c>
      <x:c r="B1" s="4" t="str">
        <x:v>REQUIRED ACTION</x:v>
      </x:c>
    </x:row>
    <x:row r="2">
      <x:c r="A2" t="str">
        <x:v>Revenue baseline</x:v>
      </x:c>
      <x:c r="B2" t="str">
        <x:v>Use signed contract value and SCC milestone schedule, not illustrative cash receipts.</x:v>
      </x:c>
    </x:row>
    <x:row r="3">
      <x:c r="A3" t="str">
        <x:v>Billing</x:v>
      </x:c>
      <x:c r="B3" t="str">
        <x:v>Enter weekly billing milestones in Weekly Cash Flow column G; default zero.</x:v>
      </x:c>
    </x:row>
    <x:row r="4">
      <x:c r="A4" t="str">
        <x:v>Costs</x:v>
      </x:c>
      <x:c r="B4" t="str">
        <x:v>Enter vendor quotations in Commercial Inputs; zero denotes unknown, not free.</x:v>
      </x:c>
    </x:row>
    <x:row r="5">
      <x:c r="A5" t="str">
        <x:v>Advance</x:v>
      </x:c>
      <x:c r="B5" t="str">
        <x:v>Confirm whether mobilisation advance is recoverable against milestone payments; adjust receipts to prevent double counting.</x:v>
      </x:c>
    </x:row>
    <x:row r="6">
      <x:c r="A6" t="str">
        <x:v>Retention</x:v>
      </x:c>
      <x:c r="B6" t="str">
        <x:v>Current weekly model holds retention from receipts but does not add eventual release; add separate release cash event when verified.</x:v>
      </x:c>
    </x:row>
    <x:row r="7">
      <x:c r="A7" t="str">
        <x:v>Certification lag</x:v>
      </x:c>
      <x:c r="B7" t="str">
        <x:v>Certification and payment lag are simplified integer-week shifts; check dates.</x:v>
      </x:c>
    </x:row>
    <x:row r="8">
      <x:c r="A8" t="str">
        <x:v>29-week horizon</x:v>
      </x:c>
      <x:c r="B8" t="str">
        <x:v>Pre-monsoon window only; extend to 360 days and monsoon-adjusted contract calendar before final funding approval.</x:v>
      </x:c>
    </x:row>
    <x:row r="9">
      <x:c r="A9" t="str">
        <x:v>Allocation</x:v>
      </x:c>
      <x:c r="B9" t="str">
        <x:v>Bridge cost shares are provisional tonnage proxies, not activity-based estimate.</x:v>
      </x:c>
    </x:row>
    <x:row r="10">
      <x:c r="A10" t="str">
        <x:v>Marine</x:v>
      </x:c>
      <x:c r="B10" t="str">
        <x:v>Actual vessel and lift plan must be validated by qualified marine/structural engineers.</x:v>
      </x:c>
    </x:row>
    <x:row r="11">
      <x:c r="A11" t="str">
        <x:v>Schedule</x:v>
      </x:c>
      <x:c r="B11" t="str">
        <x:v>This is a cash scenario, not resource-levelled CPM or proof of 360-day completion.</x:v>
      </x:c>
    </x:row>
    <x:row r="12">
      <x:c r="A12" t="str">
        <x:v>Contract status</x:v>
      </x:c>
      <x:c r="B12" t="str">
        <x:v>Pre-award; no ONGC award or L1 status independently established.</x:v>
      </x:c>
    </x:row>
    <x:row r="13">
      <x:c r="A13" t="str">
        <x:v>Data reconciliation</x:v>
      </x:c>
      <x:c r="B13" t="str">
        <x:v>Structural 1142 MT printed summary versus 1141 MT detailed rows; 1 MT open.</x:v>
      </x:c>
    </x:row>
  </x:sheetData>
  <x:pageMargins left="0.7" right="0.7" top="0.75" bottom="0.75" header="0.3" footer="0.3"/>
</x:worksheet>
</file>