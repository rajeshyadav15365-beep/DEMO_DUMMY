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c8d877086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Dashboard" sheetId="1" r:id="R5658527c552e4a6d"/>
    <x:sheet xmlns:r="http://schemas.openxmlformats.org/officeDocument/2006/relationships" name="Bridge Control" sheetId="2" r:id="R163f1bd77f374164"/>
    <x:sheet xmlns:r="http://schemas.openxmlformats.org/officeDocument/2006/relationships" name="Resource Commitments" sheetId="3" r:id="R761d875235a842be"/>
    <x:sheet xmlns:r="http://schemas.openxmlformats.org/officeDocument/2006/relationships" name="6 Week Constraints" sheetId="4" r:id="Rcae12c73ff3b4224"/>
    <x:sheet xmlns:r="http://schemas.openxmlformats.org/officeDocument/2006/relationships" name="Weekly Integration" sheetId="5" r:id="Ra709da9da3534839"/>
    <x:sheet xmlns:r="http://schemas.openxmlformats.org/officeDocument/2006/relationships" name="Decision Log" sheetId="6" r:id="R5e75a4d1c6b94ebb"/>
    <x:sheet xmlns:r="http://schemas.openxmlformats.org/officeDocument/2006/relationships" name="Release Gates" sheetId="7" r:id="Re1c5793475e3461a"/>
    <x:sheet xmlns:r="http://schemas.openxmlformats.org/officeDocument/2006/relationships" name="Source and Assumptions" sheetId="8" r:id="R0423ef0d734b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5ee7d2ad74c74" /><Relationship Type="http://schemas.openxmlformats.org/officeDocument/2006/relationships/theme" Target="/xl/theme/theme1.xml" Id="Rd418b05d1df94bca" /><Relationship Type="http://schemas.openxmlformats.org/officeDocument/2006/relationships/sharedStrings" Target="/xl/sharedStrings.xml" Id="Ra7b022be1c0a4486" /><Relationship Type="http://schemas.openxmlformats.org/officeDocument/2006/relationships/worksheet" Target="/xl/worksheets/sheet1.xml" Id="R5658527c552e4a6d" /><Relationship Type="http://schemas.openxmlformats.org/officeDocument/2006/relationships/worksheet" Target="/xl/worksheets/sheet2.xml" Id="R163f1bd77f374164" /><Relationship Type="http://schemas.openxmlformats.org/officeDocument/2006/relationships/worksheet" Target="/xl/worksheets/sheet3.xml" Id="R761d875235a842be" /><Relationship Type="http://schemas.openxmlformats.org/officeDocument/2006/relationships/worksheet" Target="/xl/worksheets/sheet4.xml" Id="Rcae12c73ff3b4224" /><Relationship Type="http://schemas.openxmlformats.org/officeDocument/2006/relationships/worksheet" Target="/xl/worksheets/sheet5.xml" Id="Ra709da9da3534839" /><Relationship Type="http://schemas.openxmlformats.org/officeDocument/2006/relationships/worksheet" Target="/xl/worksheets/sheet6.xml" Id="R5e75a4d1c6b94ebb" /><Relationship Type="http://schemas.openxmlformats.org/officeDocument/2006/relationships/worksheet" Target="/xl/worksheets/sheet7.xml" Id="Re1c5793475e3461a" /><Relationship Type="http://schemas.openxmlformats.org/officeDocument/2006/relationships/worksheet" Target="/xl/worksheets/sheet8.xml" Id="R0423ef0d734b4f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</x:cols>
  <x:sheetData>
    <x:row r="1" ht="32" customHeight="1">
      <x:c r="A1" s="4" t="str">
        <x:v>Metric</x:v>
      </x:c>
      <x:c r="B1" s="4" t="str">
        <x:v>Value</x:v>
      </x:c>
      <x:c r="C1" s="4" t="str">
        <x:v>Interpretation</x:v>
      </x:c>
    </x:row>
    <x:row r="2">
      <x:c r="A2" t="str">
        <x:v>Planning commencement</x:v>
      </x:c>
      <x:c r="B2" t="str">
        <x:v>2026-11-01</x:v>
      </x:c>
      <x:c r="C2" t="str">
        <x:v>Conditional; not awarded</x:v>
      </x:c>
    </x:row>
    <x:row r="3">
      <x:c r="A3" t="str">
        <x:v>Duration days</x:v>
      </x:c>
      <x:c r="B3" t="n">
        <x:v>360</x:v>
      </x:c>
      <x:c r="C3" t="str">
        <x:v>Contract SCC controls</x:v>
      </x:c>
    </x:row>
    <x:row r="4">
      <x:c r="A4" t="str">
        <x:v>Bridge count</x:v>
      </x:c>
      <x:c r="B4" t="n">
        <x:v>10</x:v>
      </x:c>
      <x:c r="C4" t="str">
        <x:v>Three new/replacement and seven strengthening</x:v>
      </x:c>
    </x:row>
    <x:row r="5">
      <x:c r="A5" t="str">
        <x:v>Structural summary MT</x:v>
      </x:c>
      <x:c r="B5" t="n">
        <x:v>1142</x:v>
      </x:c>
      <x:c r="C5" t="str">
        <x:v>Tender summary; verify</x:v>
      </x:c>
    </x:row>
    <x:row r="6">
      <x:c r="A6" t="str">
        <x:v>Bridge-row MT</x:v>
      </x:c>
      <x:c r="B6" t="n">
        <x:v>1141</x:v>
      </x:c>
      <x:c r="C6" t="str">
        <x:v>Transcribed prior baseline</x:v>
      </x:c>
    </x:row>
    <x:row r="7">
      <x:c r="A7" t="str">
        <x:v>Difference MT</x:v>
      </x:c>
      <x:c r="B7" t="n">
        <x:v>1</x:v>
      </x:c>
      <x:c r="C7" t="str">
        <x:v>Open reconciliation</x:v>
      </x:c>
    </x:row>
    <x:row r="8">
      <x:c r="A8" t="str">
        <x:v>Demolition MT</x:v>
      </x:c>
      <x:c r="B8" t="n">
        <x:v>357</x:v>
      </x:c>
      <x:c r="C8" t="str">
        <x:v>Verify bridge allocation</x:v>
      </x:c>
    </x:row>
    <x:row r="9">
      <x:c r="A9" t="str">
        <x:v>Progress basis</x:v>
      </x:c>
      <x:c r="B9" t="str">
        <x:v>Accepted quantities</x:v>
      </x:c>
      <x:c r="C9" t="str">
        <x:v>No subjective percentages</x:v>
      </x:c>
    </x:row>
    <x:row r="10">
      <x:c r="A10" t="str">
        <x:v>Schedule basis</x:v>
      </x:c>
      <x:c r="B10" t="str">
        <x:v>Resource-levelled CPM</x:v>
      </x:c>
      <x:c r="C10" t="str">
        <x:v>Not yet verified</x:v>
      </x:c>
    </x:row>
    <x:row r="11">
      <x:c r="A11" t="str">
        <x:v>Marine boundary</x:v>
      </x:c>
      <x:c r="B11" t="str">
        <x:v>2027-05-15</x:v>
      </x:c>
      <x:c r="C11" t="str">
        <x:v>Scenario only; weather and SCC to confirm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4" t="str">
        <x:v>Package</x:v>
      </x:c>
      <x:c r="B1" s="4" t="str">
        <x:v>Structural MT</x:v>
      </x:c>
      <x:c r="C1" s="4" t="str">
        <x:v>Demolition MT</x:v>
      </x:c>
      <x:c r="D1" s="4" t="str">
        <x:v>Approved MT</x:v>
      </x:c>
      <x:c r="E1" s="4" t="str">
        <x:v>Accepted MT</x:v>
      </x:c>
      <x:c r="F1" s="4" t="str">
        <x:v>Remaining MT</x:v>
      </x:c>
      <x:c r="G1" s="4" t="str">
        <x:v>Progress</x:v>
      </x:c>
      <x:c r="H1" s="4" t="str">
        <x:v>Forecast finish</x:v>
      </x:c>
      <x:c r="I1" s="4" t="str">
        <x:v>Constraint owner</x:v>
      </x:c>
      <x:c r="J1" s="4" t="str">
        <x:v>Readiness</x:v>
      </x:c>
    </x:row>
    <x:row r="2">
      <x:c r="A2" t="str">
        <x:v>ICW-ICG LD</x:v>
      </x:c>
      <x:c r="B2" t="n">
        <x:v>122</x:v>
      </x:c>
      <x:c r="C2" t="n">
        <x:v>0</x:v>
      </x:c>
      <x:c r="D2" t="n">
        <x:v>122</x:v>
      </x:c>
      <x:c r="E2" t="n">
        <x:v>0</x:v>
      </x:c>
      <x:c r="F2" t="n">
        <x:f>MAX(0,D2-E2)</x:f>
        <x:v>122</x:v>
      </x:c>
      <x:c r="G2" s="8" t="n">
        <x:f>IFERROR(E2/D2,0)</x:f>
        <x:v>0</x:v>
      </x:c>
      <x:c r="H2"/>
      <x:c r="I2" t="str"/>
      <x:c r="J2" t="str">
        <x:v>NOT VERIFIED</x:v>
      </x:c>
    </x:row>
    <x:row r="3">
      <x:c r="A3" t="str">
        <x:v>ICG-ICP LD</x:v>
      </x:c>
      <x:c r="B3" t="n">
        <x:v>160</x:v>
      </x:c>
      <x:c r="C3" t="n">
        <x:v>0</x:v>
      </x:c>
      <x:c r="D3" t="n">
        <x:v>160</x:v>
      </x:c>
      <x:c r="E3" t="n">
        <x:v>0</x:v>
      </x:c>
      <x:c r="F3" t="n">
        <x:f>MAX(0,D3-E3)</x:f>
        <x:v>160</x:v>
      </x:c>
      <x:c r="G3" s="8" t="n">
        <x:f>IFERROR(E3/D3,0)</x:f>
        <x:v>0</x:v>
      </x:c>
      <x:c r="H3"/>
      <x:c r="I3" t="str"/>
      <x:c r="J3" t="str">
        <x:v>NOT VERIFIED</x:v>
      </x:c>
    </x:row>
    <x:row r="4">
      <x:c r="A4" t="str">
        <x:v>BHS-SLQ</x:v>
      </x:c>
      <x:c r="B4" t="n">
        <x:v>282</x:v>
      </x:c>
      <x:c r="C4" t="n">
        <x:v>357</x:v>
      </x:c>
      <x:c r="D4" t="n">
        <x:v>282</x:v>
      </x:c>
      <x:c r="E4" t="n">
        <x:v>0</x:v>
      </x:c>
      <x:c r="F4" t="n">
        <x:f>MAX(0,D4-E4)</x:f>
        <x:v>282</x:v>
      </x:c>
      <x:c r="G4" s="8" t="n">
        <x:f>IFERROR(E4/D4,0)</x:f>
        <x:v>0</x:v>
      </x:c>
      <x:c r="H4"/>
      <x:c r="I4" t="str"/>
      <x:c r="J4" t="str">
        <x:v>NOT VERIFIED</x:v>
      </x:c>
    </x:row>
    <x:row r="5">
      <x:c r="A5" t="str">
        <x:v>ICW-ICG UD</x:v>
      </x:c>
      <x:c r="B5" t="n">
        <x:v>49</x:v>
      </x:c>
      <x:c r="C5" t="n">
        <x:v>0</x:v>
      </x:c>
      <x:c r="D5" t="n">
        <x:v>49</x:v>
      </x:c>
      <x:c r="E5" t="n">
        <x:v>0</x:v>
      </x:c>
      <x:c r="F5" t="n">
        <x:f>MAX(0,D5-E5)</x:f>
        <x:v>49</x:v>
      </x:c>
      <x:c r="G5" s="8" t="n">
        <x:f>IFERROR(E5/D5,0)</x:f>
        <x:v>0</x:v>
      </x:c>
      <x:c r="H5"/>
      <x:c r="I5" t="str"/>
      <x:c r="J5" t="str">
        <x:v>NOT VERIFIED</x:v>
      </x:c>
    </x:row>
    <x:row r="6">
      <x:c r="A6" t="str">
        <x:v>ICG-ICP UD</x:v>
      </x:c>
      <x:c r="B6" t="n">
        <x:v>116</x:v>
      </x:c>
      <x:c r="C6" t="n">
        <x:v>0</x:v>
      </x:c>
      <x:c r="D6" t="n">
        <x:v>116</x:v>
      </x:c>
      <x:c r="E6" t="n">
        <x:v>0</x:v>
      </x:c>
      <x:c r="F6" t="n">
        <x:f>MAX(0,D6-E6)</x:f>
        <x:v>116</x:v>
      </x:c>
      <x:c r="G6" s="8" t="n">
        <x:f>IFERROR(E6/D6,0)</x:f>
        <x:v>0</x:v>
      </x:c>
      <x:c r="H6"/>
      <x:c r="I6" t="str"/>
      <x:c r="J6" t="str">
        <x:v>NOT VERIFIED</x:v>
      </x:c>
    </x:row>
    <x:row r="7">
      <x:c r="A7" t="str">
        <x:v>SLQ-WIS</x:v>
      </x:c>
      <x:c r="B7" t="n">
        <x:v>91</x:v>
      </x:c>
      <x:c r="C7" t="n">
        <x:v>0</x:v>
      </x:c>
      <x:c r="D7" t="n">
        <x:v>91</x:v>
      </x:c>
      <x:c r="E7" t="n">
        <x:v>0</x:v>
      </x:c>
      <x:c r="F7" t="n">
        <x:f>MAX(0,D7-E7)</x:f>
        <x:v>91</x:v>
      </x:c>
      <x:c r="G7" s="8" t="n">
        <x:f>IFERROR(E7/D7,0)</x:f>
        <x:v>0</x:v>
      </x:c>
      <x:c r="H7"/>
      <x:c r="I7" t="str"/>
      <x:c r="J7" t="str">
        <x:v>NOT VERIFIED</x:v>
      </x:c>
    </x:row>
    <x:row r="8">
      <x:c r="A8" t="str">
        <x:v>NQO-NQD</x:v>
      </x:c>
      <x:c r="B8" t="n">
        <x:v>93</x:v>
      </x:c>
      <x:c r="C8" t="n">
        <x:v>0</x:v>
      </x:c>
      <x:c r="D8" t="n">
        <x:v>93</x:v>
      </x:c>
      <x:c r="E8" t="n">
        <x:v>0</x:v>
      </x:c>
      <x:c r="F8" t="n">
        <x:f>MAX(0,D8-E8)</x:f>
        <x:v>93</x:v>
      </x:c>
      <x:c r="G8" s="8" t="n">
        <x:f>IFERROR(E8/D8,0)</x:f>
        <x:v>0</x:v>
      </x:c>
      <x:c r="H8"/>
      <x:c r="I8" t="str"/>
      <x:c r="J8" t="str">
        <x:v>NOT VERIFIED</x:v>
      </x:c>
    </x:row>
    <x:row r="9">
      <x:c r="A9" t="str">
        <x:v>WIN-NC</x:v>
      </x:c>
      <x:c r="B9" t="n">
        <x:v>46</x:v>
      </x:c>
      <x:c r="C9" t="n">
        <x:v>0</x:v>
      </x:c>
      <x:c r="D9" t="n">
        <x:v>46</x:v>
      </x:c>
      <x:c r="E9" t="n">
        <x:v>0</x:v>
      </x:c>
      <x:c r="F9" t="n">
        <x:f>MAX(0,D9-E9)</x:f>
        <x:v>46</x:v>
      </x:c>
      <x:c r="G9" s="8" t="n">
        <x:f>IFERROR(E9/D9,0)</x:f>
        <x:v>0</x:v>
      </x:c>
      <x:c r="H9"/>
      <x:c r="I9" t="str"/>
      <x:c r="J9" t="str">
        <x:v>NOT VERIFIED</x:v>
      </x:c>
    </x:row>
    <x:row r="10">
      <x:c r="A10" t="str">
        <x:v>SCA-SC1</x:v>
      </x:c>
      <x:c r="B10" t="n">
        <x:v>63</x:v>
      </x:c>
      <x:c r="C10" t="n">
        <x:v>0</x:v>
      </x:c>
      <x:c r="D10" t="n">
        <x:v>63</x:v>
      </x:c>
      <x:c r="E10" t="n">
        <x:v>0</x:v>
      </x:c>
      <x:c r="F10" t="n">
        <x:f>MAX(0,D10-E10)</x:f>
        <x:v>63</x:v>
      </x:c>
      <x:c r="G10" s="8" t="n">
        <x:f>IFERROR(E10/D10,0)</x:f>
        <x:v>0</x:v>
      </x:c>
      <x:c r="H10"/>
      <x:c r="I10" t="str"/>
      <x:c r="J10" t="str">
        <x:v>NOT VERIFIED</x:v>
      </x:c>
    </x:row>
    <x:row r="11">
      <x:c r="A11" t="str">
        <x:v>SCA-SCF</x:v>
      </x:c>
      <x:c r="B11" t="n">
        <x:v>119</x:v>
      </x:c>
      <x:c r="C11" t="n">
        <x:v>0</x:v>
      </x:c>
      <x:c r="D11" t="n">
        <x:v>119</x:v>
      </x:c>
      <x:c r="E11" t="n">
        <x:v>0</x:v>
      </x:c>
      <x:c r="F11" t="n">
        <x:f>MAX(0,D11-E11)</x:f>
        <x:v>119</x:v>
      </x:c>
      <x:c r="G11" s="8" t="n">
        <x:f>IFERROR(E11/D11,0)</x:f>
        <x:v>0</x:v>
      </x:c>
      <x:c r="H11"/>
      <x:c r="I11" t="str"/>
      <x:c r="J11" t="str">
        <x:v>NOT 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2" customHeight="1">
      <x:c r="A1" s="4" t="str">
        <x:v>Resource</x:v>
      </x:c>
      <x:c r="B1" s="4" t="str">
        <x:v>Required units</x:v>
      </x:c>
      <x:c r="C1" s="4" t="str">
        <x:v>Committed units</x:v>
      </x:c>
      <x:c r="D1" s="4" t="str">
        <x:v>Gap</x:v>
      </x:c>
      <x:c r="E1" s="4" t="str">
        <x:v>Supplier / owner</x:v>
      </x:c>
      <x:c r="F1" s="4" t="str">
        <x:v>Available from</x:v>
      </x:c>
      <x:c r="G1" s="4" t="str">
        <x:v>Available to</x:v>
      </x:c>
      <x:c r="H1" s="4" t="str">
        <x:v>Evidence / contract</x:v>
      </x:c>
      <x:c r="I1" s="4" t="str">
        <x:v>Status</x:v>
      </x:c>
    </x:row>
    <x:row r="2">
      <x:c r="A2" t="str">
        <x:v>Engineering design team</x:v>
      </x:c>
      <x:c r="B2" t="n">
        <x:v>1</x:v>
      </x:c>
      <x:c r="C2" t="n">
        <x:v>0</x:v>
      </x:c>
      <x:c r="D2" t="n">
        <x:f>MAX(0,B2-C2)</x:f>
        <x:v>1</x:v>
      </x:c>
      <x:c r="E2" t="str"/>
      <x:c r="F2" t="str"/>
      <x:c r="G2" t="str"/>
      <x:c r="H2" t="str"/>
      <x:c r="I2" t="str">
        <x:v>UNCONFIRMED</x:v>
      </x:c>
    </x:row>
    <x:row r="3">
      <x:c r="A3" t="str">
        <x:v>Fabrication line 1</x:v>
      </x:c>
      <x:c r="B3" t="n">
        <x:v>1</x:v>
      </x:c>
      <x:c r="C3" t="n">
        <x:v>0</x:v>
      </x:c>
      <x:c r="D3" t="n">
        <x:f>MAX(0,B3-C3)</x:f>
        <x:v>1</x:v>
      </x:c>
      <x:c r="E3" t="str"/>
      <x:c r="F3" t="str"/>
      <x:c r="G3" t="str"/>
      <x:c r="H3" t="str"/>
      <x:c r="I3" t="str">
        <x:v>UNCONFIRMED</x:v>
      </x:c>
    </x:row>
    <x:row r="4">
      <x:c r="A4" t="str">
        <x:v>Fabrication line 2</x:v>
      </x:c>
      <x:c r="B4" t="n">
        <x:v>1</x:v>
      </x:c>
      <x:c r="C4" t="n">
        <x:v>0</x:v>
      </x:c>
      <x:c r="D4" t="n">
        <x:f>MAX(0,B4-C4)</x:f>
        <x:v>1</x:v>
      </x:c>
      <x:c r="E4" t="str"/>
      <x:c r="F4" t="str"/>
      <x:c r="G4" t="str"/>
      <x:c r="H4" t="str"/>
      <x:c r="I4" t="str">
        <x:v>UNCONFIRMED</x:v>
      </x:c>
    </x:row>
    <x:row r="5">
      <x:c r="A5" t="str">
        <x:v>Strengthening cell</x:v>
      </x:c>
      <x:c r="B5" t="n">
        <x:v>1</x:v>
      </x:c>
      <x:c r="C5" t="n">
        <x:v>0</x:v>
      </x:c>
      <x:c r="D5" t="n">
        <x:f>MAX(0,B5-C5)</x:f>
        <x:v>1</x:v>
      </x:c>
      <x:c r="E5" t="str"/>
      <x:c r="F5" t="str"/>
      <x:c r="G5" t="str"/>
      <x:c r="H5" t="str"/>
      <x:c r="I5" t="str">
        <x:v>UNCONFIRMED</x:v>
      </x:c>
    </x:row>
    <x:row r="6">
      <x:c r="A6" t="str">
        <x:v>Structural crew A</x:v>
      </x:c>
      <x:c r="B6" t="n">
        <x:v>1</x:v>
      </x:c>
      <x:c r="C6" t="n">
        <x:v>0</x:v>
      </x:c>
      <x:c r="D6" t="n">
        <x:f>MAX(0,B6-C6)</x:f>
        <x:v>1</x:v>
      </x:c>
      <x:c r="E6" t="str"/>
      <x:c r="F6" t="str"/>
      <x:c r="G6" t="str"/>
      <x:c r="H6" t="str"/>
      <x:c r="I6" t="str">
        <x:v>UNCONFIRMED</x:v>
      </x:c>
    </x:row>
    <x:row r="7">
      <x:c r="A7" t="str">
        <x:v>Structural crew B</x:v>
      </x:c>
      <x:c r="B7" t="n">
        <x:v>1</x:v>
      </x:c>
      <x:c r="C7" t="n">
        <x:v>0</x:v>
      </x:c>
      <x:c r="D7" t="n">
        <x:f>MAX(0,B7-C7)</x:f>
        <x:v>1</x:v>
      </x:c>
      <x:c r="E7" t="str"/>
      <x:c r="F7" t="str"/>
      <x:c r="G7" t="str"/>
      <x:c r="H7" t="str"/>
      <x:c r="I7" t="str">
        <x:v>UNCONFIRMED</x:v>
      </x:c>
    </x:row>
    <x:row r="8">
      <x:c r="A8" t="str">
        <x:v>Bridge installation crew</x:v>
      </x:c>
      <x:c r="B8" t="n">
        <x:v>1</x:v>
      </x:c>
      <x:c r="C8" t="n">
        <x:v>0</x:v>
      </x:c>
      <x:c r="D8" t="n">
        <x:f>MAX(0,B8-C8)</x:f>
        <x:v>1</x:v>
      </x:c>
      <x:c r="E8" t="str"/>
      <x:c r="F8" t="str"/>
      <x:c r="G8" t="str"/>
      <x:c r="H8" t="str"/>
      <x:c r="I8" t="str">
        <x:v>UNCONFIRMED</x:v>
      </x:c>
    </x:row>
    <x:row r="9">
      <x:c r="A9" t="str">
        <x:v>Heavy lift spread</x:v>
      </x:c>
      <x:c r="B9" t="n">
        <x:v>1</x:v>
      </x:c>
      <x:c r="C9" t="n">
        <x:v>0</x:v>
      </x:c>
      <x:c r="D9" t="n">
        <x:f>MAX(0,B9-C9)</x:f>
        <x:v>1</x:v>
      </x:c>
      <x:c r="E9" t="str"/>
      <x:c r="F9" t="str"/>
      <x:c r="G9" t="str"/>
      <x:c r="H9" t="str"/>
      <x:c r="I9" t="str">
        <x:v>UNCONFIRMED</x:v>
      </x:c>
    </x:row>
    <x:row r="10">
      <x:c r="A10" t="str">
        <x:v>Accommodation vessel</x:v>
      </x:c>
      <x:c r="B10" t="n">
        <x:v>1</x:v>
      </x:c>
      <x:c r="C10" t="n">
        <x:v>0</x:v>
      </x:c>
      <x:c r="D10" t="n">
        <x:f>MAX(0,B10-C10)</x:f>
        <x:v>1</x:v>
      </x:c>
      <x:c r="E10" t="str"/>
      <x:c r="F10" t="str"/>
      <x:c r="G10" t="str"/>
      <x:c r="H10" t="str"/>
      <x:c r="I10" t="str">
        <x:v>UNCONFIRMED</x:v>
      </x:c>
    </x:row>
    <x:row r="11">
      <x:c r="A11" t="str">
        <x:v>Cargo barge</x:v>
      </x:c>
      <x:c r="B11" t="n">
        <x:v>1</x:v>
      </x:c>
      <x:c r="C11" t="n">
        <x:v>0</x:v>
      </x:c>
      <x:c r="D11" t="n">
        <x:f>MAX(0,B11-C11)</x:f>
        <x:v>1</x:v>
      </x:c>
      <x:c r="E11" t="str"/>
      <x:c r="F11" t="str"/>
      <x:c r="G11" t="str"/>
      <x:c r="H11" t="str"/>
      <x:c r="I11" t="str">
        <x:v>UNCONFIRMED</x:v>
      </x:c>
    </x:row>
    <x:row r="12">
      <x:c r="A12" t="str">
        <x:v>QA-QC offshore</x:v>
      </x:c>
      <x:c r="B12" t="n">
        <x:v>1</x:v>
      </x:c>
      <x:c r="C12" t="n">
        <x:v>0</x:v>
      </x:c>
      <x:c r="D12" t="n">
        <x:f>MAX(0,B12-C12)</x:f>
        <x:v>1</x:v>
      </x:c>
      <x:c r="E12" t="str"/>
      <x:c r="F12" t="str"/>
      <x:c r="G12" t="str"/>
      <x:c r="H12" t="str"/>
      <x:c r="I12" t="str">
        <x:v>UNCONFIRMED</x:v>
      </x:c>
    </x:row>
    <x:row r="13">
      <x:c r="A13" t="str">
        <x:v>Marine logistics</x:v>
      </x:c>
      <x:c r="B13" t="n">
        <x:v>1</x:v>
      </x:c>
      <x:c r="C13" t="n">
        <x:v>0</x:v>
      </x:c>
      <x:c r="D13" t="n">
        <x:f>MAX(0,B13-C13)</x:f>
        <x:v>1</x:v>
      </x:c>
      <x:c r="E13" t="str"/>
      <x:c r="F13" t="str"/>
      <x:c r="G13" t="str"/>
      <x:c r="H13" t="str"/>
      <x:c r="I13" t="str">
        <x:v>UNCONFIRMED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4" t="str">
        <x:v>ID</x:v>
      </x:c>
      <x:c r="B1" s="4" t="str">
        <x:v>Bridge</x:v>
      </x:c>
      <x:c r="C1" s="4" t="str">
        <x:v>Constraint category</x:v>
      </x:c>
      <x:c r="D1" s="4" t="str">
        <x:v>Issue</x:v>
      </x:c>
      <x:c r="E1" s="4" t="str">
        <x:v>Responsible</x:v>
      </x:c>
      <x:c r="F1" s="4" t="str">
        <x:v>Due date</x:v>
      </x:c>
      <x:c r="G1" s="4" t="str">
        <x:v>Status</x:v>
      </x:c>
      <x:c r="H1" s="4" t="str">
        <x:v>Impact days</x:v>
      </x:c>
      <x:c r="I1" s="4" t="str">
        <x:v>Closure evidence</x:v>
      </x:c>
    </x:row>
    <x:row r="2">
      <x:c r="A2" t="str">
        <x:v>CON-001</x:v>
      </x:c>
      <x:c r="B2" t="str"/>
      <x:c r="C2" t="str">
        <x:v>Engineering / Material / Marine / Access / QA</x:v>
      </x:c>
      <x:c r="D2" t="str"/>
      <x:c r="E2" t="str"/>
      <x:c r="F2" t="str"/>
      <x:c r="G2" t="str">
        <x:v>OPEN</x:v>
      </x:c>
      <x:c r="H2" t="n">
        <x:v>0</x:v>
      </x:c>
      <x:c r="I2" t="str"/>
    </x:row>
    <x:row r="3">
      <x:c r="A3" t="str">
        <x:v>CON-002</x:v>
      </x:c>
      <x:c r="B3" t="str"/>
      <x:c r="C3" t="str">
        <x:v>Engineering / Material / Marine / Access / QA</x:v>
      </x:c>
      <x:c r="D3" t="str"/>
      <x:c r="E3" t="str"/>
      <x:c r="F3" t="str"/>
      <x:c r="G3" t="str">
        <x:v>OPEN</x:v>
      </x:c>
      <x:c r="H3" t="n">
        <x:v>0</x:v>
      </x:c>
      <x:c r="I3" t="str"/>
    </x:row>
    <x:row r="4">
      <x:c r="A4" t="str">
        <x:v>CON-003</x:v>
      </x:c>
      <x:c r="B4" t="str"/>
      <x:c r="C4" t="str">
        <x:v>Engineering / Material / Marine / Access / QA</x:v>
      </x:c>
      <x:c r="D4" t="str"/>
      <x:c r="E4" t="str"/>
      <x:c r="F4" t="str"/>
      <x:c r="G4" t="str">
        <x:v>OPEN</x:v>
      </x:c>
      <x:c r="H4" t="n">
        <x:v>0</x:v>
      </x:c>
      <x:c r="I4" t="str"/>
    </x:row>
    <x:row r="5">
      <x:c r="A5" t="str">
        <x:v>CON-004</x:v>
      </x:c>
      <x:c r="B5" t="str"/>
      <x:c r="C5" t="str">
        <x:v>Engineering / Material / Marine / Access / QA</x:v>
      </x:c>
      <x:c r="D5" t="str"/>
      <x:c r="E5" t="str"/>
      <x:c r="F5" t="str"/>
      <x:c r="G5" t="str">
        <x:v>OPEN</x:v>
      </x:c>
      <x:c r="H5" t="n">
        <x:v>0</x:v>
      </x:c>
      <x:c r="I5" t="str"/>
    </x:row>
    <x:row r="6">
      <x:c r="A6" t="str">
        <x:v>CON-005</x:v>
      </x:c>
      <x:c r="B6" t="str"/>
      <x:c r="C6" t="str">
        <x:v>Engineering / Material / Marine / Access / QA</x:v>
      </x:c>
      <x:c r="D6" t="str"/>
      <x:c r="E6" t="str"/>
      <x:c r="F6" t="str"/>
      <x:c r="G6" t="str">
        <x:v>OPEN</x:v>
      </x:c>
      <x:c r="H6" t="n">
        <x:v>0</x:v>
      </x:c>
      <x:c r="I6" t="str"/>
    </x:row>
    <x:row r="7">
      <x:c r="A7" t="str">
        <x:v>CON-006</x:v>
      </x:c>
      <x:c r="B7" t="str"/>
      <x:c r="C7" t="str">
        <x:v>Engineering / Material / Marine / Access / QA</x:v>
      </x:c>
      <x:c r="D7" t="str"/>
      <x:c r="E7" t="str"/>
      <x:c r="F7" t="str"/>
      <x:c r="G7" t="str">
        <x:v>OPEN</x:v>
      </x:c>
      <x:c r="H7" t="n">
        <x:v>0</x:v>
      </x:c>
      <x:c r="I7" t="str"/>
    </x:row>
    <x:row r="8">
      <x:c r="A8" t="str">
        <x:v>CON-007</x:v>
      </x:c>
      <x:c r="B8" t="str"/>
      <x:c r="C8" t="str">
        <x:v>Engineering / Material / Marine / Access / QA</x:v>
      </x:c>
      <x:c r="D8" t="str"/>
      <x:c r="E8" t="str"/>
      <x:c r="F8" t="str"/>
      <x:c r="G8" t="str">
        <x:v>OPEN</x:v>
      </x:c>
      <x:c r="H8" t="n">
        <x:v>0</x:v>
      </x:c>
      <x:c r="I8" t="str"/>
    </x:row>
    <x:row r="9">
      <x:c r="A9" t="str">
        <x:v>CON-008</x:v>
      </x:c>
      <x:c r="B9" t="str"/>
      <x:c r="C9" t="str">
        <x:v>Engineering / Material / Marine / Access / QA</x:v>
      </x:c>
      <x:c r="D9" t="str"/>
      <x:c r="E9" t="str"/>
      <x:c r="F9" t="str"/>
      <x:c r="G9" t="str">
        <x:v>OPEN</x:v>
      </x:c>
      <x:c r="H9" t="n">
        <x:v>0</x:v>
      </x:c>
      <x:c r="I9" t="str"/>
    </x:row>
    <x:row r="10">
      <x:c r="A10" t="str">
        <x:v>CON-009</x:v>
      </x:c>
      <x:c r="B10" t="str"/>
      <x:c r="C10" t="str">
        <x:v>Engineering / Material / Marine / Access / QA</x:v>
      </x:c>
      <x:c r="D10" t="str"/>
      <x:c r="E10" t="str"/>
      <x:c r="F10" t="str"/>
      <x:c r="G10" t="str">
        <x:v>OPEN</x:v>
      </x:c>
      <x:c r="H10" t="n">
        <x:v>0</x:v>
      </x:c>
      <x:c r="I10" t="str"/>
    </x:row>
    <x:row r="11">
      <x:c r="A11" t="str">
        <x:v>CON-010</x:v>
      </x:c>
      <x:c r="B11" t="str"/>
      <x:c r="C11" t="str">
        <x:v>Engineering / Material / Marine / Access / QA</x:v>
      </x:c>
      <x:c r="D11" t="str"/>
      <x:c r="E11" t="str"/>
      <x:c r="F11" t="str"/>
      <x:c r="G11" t="str">
        <x:v>OPEN</x:v>
      </x:c>
      <x:c r="H11" t="n">
        <x:v>0</x:v>
      </x:c>
      <x:c r="I11" t="str"/>
    </x:row>
    <x:row r="12">
      <x:c r="A12" t="str">
        <x:v>CON-011</x:v>
      </x:c>
      <x:c r="B12" t="str"/>
      <x:c r="C12" t="str">
        <x:v>Engineering / Material / Marine / Access / QA</x:v>
      </x:c>
      <x:c r="D12" t="str"/>
      <x:c r="E12" t="str"/>
      <x:c r="F12" t="str"/>
      <x:c r="G12" t="str">
        <x:v>OPEN</x:v>
      </x:c>
      <x:c r="H12" t="n">
        <x:v>0</x:v>
      </x:c>
      <x:c r="I12" t="str"/>
    </x:row>
    <x:row r="13">
      <x:c r="A13" t="str">
        <x:v>CON-012</x:v>
      </x:c>
      <x:c r="B13" t="str"/>
      <x:c r="C13" t="str">
        <x:v>Engineering / Material / Marine / Access / QA</x:v>
      </x:c>
      <x:c r="D13" t="str"/>
      <x:c r="E13" t="str"/>
      <x:c r="F13" t="str"/>
      <x:c r="G13" t="str">
        <x:v>OPEN</x:v>
      </x:c>
      <x:c r="H13" t="n">
        <x:v>0</x:v>
      </x:c>
      <x:c r="I13" t="str"/>
    </x:row>
    <x:row r="14">
      <x:c r="A14" t="str">
        <x:v>CON-013</x:v>
      </x:c>
      <x:c r="B14" t="str"/>
      <x:c r="C14" t="str">
        <x:v>Engineering / Material / Marine / Access / QA</x:v>
      </x:c>
      <x:c r="D14" t="str"/>
      <x:c r="E14" t="str"/>
      <x:c r="F14" t="str"/>
      <x:c r="G14" t="str">
        <x:v>OPEN</x:v>
      </x:c>
      <x:c r="H14" t="n">
        <x:v>0</x:v>
      </x:c>
      <x:c r="I14" t="str"/>
    </x:row>
    <x:row r="15">
      <x:c r="A15" t="str">
        <x:v>CON-014</x:v>
      </x:c>
      <x:c r="B15" t="str"/>
      <x:c r="C15" t="str">
        <x:v>Engineering / Material / Marine / Access / QA</x:v>
      </x:c>
      <x:c r="D15" t="str"/>
      <x:c r="E15" t="str"/>
      <x:c r="F15" t="str"/>
      <x:c r="G15" t="str">
        <x:v>OPEN</x:v>
      </x:c>
      <x:c r="H15" t="n">
        <x:v>0</x:v>
      </x:c>
      <x:c r="I15" t="str"/>
    </x:row>
    <x:row r="16">
      <x:c r="A16" t="str">
        <x:v>CON-015</x:v>
      </x:c>
      <x:c r="B16" t="str"/>
      <x:c r="C16" t="str">
        <x:v>Engineering / Material / Marine / Access / QA</x:v>
      </x:c>
      <x:c r="D16" t="str"/>
      <x:c r="E16" t="str"/>
      <x:c r="F16" t="str"/>
      <x:c r="G16" t="str">
        <x:v>OPEN</x:v>
      </x:c>
      <x:c r="H16" t="n">
        <x:v>0</x:v>
      </x:c>
      <x:c r="I16" t="str"/>
    </x:row>
    <x:row r="17">
      <x:c r="A17" t="str">
        <x:v>CON-016</x:v>
      </x:c>
      <x:c r="B17" t="str"/>
      <x:c r="C17" t="str">
        <x:v>Engineering / Material / Marine / Access / QA</x:v>
      </x:c>
      <x:c r="D17" t="str"/>
      <x:c r="E17" t="str"/>
      <x:c r="F17" t="str"/>
      <x:c r="G17" t="str">
        <x:v>OPEN</x:v>
      </x:c>
      <x:c r="H17" t="n">
        <x:v>0</x:v>
      </x:c>
      <x:c r="I17" t="str"/>
    </x:row>
    <x:row r="18">
      <x:c r="A18" t="str">
        <x:v>CON-017</x:v>
      </x:c>
      <x:c r="B18" t="str"/>
      <x:c r="C18" t="str">
        <x:v>Engineering / Material / Marine / Access / QA</x:v>
      </x:c>
      <x:c r="D18" t="str"/>
      <x:c r="E18" t="str"/>
      <x:c r="F18" t="str"/>
      <x:c r="G18" t="str">
        <x:v>OPEN</x:v>
      </x:c>
      <x:c r="H18" t="n">
        <x:v>0</x:v>
      </x:c>
      <x:c r="I18" t="str"/>
    </x:row>
    <x:row r="19">
      <x:c r="A19" t="str">
        <x:v>CON-018</x:v>
      </x:c>
      <x:c r="B19" t="str"/>
      <x:c r="C19" t="str">
        <x:v>Engineering / Material / Marine / Access / QA</x:v>
      </x:c>
      <x:c r="D19" t="str"/>
      <x:c r="E19" t="str"/>
      <x:c r="F19" t="str"/>
      <x:c r="G19" t="str">
        <x:v>OPEN</x:v>
      </x:c>
      <x:c r="H19" t="n">
        <x:v>0</x:v>
      </x:c>
      <x:c r="I19" t="str"/>
    </x:row>
    <x:row r="20">
      <x:c r="A20" t="str">
        <x:v>CON-019</x:v>
      </x:c>
      <x:c r="B20" t="str"/>
      <x:c r="C20" t="str">
        <x:v>Engineering / Material / Marine / Access / QA</x:v>
      </x:c>
      <x:c r="D20" t="str"/>
      <x:c r="E20" t="str"/>
      <x:c r="F20" t="str"/>
      <x:c r="G20" t="str">
        <x:v>OPEN</x:v>
      </x:c>
      <x:c r="H20" t="n">
        <x:v>0</x:v>
      </x:c>
      <x:c r="I20" t="str"/>
    </x:row>
    <x:row r="21">
      <x:c r="A21" t="str">
        <x:v>CON-020</x:v>
      </x:c>
      <x:c r="B21" t="str"/>
      <x:c r="C21" t="str">
        <x:v>Engineering / Material / Marine / Access / QA</x:v>
      </x:c>
      <x:c r="D21" t="str"/>
      <x:c r="E21" t="str"/>
      <x:c r="F21" t="str"/>
      <x:c r="G21" t="str">
        <x:v>OPEN</x:v>
      </x:c>
      <x:c r="H21" t="n">
        <x:v>0</x:v>
      </x:c>
      <x:c r="I21" t="str"/>
    </x:row>
    <x:row r="22">
      <x:c r="A22" t="str">
        <x:v>CON-021</x:v>
      </x:c>
      <x:c r="B22" t="str"/>
      <x:c r="C22" t="str">
        <x:v>Engineering / Material / Marine / Access / QA</x:v>
      </x:c>
      <x:c r="D22" t="str"/>
      <x:c r="E22" t="str"/>
      <x:c r="F22" t="str"/>
      <x:c r="G22" t="str">
        <x:v>OPEN</x:v>
      </x:c>
      <x:c r="H22" t="n">
        <x:v>0</x:v>
      </x:c>
      <x:c r="I22" t="str"/>
    </x:row>
    <x:row r="23">
      <x:c r="A23" t="str">
        <x:v>CON-022</x:v>
      </x:c>
      <x:c r="B23" t="str"/>
      <x:c r="C23" t="str">
        <x:v>Engineering / Material / Marine / Access / QA</x:v>
      </x:c>
      <x:c r="D23" t="str"/>
      <x:c r="E23" t="str"/>
      <x:c r="F23" t="str"/>
      <x:c r="G23" t="str">
        <x:v>OPEN</x:v>
      </x:c>
      <x:c r="H23" t="n">
        <x:v>0</x:v>
      </x:c>
      <x:c r="I23" t="str"/>
    </x:row>
    <x:row r="24">
      <x:c r="A24" t="str">
        <x:v>CON-023</x:v>
      </x:c>
      <x:c r="B24" t="str"/>
      <x:c r="C24" t="str">
        <x:v>Engineering / Material / Marine / Access / QA</x:v>
      </x:c>
      <x:c r="D24" t="str"/>
      <x:c r="E24" t="str"/>
      <x:c r="F24" t="str"/>
      <x:c r="G24" t="str">
        <x:v>OPEN</x:v>
      </x:c>
      <x:c r="H24" t="n">
        <x:v>0</x:v>
      </x:c>
      <x:c r="I24" t="str"/>
    </x:row>
    <x:row r="25">
      <x:c r="A25" t="str">
        <x:v>CON-024</x:v>
      </x:c>
      <x:c r="B25" t="str"/>
      <x:c r="C25" t="str">
        <x:v>Engineering / Material / Marine / Access / QA</x:v>
      </x:c>
      <x:c r="D25" t="str"/>
      <x:c r="E25" t="str"/>
      <x:c r="F25" t="str"/>
      <x:c r="G25" t="str">
        <x:v>OPEN</x:v>
      </x:c>
      <x:c r="H25" t="n">
        <x:v>0</x:v>
      </x:c>
      <x:c r="I25" t="str"/>
    </x:row>
    <x:row r="26">
      <x:c r="A26" t="str">
        <x:v>CON-025</x:v>
      </x:c>
      <x:c r="B26" t="str"/>
      <x:c r="C26" t="str">
        <x:v>Engineering / Material / Marine / Access / QA</x:v>
      </x:c>
      <x:c r="D26" t="str"/>
      <x:c r="E26" t="str"/>
      <x:c r="F26" t="str"/>
      <x:c r="G26" t="str">
        <x:v>OPEN</x:v>
      </x:c>
      <x:c r="H26" t="n">
        <x:v>0</x:v>
      </x:c>
      <x:c r="I26" t="str"/>
    </x:row>
    <x:row r="27">
      <x:c r="A27" t="str">
        <x:v>CON-026</x:v>
      </x:c>
      <x:c r="B27" t="str"/>
      <x:c r="C27" t="str">
        <x:v>Engineering / Material / Marine / Access / QA</x:v>
      </x:c>
      <x:c r="D27" t="str"/>
      <x:c r="E27" t="str"/>
      <x:c r="F27" t="str"/>
      <x:c r="G27" t="str">
        <x:v>OPEN</x:v>
      </x:c>
      <x:c r="H27" t="n">
        <x:v>0</x:v>
      </x:c>
      <x:c r="I27" t="str"/>
    </x:row>
    <x:row r="28">
      <x:c r="A28" t="str">
        <x:v>CON-027</x:v>
      </x:c>
      <x:c r="B28" t="str"/>
      <x:c r="C28" t="str">
        <x:v>Engineering / Material / Marine / Access / QA</x:v>
      </x:c>
      <x:c r="D28" t="str"/>
      <x:c r="E28" t="str"/>
      <x:c r="F28" t="str"/>
      <x:c r="G28" t="str">
        <x:v>OPEN</x:v>
      </x:c>
      <x:c r="H28" t="n">
        <x:v>0</x:v>
      </x:c>
      <x:c r="I28" t="str"/>
    </x:row>
    <x:row r="29">
      <x:c r="A29" t="str">
        <x:v>CON-028</x:v>
      </x:c>
      <x:c r="B29" t="str"/>
      <x:c r="C29" t="str">
        <x:v>Engineering / Material / Marine / Access / QA</x:v>
      </x:c>
      <x:c r="D29" t="str"/>
      <x:c r="E29" t="str"/>
      <x:c r="F29" t="str"/>
      <x:c r="G29" t="str">
        <x:v>OPEN</x:v>
      </x:c>
      <x:c r="H29" t="n">
        <x:v>0</x:v>
      </x:c>
      <x:c r="I29" t="str"/>
    </x:row>
    <x:row r="30">
      <x:c r="A30" t="str">
        <x:v>CON-029</x:v>
      </x:c>
      <x:c r="B30" t="str"/>
      <x:c r="C30" t="str">
        <x:v>Engineering / Material / Marine / Access / QA</x:v>
      </x:c>
      <x:c r="D30" t="str"/>
      <x:c r="E30" t="str"/>
      <x:c r="F30" t="str"/>
      <x:c r="G30" t="str">
        <x:v>OPEN</x:v>
      </x:c>
      <x:c r="H30" t="n">
        <x:v>0</x:v>
      </x:c>
      <x:c r="I30" t="str"/>
    </x:row>
    <x:row r="31">
      <x:c r="A31" t="str">
        <x:v>CON-030</x:v>
      </x:c>
      <x:c r="B31" t="str"/>
      <x:c r="C31" t="str">
        <x:v>Engineering / Material / Marine / Access / QA</x:v>
      </x:c>
      <x:c r="D31" t="str"/>
      <x:c r="E31" t="str"/>
      <x:c r="F31" t="str"/>
      <x:c r="G31" t="str">
        <x:v>OPEN</x:v>
      </x:c>
      <x:c r="H31" t="n">
        <x:v>0</x:v>
      </x:c>
      <x:c r="I3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4" t="str">
        <x:v>Week</x:v>
      </x:c>
      <x:c r="B1" s="4" t="str">
        <x:v>Planned MT</x:v>
      </x:c>
      <x:c r="C1" s="4" t="str">
        <x:v>Accepted MT</x:v>
      </x:c>
      <x:c r="D1" s="4" t="str">
        <x:v>Cumulative accepted</x:v>
      </x:c>
      <x:c r="E1" s="4" t="str">
        <x:v>Crew days</x:v>
      </x:c>
      <x:c r="F1" s="4" t="str">
        <x:v>Productive vessel days</x:v>
      </x:c>
      <x:c r="G1" s="4" t="str">
        <x:v>Standby vessel days</x:v>
      </x:c>
      <x:c r="H1" s="4" t="str">
        <x:v>Actual cost INR</x:v>
      </x:c>
      <x:c r="I1" s="4" t="str">
        <x:v>Certified revenue INR</x:v>
      </x:c>
      <x:c r="J1" s="4" t="str">
        <x:v>Cash received INR</x:v>
      </x:c>
      <x:c r="K1" s="4" t="str">
        <x:v>Net cash INR</x:v>
      </x:c>
    </x:row>
    <x:row r="2">
      <x:c r="A2" t="n">
        <x:v>1</x:v>
      </x:c>
      <x:c r="B2" t="n">
        <x:v>0</x:v>
      </x:c>
      <x:c r="C2" t="n">
        <x:v>0</x:v>
      </x:c>
      <x:c r="D2" t="n">
        <x:f>SUM($C$2:C2)</x:f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f>J2-H2</x:f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f>SUM($C$2:C3)</x:f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f>J3-H3</x:f>
        <x:v>0</x:v>
      </x:c>
    </x:row>
    <x:row r="4">
      <x:c r="A4" t="n">
        <x:v>3</x:v>
      </x:c>
      <x:c r="B4" t="n">
        <x:v>0</x:v>
      </x:c>
      <x:c r="C4" t="n">
        <x:v>0</x:v>
      </x:c>
      <x:c r="D4" t="n">
        <x:f>SUM($C$2:C4)</x:f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f>J4-H4</x:f>
        <x:v>0</x:v>
      </x:c>
    </x:row>
    <x:row r="5">
      <x:c r="A5" t="n">
        <x:v>4</x:v>
      </x:c>
      <x:c r="B5" t="n">
        <x:v>0</x:v>
      </x:c>
      <x:c r="C5" t="n">
        <x:v>0</x:v>
      </x:c>
      <x:c r="D5" t="n">
        <x:f>SUM($C$2:C5)</x:f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f>J5-H5</x:f>
        <x:v>0</x:v>
      </x:c>
    </x:row>
    <x:row r="6">
      <x:c r="A6" t="n">
        <x:v>5</x:v>
      </x:c>
      <x:c r="B6" t="n">
        <x:v>0</x:v>
      </x:c>
      <x:c r="C6" t="n">
        <x:v>0</x:v>
      </x:c>
      <x:c r="D6" t="n">
        <x:f>SUM($C$2:C6)</x:f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f>J6-H6</x:f>
        <x:v>0</x:v>
      </x:c>
    </x:row>
    <x:row r="7">
      <x:c r="A7" t="n">
        <x:v>6</x:v>
      </x:c>
      <x:c r="B7" t="n">
        <x:v>0</x:v>
      </x:c>
      <x:c r="C7" t="n">
        <x:v>0</x:v>
      </x:c>
      <x:c r="D7" t="n">
        <x:f>SUM($C$2:C7)</x:f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f>J7-H7</x:f>
        <x:v>0</x:v>
      </x:c>
    </x:row>
    <x:row r="8">
      <x:c r="A8" t="n">
        <x:v>7</x:v>
      </x:c>
      <x:c r="B8" t="n">
        <x:v>0</x:v>
      </x:c>
      <x:c r="C8" t="n">
        <x:v>0</x:v>
      </x:c>
      <x:c r="D8" t="n">
        <x:f>SUM($C$2:C8)</x:f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f>J8-H8</x:f>
        <x:v>0</x:v>
      </x:c>
    </x:row>
    <x:row r="9">
      <x:c r="A9" t="n">
        <x:v>8</x:v>
      </x:c>
      <x:c r="B9" t="n">
        <x:v>0</x:v>
      </x:c>
      <x:c r="C9" t="n">
        <x:v>0</x:v>
      </x:c>
      <x:c r="D9" t="n">
        <x:f>SUM($C$2:C9)</x:f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f>J9-H9</x:f>
        <x:v>0</x:v>
      </x:c>
    </x:row>
    <x:row r="10">
      <x:c r="A10" t="n">
        <x:v>9</x:v>
      </x:c>
      <x:c r="B10" t="n">
        <x:v>0</x:v>
      </x:c>
      <x:c r="C10" t="n">
        <x:v>0</x:v>
      </x:c>
      <x:c r="D10" t="n">
        <x:f>SUM($C$2:C10)</x:f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f>J10-H10</x:f>
        <x:v>0</x:v>
      </x:c>
    </x:row>
    <x:row r="11">
      <x:c r="A11" t="n">
        <x:v>10</x:v>
      </x:c>
      <x:c r="B11" t="n">
        <x:v>0</x:v>
      </x:c>
      <x:c r="C11" t="n">
        <x:v>0</x:v>
      </x:c>
      <x:c r="D11" t="n">
        <x:f>SUM($C$2:C11)</x:f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f>J11-H11</x:f>
        <x:v>0</x:v>
      </x:c>
    </x:row>
    <x:row r="12">
      <x:c r="A12" t="n">
        <x:v>11</x:v>
      </x:c>
      <x:c r="B12" t="n">
        <x:v>0</x:v>
      </x:c>
      <x:c r="C12" t="n">
        <x:v>0</x:v>
      </x:c>
      <x:c r="D12" t="n">
        <x:f>SUM($C$2:C12)</x:f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f>J12-H12</x:f>
        <x:v>0</x:v>
      </x:c>
    </x:row>
    <x:row r="13">
      <x:c r="A13" t="n">
        <x:v>12</x:v>
      </x:c>
      <x:c r="B13" t="n">
        <x:v>0</x:v>
      </x:c>
      <x:c r="C13" t="n">
        <x:v>0</x:v>
      </x:c>
      <x:c r="D13" t="n">
        <x:f>SUM($C$2:C13)</x:f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f>J13-H13</x:f>
        <x:v>0</x:v>
      </x:c>
    </x:row>
    <x:row r="14">
      <x:c r="A14" t="n">
        <x:v>13</x:v>
      </x:c>
      <x:c r="B14" t="n">
        <x:v>0</x:v>
      </x:c>
      <x:c r="C14" t="n">
        <x:v>0</x:v>
      </x:c>
      <x:c r="D14" t="n">
        <x:f>SUM($C$2:C14)</x:f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f>J14-H14</x:f>
        <x:v>0</x:v>
      </x:c>
    </x:row>
    <x:row r="15">
      <x:c r="A15" t="n">
        <x:v>14</x:v>
      </x:c>
      <x:c r="B15" t="n">
        <x:v>0</x:v>
      </x:c>
      <x:c r="C15" t="n">
        <x:v>0</x:v>
      </x:c>
      <x:c r="D15" t="n">
        <x:f>SUM($C$2:C15)</x:f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f>J15-H15</x:f>
        <x:v>0</x:v>
      </x:c>
    </x:row>
    <x:row r="16">
      <x:c r="A16" t="n">
        <x:v>15</x:v>
      </x:c>
      <x:c r="B16" t="n">
        <x:v>0</x:v>
      </x:c>
      <x:c r="C16" t="n">
        <x:v>0</x:v>
      </x:c>
      <x:c r="D16" t="n">
        <x:f>SUM($C$2:C16)</x:f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f>J16-H16</x:f>
        <x:v>0</x:v>
      </x:c>
    </x:row>
    <x:row r="17">
      <x:c r="A17" t="n">
        <x:v>16</x:v>
      </x:c>
      <x:c r="B17" t="n">
        <x:v>0</x:v>
      </x:c>
      <x:c r="C17" t="n">
        <x:v>0</x:v>
      </x:c>
      <x:c r="D17" t="n">
        <x:f>SUM($C$2:C17)</x:f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f>J17-H17</x:f>
        <x:v>0</x:v>
      </x:c>
    </x:row>
    <x:row r="18">
      <x:c r="A18" t="n">
        <x:v>17</x:v>
      </x:c>
      <x:c r="B18" t="n">
        <x:v>0</x:v>
      </x:c>
      <x:c r="C18" t="n">
        <x:v>0</x:v>
      </x:c>
      <x:c r="D18" t="n">
        <x:f>SUM($C$2:C18)</x:f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f>J18-H18</x:f>
        <x:v>0</x:v>
      </x:c>
    </x:row>
    <x:row r="19">
      <x:c r="A19" t="n">
        <x:v>18</x:v>
      </x:c>
      <x:c r="B19" t="n">
        <x:v>0</x:v>
      </x:c>
      <x:c r="C19" t="n">
        <x:v>0</x:v>
      </x:c>
      <x:c r="D19" t="n">
        <x:f>SUM($C$2:C19)</x:f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f>J19-H19</x:f>
        <x:v>0</x:v>
      </x:c>
    </x:row>
    <x:row r="20">
      <x:c r="A20" t="n">
        <x:v>19</x:v>
      </x:c>
      <x:c r="B20" t="n">
        <x:v>0</x:v>
      </x:c>
      <x:c r="C20" t="n">
        <x:v>0</x:v>
      </x:c>
      <x:c r="D20" t="n">
        <x:f>SUM($C$2:C20)</x:f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f>J20-H20</x:f>
        <x:v>0</x:v>
      </x:c>
    </x:row>
    <x:row r="21">
      <x:c r="A21" t="n">
        <x:v>20</x:v>
      </x:c>
      <x:c r="B21" t="n">
        <x:v>0</x:v>
      </x:c>
      <x:c r="C21" t="n">
        <x:v>0</x:v>
      </x:c>
      <x:c r="D21" t="n">
        <x:f>SUM($C$2:C21)</x:f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f>J21-H21</x:f>
        <x:v>0</x:v>
      </x:c>
    </x:row>
    <x:row r="22">
      <x:c r="A22" t="n">
        <x:v>21</x:v>
      </x:c>
      <x:c r="B22" t="n">
        <x:v>0</x:v>
      </x:c>
      <x:c r="C22" t="n">
        <x:v>0</x:v>
      </x:c>
      <x:c r="D22" t="n">
        <x:f>SUM($C$2:C22)</x:f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f>J22-H22</x:f>
        <x:v>0</x:v>
      </x:c>
    </x:row>
    <x:row r="23">
      <x:c r="A23" t="n">
        <x:v>22</x:v>
      </x:c>
      <x:c r="B23" t="n">
        <x:v>0</x:v>
      </x:c>
      <x:c r="C23" t="n">
        <x:v>0</x:v>
      </x:c>
      <x:c r="D23" t="n">
        <x:f>SUM($C$2:C23)</x:f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f>J23-H23</x:f>
        <x:v>0</x:v>
      </x:c>
    </x:row>
    <x:row r="24">
      <x:c r="A24" t="n">
        <x:v>23</x:v>
      </x:c>
      <x:c r="B24" t="n">
        <x:v>0</x:v>
      </x:c>
      <x:c r="C24" t="n">
        <x:v>0</x:v>
      </x:c>
      <x:c r="D24" t="n">
        <x:f>SUM($C$2:C24)</x:f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f>J24-H24</x:f>
        <x:v>0</x:v>
      </x:c>
    </x:row>
    <x:row r="25">
      <x:c r="A25" t="n">
        <x:v>24</x:v>
      </x:c>
      <x:c r="B25" t="n">
        <x:v>0</x:v>
      </x:c>
      <x:c r="C25" t="n">
        <x:v>0</x:v>
      </x:c>
      <x:c r="D25" t="n">
        <x:f>SUM($C$2:C25)</x:f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f>J25-H25</x:f>
        <x:v>0</x:v>
      </x:c>
    </x:row>
    <x:row r="26">
      <x:c r="A26" t="n">
        <x:v>25</x:v>
      </x:c>
      <x:c r="B26" t="n">
        <x:v>0</x:v>
      </x:c>
      <x:c r="C26" t="n">
        <x:v>0</x:v>
      </x:c>
      <x:c r="D26" t="n">
        <x:f>SUM($C$2:C26)</x:f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f>J26-H26</x:f>
        <x:v>0</x:v>
      </x:c>
    </x:row>
    <x:row r="27">
      <x:c r="A27" t="n">
        <x:v>26</x:v>
      </x:c>
      <x:c r="B27" t="n">
        <x:v>0</x:v>
      </x:c>
      <x:c r="C27" t="n">
        <x:v>0</x:v>
      </x:c>
      <x:c r="D27" t="n">
        <x:f>SUM($C$2:C27)</x:f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f>J27-H27</x:f>
        <x:v>0</x:v>
      </x:c>
    </x:row>
    <x:row r="28">
      <x:c r="A28" t="n">
        <x:v>27</x:v>
      </x:c>
      <x:c r="B28" t="n">
        <x:v>0</x:v>
      </x:c>
      <x:c r="C28" t="n">
        <x:v>0</x:v>
      </x:c>
      <x:c r="D28" t="n">
        <x:f>SUM($C$2:C28)</x:f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f>J28-H28</x:f>
        <x:v>0</x:v>
      </x:c>
    </x:row>
    <x:row r="29">
      <x:c r="A29" t="n">
        <x:v>28</x:v>
      </x:c>
      <x:c r="B29" t="n">
        <x:v>0</x:v>
      </x:c>
      <x:c r="C29" t="n">
        <x:v>0</x:v>
      </x:c>
      <x:c r="D29" t="n">
        <x:f>SUM($C$2:C29)</x:f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f>J29-H29</x:f>
        <x:v>0</x:v>
      </x:c>
    </x:row>
    <x:row r="30">
      <x:c r="A30" t="n">
        <x:v>29</x:v>
      </x:c>
      <x:c r="B30" t="n">
        <x:v>0</x:v>
      </x:c>
      <x:c r="C30" t="n">
        <x:v>0</x:v>
      </x:c>
      <x:c r="D30" t="n">
        <x:f>SUM($C$2:C30)</x:f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f>J30-H30</x:f>
        <x:v>0</x:v>
      </x:c>
    </x:row>
    <x:row r="31">
      <x:c r="A31" t="n">
        <x:v>30</x:v>
      </x:c>
      <x:c r="B31" t="n">
        <x:v>0</x:v>
      </x:c>
      <x:c r="C31" t="n">
        <x:v>0</x:v>
      </x:c>
      <x:c r="D31" t="n">
        <x:f>SUM($C$2:C31)</x:f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f>J31-H31</x:f>
        <x:v>0</x:v>
      </x:c>
    </x:row>
    <x:row r="32">
      <x:c r="A32" t="n">
        <x:v>31</x:v>
      </x:c>
      <x:c r="B32" t="n">
        <x:v>0</x:v>
      </x:c>
      <x:c r="C32" t="n">
        <x:v>0</x:v>
      </x:c>
      <x:c r="D32" t="n">
        <x:f>SUM($C$2:C32)</x:f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f>J32-H32</x:f>
        <x:v>0</x:v>
      </x:c>
    </x:row>
    <x:row r="33">
      <x:c r="A33" t="n">
        <x:v>32</x:v>
      </x:c>
      <x:c r="B33" t="n">
        <x:v>0</x:v>
      </x:c>
      <x:c r="C33" t="n">
        <x:v>0</x:v>
      </x:c>
      <x:c r="D33" t="n">
        <x:f>SUM($C$2:C33)</x:f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f>J33-H33</x:f>
        <x:v>0</x:v>
      </x:c>
    </x:row>
    <x:row r="34">
      <x:c r="A34" t="n">
        <x:v>33</x:v>
      </x:c>
      <x:c r="B34" t="n">
        <x:v>0</x:v>
      </x:c>
      <x:c r="C34" t="n">
        <x:v>0</x:v>
      </x:c>
      <x:c r="D34" t="n">
        <x:f>SUM($C$2:C34)</x:f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f>J34-H34</x:f>
        <x:v>0</x:v>
      </x:c>
    </x:row>
    <x:row r="35">
      <x:c r="A35" t="n">
        <x:v>34</x:v>
      </x:c>
      <x:c r="B35" t="n">
        <x:v>0</x:v>
      </x:c>
      <x:c r="C35" t="n">
        <x:v>0</x:v>
      </x:c>
      <x:c r="D35" t="n">
        <x:f>SUM($C$2:C35)</x:f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f>J35-H35</x:f>
        <x:v>0</x:v>
      </x:c>
    </x:row>
    <x:row r="36">
      <x:c r="A36" t="n">
        <x:v>35</x:v>
      </x:c>
      <x:c r="B36" t="n">
        <x:v>0</x:v>
      </x:c>
      <x:c r="C36" t="n">
        <x:v>0</x:v>
      </x:c>
      <x:c r="D36" t="n">
        <x:f>SUM($C$2:C36)</x:f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f>J36-H36</x:f>
        <x:v>0</x:v>
      </x:c>
    </x:row>
    <x:row r="37">
      <x:c r="A37" t="n">
        <x:v>36</x:v>
      </x:c>
      <x:c r="B37" t="n">
        <x:v>0</x:v>
      </x:c>
      <x:c r="C37" t="n">
        <x:v>0</x:v>
      </x:c>
      <x:c r="D37" t="n">
        <x:f>SUM($C$2:C37)</x:f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f>J37-H37</x:f>
        <x:v>0</x:v>
      </x:c>
    </x:row>
    <x:row r="38">
      <x:c r="A38" t="n">
        <x:v>37</x:v>
      </x:c>
      <x:c r="B38" t="n">
        <x:v>0</x:v>
      </x:c>
      <x:c r="C38" t="n">
        <x:v>0</x:v>
      </x:c>
      <x:c r="D38" t="n">
        <x:f>SUM($C$2:C38)</x:f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f>J38-H38</x:f>
        <x:v>0</x:v>
      </x:c>
    </x:row>
    <x:row r="39">
      <x:c r="A39" t="n">
        <x:v>38</x:v>
      </x:c>
      <x:c r="B39" t="n">
        <x:v>0</x:v>
      </x:c>
      <x:c r="C39" t="n">
        <x:v>0</x:v>
      </x:c>
      <x:c r="D39" t="n">
        <x:f>SUM($C$2:C39)</x:f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f>J39-H39</x:f>
        <x:v>0</x:v>
      </x:c>
    </x:row>
    <x:row r="40">
      <x:c r="A40" t="n">
        <x:v>39</x:v>
      </x:c>
      <x:c r="B40" t="n">
        <x:v>0</x:v>
      </x:c>
      <x:c r="C40" t="n">
        <x:v>0</x:v>
      </x:c>
      <x:c r="D40" t="n">
        <x:f>SUM($C$2:C40)</x:f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f>J40-H40</x:f>
        <x:v>0</x:v>
      </x:c>
    </x:row>
    <x:row r="41">
      <x:c r="A41" t="n">
        <x:v>40</x:v>
      </x:c>
      <x:c r="B41" t="n">
        <x:v>0</x:v>
      </x:c>
      <x:c r="C41" t="n">
        <x:v>0</x:v>
      </x:c>
      <x:c r="D41" t="n">
        <x:f>SUM($C$2:C41)</x:f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f>J41-H41</x:f>
        <x:v>0</x:v>
      </x:c>
    </x:row>
    <x:row r="42">
      <x:c r="A42" t="n">
        <x:v>41</x:v>
      </x:c>
      <x:c r="B42" t="n">
        <x:v>0</x:v>
      </x:c>
      <x:c r="C42" t="n">
        <x:v>0</x:v>
      </x:c>
      <x:c r="D42" t="n">
        <x:f>SUM($C$2:C42)</x:f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f>J42-H42</x:f>
        <x:v>0</x:v>
      </x:c>
    </x:row>
    <x:row r="43">
      <x:c r="A43" t="n">
        <x:v>42</x:v>
      </x:c>
      <x:c r="B43" t="n">
        <x:v>0</x:v>
      </x:c>
      <x:c r="C43" t="n">
        <x:v>0</x:v>
      </x:c>
      <x:c r="D43" t="n">
        <x:f>SUM($C$2:C43)</x:f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f>J43-H43</x:f>
        <x:v>0</x:v>
      </x:c>
    </x:row>
    <x:row r="44">
      <x:c r="A44" t="n">
        <x:v>43</x:v>
      </x:c>
      <x:c r="B44" t="n">
        <x:v>0</x:v>
      </x:c>
      <x:c r="C44" t="n">
        <x:v>0</x:v>
      </x:c>
      <x:c r="D44" t="n">
        <x:f>SUM($C$2:C44)</x:f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f>J44-H44</x:f>
        <x:v>0</x:v>
      </x:c>
    </x:row>
    <x:row r="45">
      <x:c r="A45" t="n">
        <x:v>44</x:v>
      </x:c>
      <x:c r="B45" t="n">
        <x:v>0</x:v>
      </x:c>
      <x:c r="C45" t="n">
        <x:v>0</x:v>
      </x:c>
      <x:c r="D45" t="n">
        <x:f>SUM($C$2:C45)</x:f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f>J45-H45</x:f>
        <x:v>0</x:v>
      </x:c>
    </x:row>
    <x:row r="46">
      <x:c r="A46" t="n">
        <x:v>45</x:v>
      </x:c>
      <x:c r="B46" t="n">
        <x:v>0</x:v>
      </x:c>
      <x:c r="C46" t="n">
        <x:v>0</x:v>
      </x:c>
      <x:c r="D46" t="n">
        <x:f>SUM($C$2:C46)</x:f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f>J46-H46</x:f>
        <x:v>0</x:v>
      </x:c>
    </x:row>
    <x:row r="47">
      <x:c r="A47" t="n">
        <x:v>46</x:v>
      </x:c>
      <x:c r="B47" t="n">
        <x:v>0</x:v>
      </x:c>
      <x:c r="C47" t="n">
        <x:v>0</x:v>
      </x:c>
      <x:c r="D47" t="n">
        <x:f>SUM($C$2:C47)</x:f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f>J47-H47</x:f>
        <x:v>0</x:v>
      </x:c>
    </x:row>
    <x:row r="48">
      <x:c r="A48" t="n">
        <x:v>47</x:v>
      </x:c>
      <x:c r="B48" t="n">
        <x:v>0</x:v>
      </x:c>
      <x:c r="C48" t="n">
        <x:v>0</x:v>
      </x:c>
      <x:c r="D48" t="n">
        <x:f>SUM($C$2:C48)</x:f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f>J48-H48</x:f>
        <x:v>0</x:v>
      </x:c>
    </x:row>
    <x:row r="49">
      <x:c r="A49" t="n">
        <x:v>48</x:v>
      </x:c>
      <x:c r="B49" t="n">
        <x:v>0</x:v>
      </x:c>
      <x:c r="C49" t="n">
        <x:v>0</x:v>
      </x:c>
      <x:c r="D49" t="n">
        <x:f>SUM($C$2:C49)</x:f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f>J49-H49</x:f>
        <x:v>0</x:v>
      </x:c>
    </x:row>
    <x:row r="50">
      <x:c r="A50" t="n">
        <x:v>49</x:v>
      </x:c>
      <x:c r="B50" t="n">
        <x:v>0</x:v>
      </x:c>
      <x:c r="C50" t="n">
        <x:v>0</x:v>
      </x:c>
      <x:c r="D50" t="n">
        <x:f>SUM($C$2:C50)</x:f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f>J50-H50</x:f>
        <x:v>0</x:v>
      </x:c>
    </x:row>
    <x:row r="51">
      <x:c r="A51" t="n">
        <x:v>50</x:v>
      </x:c>
      <x:c r="B51" t="n">
        <x:v>0</x:v>
      </x:c>
      <x:c r="C51" t="n">
        <x:v>0</x:v>
      </x:c>
      <x:c r="D51" t="n">
        <x:f>SUM($C$2:C51)</x:f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f>J51-H51</x:f>
        <x:v>0</x:v>
      </x:c>
    </x:row>
    <x:row r="52">
      <x:c r="A52" t="n">
        <x:v>51</x:v>
      </x:c>
      <x:c r="B52" t="n">
        <x:v>0</x:v>
      </x:c>
      <x:c r="C52" t="n">
        <x:v>0</x:v>
      </x:c>
      <x:c r="D52" t="n">
        <x:f>SUM($C$2:C52)</x:f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f>J52-H52</x:f>
        <x:v>0</x:v>
      </x:c>
    </x:row>
    <x:row r="53">
      <x:c r="A53" t="n">
        <x:v>52</x:v>
      </x:c>
      <x:c r="B53" t="n">
        <x:v>0</x:v>
      </x:c>
      <x:c r="C53" t="n">
        <x:v>0</x:v>
      </x:c>
      <x:c r="D53" t="n">
        <x:f>SUM($C$2:C53)</x:f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f>J53-H53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2" customHeight="1">
      <x:c r="A1" s="4" t="str">
        <x:v>Decision ID</x:v>
      </x:c>
      <x:c r="B1" s="4" t="str">
        <x:v>Decision / recovery action</x:v>
      </x:c>
      <x:c r="C1" s="4" t="str">
        <x:v>Package</x:v>
      </x:c>
      <x:c r="D1" s="4" t="str">
        <x:v>Requested by</x:v>
      </x:c>
      <x:c r="E1" s="4" t="str">
        <x:v>Owner</x:v>
      </x:c>
      <x:c r="F1" s="4" t="str">
        <x:v>Needed by</x:v>
      </x:c>
      <x:c r="G1" s="4" t="str">
        <x:v>Incremental cost INR</x:v>
      </x:c>
      <x:c r="H1" s="4" t="str">
        <x:v>Forecast days saved</x:v>
      </x:c>
      <x:c r="I1" s="4" t="str">
        <x:v>Status</x:v>
      </x:c>
      <x:c r="J1" s="4" t="str">
        <x:v>Approval evidence</x:v>
      </x:c>
    </x:row>
    <x:row r="2">
      <x:c r="A2" t="str">
        <x:v>DEC-001</x:v>
      </x:c>
      <x:c r="B2" t="str"/>
      <x:c r="C2" t="str"/>
      <x:c r="D2" t="str"/>
      <x:c r="E2" t="str"/>
      <x:c r="F2" t="str"/>
      <x:c r="G2" t="n">
        <x:v>0</x:v>
      </x:c>
      <x:c r="H2" t="n">
        <x:v>0</x:v>
      </x:c>
      <x:c r="I2" t="str">
        <x:v>OPEN</x:v>
      </x:c>
      <x:c r="J2" t="str"/>
    </x:row>
    <x:row r="3">
      <x:c r="A3" t="str">
        <x:v>DEC-002</x:v>
      </x:c>
      <x:c r="B3" t="str"/>
      <x:c r="C3" t="str"/>
      <x:c r="D3" t="str"/>
      <x:c r="E3" t="str"/>
      <x:c r="F3" t="str"/>
      <x:c r="G3" t="n">
        <x:v>0</x:v>
      </x:c>
      <x:c r="H3" t="n">
        <x:v>0</x:v>
      </x:c>
      <x:c r="I3" t="str">
        <x:v>OPEN</x:v>
      </x:c>
      <x:c r="J3" t="str"/>
    </x:row>
    <x:row r="4">
      <x:c r="A4" t="str">
        <x:v>DEC-003</x:v>
      </x:c>
      <x:c r="B4" t="str"/>
      <x:c r="C4" t="str"/>
      <x:c r="D4" t="str"/>
      <x:c r="E4" t="str"/>
      <x:c r="F4" t="str"/>
      <x:c r="G4" t="n">
        <x:v>0</x:v>
      </x:c>
      <x:c r="H4" t="n">
        <x:v>0</x:v>
      </x:c>
      <x:c r="I4" t="str">
        <x:v>OPEN</x:v>
      </x:c>
      <x:c r="J4" t="str"/>
    </x:row>
    <x:row r="5">
      <x:c r="A5" t="str">
        <x:v>DEC-004</x:v>
      </x:c>
      <x:c r="B5" t="str"/>
      <x:c r="C5" t="str"/>
      <x:c r="D5" t="str"/>
      <x:c r="E5" t="str"/>
      <x:c r="F5" t="str"/>
      <x:c r="G5" t="n">
        <x:v>0</x:v>
      </x:c>
      <x:c r="H5" t="n">
        <x:v>0</x:v>
      </x:c>
      <x:c r="I5" t="str">
        <x:v>OPEN</x:v>
      </x:c>
      <x:c r="J5" t="str"/>
    </x:row>
    <x:row r="6">
      <x:c r="A6" t="str">
        <x:v>DEC-005</x:v>
      </x:c>
      <x:c r="B6" t="str"/>
      <x:c r="C6" t="str"/>
      <x:c r="D6" t="str"/>
      <x:c r="E6" t="str"/>
      <x:c r="F6" t="str"/>
      <x:c r="G6" t="n">
        <x:v>0</x:v>
      </x:c>
      <x:c r="H6" t="n">
        <x:v>0</x:v>
      </x:c>
      <x:c r="I6" t="str">
        <x:v>OPEN</x:v>
      </x:c>
      <x:c r="J6" t="str"/>
    </x:row>
    <x:row r="7">
      <x:c r="A7" t="str">
        <x:v>DEC-006</x:v>
      </x:c>
      <x:c r="B7" t="str"/>
      <x:c r="C7" t="str"/>
      <x:c r="D7" t="str"/>
      <x:c r="E7" t="str"/>
      <x:c r="F7" t="str"/>
      <x:c r="G7" t="n">
        <x:v>0</x:v>
      </x:c>
      <x:c r="H7" t="n">
        <x:v>0</x:v>
      </x:c>
      <x:c r="I7" t="str">
        <x:v>OPEN</x:v>
      </x:c>
      <x:c r="J7" t="str"/>
    </x:row>
    <x:row r="8">
      <x:c r="A8" t="str">
        <x:v>DEC-007</x:v>
      </x:c>
      <x:c r="B8" t="str"/>
      <x:c r="C8" t="str"/>
      <x:c r="D8" t="str"/>
      <x:c r="E8" t="str"/>
      <x:c r="F8" t="str"/>
      <x:c r="G8" t="n">
        <x:v>0</x:v>
      </x:c>
      <x:c r="H8" t="n">
        <x:v>0</x:v>
      </x:c>
      <x:c r="I8" t="str">
        <x:v>OPEN</x:v>
      </x:c>
      <x:c r="J8" t="str"/>
    </x:row>
    <x:row r="9">
      <x:c r="A9" t="str">
        <x:v>DEC-008</x:v>
      </x:c>
      <x:c r="B9" t="str"/>
      <x:c r="C9" t="str"/>
      <x:c r="D9" t="str"/>
      <x:c r="E9" t="str"/>
      <x:c r="F9" t="str"/>
      <x:c r="G9" t="n">
        <x:v>0</x:v>
      </x:c>
      <x:c r="H9" t="n">
        <x:v>0</x:v>
      </x:c>
      <x:c r="I9" t="str">
        <x:v>OPEN</x:v>
      </x:c>
      <x:c r="J9" t="str"/>
    </x:row>
    <x:row r="10">
      <x:c r="A10" t="str">
        <x:v>DEC-009</x:v>
      </x:c>
      <x:c r="B10" t="str"/>
      <x:c r="C10" t="str"/>
      <x:c r="D10" t="str"/>
      <x:c r="E10" t="str"/>
      <x:c r="F10" t="str"/>
      <x:c r="G10" t="n">
        <x:v>0</x:v>
      </x:c>
      <x:c r="H10" t="n">
        <x:v>0</x:v>
      </x:c>
      <x:c r="I10" t="str">
        <x:v>OPEN</x:v>
      </x:c>
      <x:c r="J10" t="str"/>
    </x:row>
    <x:row r="11">
      <x:c r="A11" t="str">
        <x:v>DEC-010</x:v>
      </x:c>
      <x:c r="B11" t="str"/>
      <x:c r="C11" t="str"/>
      <x:c r="D11" t="str"/>
      <x:c r="E11" t="str"/>
      <x:c r="F11" t="str"/>
      <x:c r="G11" t="n">
        <x:v>0</x:v>
      </x:c>
      <x:c r="H11" t="n">
        <x:v>0</x:v>
      </x:c>
      <x:c r="I11" t="str">
        <x:v>OPEN</x:v>
      </x:c>
      <x:c r="J11" t="str"/>
    </x:row>
    <x:row r="12">
      <x:c r="A12" t="str">
        <x:v>DEC-011</x:v>
      </x:c>
      <x:c r="B12" t="str"/>
      <x:c r="C12" t="str"/>
      <x:c r="D12" t="str"/>
      <x:c r="E12" t="str"/>
      <x:c r="F12" t="str"/>
      <x:c r="G12" t="n">
        <x:v>0</x:v>
      </x:c>
      <x:c r="H12" t="n">
        <x:v>0</x:v>
      </x:c>
      <x:c r="I12" t="str">
        <x:v>OPEN</x:v>
      </x:c>
      <x:c r="J12" t="str"/>
    </x:row>
    <x:row r="13">
      <x:c r="A13" t="str">
        <x:v>DEC-012</x:v>
      </x:c>
      <x:c r="B13" t="str"/>
      <x:c r="C13" t="str"/>
      <x:c r="D13" t="str"/>
      <x:c r="E13" t="str"/>
      <x:c r="F13" t="str"/>
      <x:c r="G13" t="n">
        <x:v>0</x:v>
      </x:c>
      <x:c r="H13" t="n">
        <x:v>0</x:v>
      </x:c>
      <x:c r="I13" t="str">
        <x:v>OPEN</x:v>
      </x:c>
      <x:c r="J13" t="str"/>
    </x:row>
    <x:row r="14">
      <x:c r="A14" t="str">
        <x:v>DEC-013</x:v>
      </x:c>
      <x:c r="B14" t="str"/>
      <x:c r="C14" t="str"/>
      <x:c r="D14" t="str"/>
      <x:c r="E14" t="str"/>
      <x:c r="F14" t="str"/>
      <x:c r="G14" t="n">
        <x:v>0</x:v>
      </x:c>
      <x:c r="H14" t="n">
        <x:v>0</x:v>
      </x:c>
      <x:c r="I14" t="str">
        <x:v>OPEN</x:v>
      </x:c>
      <x:c r="J14" t="str"/>
    </x:row>
    <x:row r="15">
      <x:c r="A15" t="str">
        <x:v>DEC-014</x:v>
      </x:c>
      <x:c r="B15" t="str"/>
      <x:c r="C15" t="str"/>
      <x:c r="D15" t="str"/>
      <x:c r="E15" t="str"/>
      <x:c r="F15" t="str"/>
      <x:c r="G15" t="n">
        <x:v>0</x:v>
      </x:c>
      <x:c r="H15" t="n">
        <x:v>0</x:v>
      </x:c>
      <x:c r="I15" t="str">
        <x:v>OPEN</x:v>
      </x:c>
      <x:c r="J15" t="str"/>
    </x:row>
    <x:row r="16">
      <x:c r="A16" t="str">
        <x:v>DEC-015</x:v>
      </x:c>
      <x:c r="B16" t="str"/>
      <x:c r="C16" t="str"/>
      <x:c r="D16" t="str"/>
      <x:c r="E16" t="str"/>
      <x:c r="F16" t="str"/>
      <x:c r="G16" t="n">
        <x:v>0</x:v>
      </x:c>
      <x:c r="H16" t="n">
        <x:v>0</x:v>
      </x:c>
      <x:c r="I16" t="str">
        <x:v>OPEN</x:v>
      </x:c>
      <x:c r="J16" t="str"/>
    </x:row>
    <x:row r="17">
      <x:c r="A17" t="str">
        <x:v>DEC-016</x:v>
      </x:c>
      <x:c r="B17" t="str"/>
      <x:c r="C17" t="str"/>
      <x:c r="D17" t="str"/>
      <x:c r="E17" t="str"/>
      <x:c r="F17" t="str"/>
      <x:c r="G17" t="n">
        <x:v>0</x:v>
      </x:c>
      <x:c r="H17" t="n">
        <x:v>0</x:v>
      </x:c>
      <x:c r="I17" t="str">
        <x:v>OPEN</x:v>
      </x:c>
      <x:c r="J17" t="str"/>
    </x:row>
    <x:row r="18">
      <x:c r="A18" t="str">
        <x:v>DEC-017</x:v>
      </x:c>
      <x:c r="B18" t="str"/>
      <x:c r="C18" t="str"/>
      <x:c r="D18" t="str"/>
      <x:c r="E18" t="str"/>
      <x:c r="F18" t="str"/>
      <x:c r="G18" t="n">
        <x:v>0</x:v>
      </x:c>
      <x:c r="H18" t="n">
        <x:v>0</x:v>
      </x:c>
      <x:c r="I18" t="str">
        <x:v>OPEN</x:v>
      </x:c>
      <x:c r="J18" t="str"/>
    </x:row>
    <x:row r="19">
      <x:c r="A19" t="str">
        <x:v>DEC-018</x:v>
      </x:c>
      <x:c r="B19" t="str"/>
      <x:c r="C19" t="str"/>
      <x:c r="D19" t="str"/>
      <x:c r="E19" t="str"/>
      <x:c r="F19" t="str"/>
      <x:c r="G19" t="n">
        <x:v>0</x:v>
      </x:c>
      <x:c r="H19" t="n">
        <x:v>0</x:v>
      </x:c>
      <x:c r="I19" t="str">
        <x:v>OPEN</x:v>
      </x:c>
      <x:c r="J19" t="str"/>
    </x:row>
    <x:row r="20">
      <x:c r="A20" t="str">
        <x:v>DEC-019</x:v>
      </x:c>
      <x:c r="B20" t="str"/>
      <x:c r="C20" t="str"/>
      <x:c r="D20" t="str"/>
      <x:c r="E20" t="str"/>
      <x:c r="F20" t="str"/>
      <x:c r="G20" t="n">
        <x:v>0</x:v>
      </x:c>
      <x:c r="H20" t="n">
        <x:v>0</x:v>
      </x:c>
      <x:c r="I20" t="str">
        <x:v>OPEN</x:v>
      </x:c>
      <x:c r="J20" t="str"/>
    </x:row>
    <x:row r="21">
      <x:c r="A21" t="str">
        <x:v>DEC-020</x:v>
      </x:c>
      <x:c r="B21" t="str"/>
      <x:c r="C21" t="str"/>
      <x:c r="D21" t="str"/>
      <x:c r="E21" t="str"/>
      <x:c r="F21" t="str"/>
      <x:c r="G21" t="n">
        <x:v>0</x:v>
      </x:c>
      <x:c r="H21" t="n">
        <x:v>0</x:v>
      </x:c>
      <x:c r="I21" t="str">
        <x:v>OPEN</x:v>
      </x:c>
      <x:c r="J2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7" hidden="0" customWidth="1"/>
    <x:col min="3" max="3" width="37" hidden="0" customWidth="1"/>
    <x:col min="4" max="4" width="37" hidden="0" customWidth="1"/>
  </x:cols>
  <x:sheetData>
    <x:row r="1" ht="32" customHeight="1">
      <x:c r="A1" s="4" t="str">
        <x:v>Gate</x:v>
      </x:c>
      <x:c r="B1" s="4" t="str">
        <x:v>Required evidence</x:v>
      </x:c>
      <x:c r="C1" s="4" t="str">
        <x:v>Authority</x:v>
      </x:c>
      <x:c r="D1" s="4" t="str">
        <x:v>Release status</x:v>
      </x:c>
    </x:row>
    <x:row r="2">
      <x:c r="A2" t="str">
        <x:v>Design</x:v>
      </x:c>
      <x:c r="B2" t="str">
        <x:v>Approved calculations, drawings, interfaces</x:v>
      </x:c>
      <x:c r="C2" t="str">
        <x:v>Qualified offshore engineer / ONGC as applicable</x:v>
      </x:c>
      <x:c r="D2" t="str">
        <x:v>HOLD</x:v>
      </x:c>
    </x:row>
    <x:row r="3">
      <x:c r="A3" t="str">
        <x:v>Materials</x:v>
      </x:c>
      <x:c r="B3" t="str">
        <x:v>Traceability, certificates, acceptance</x:v>
      </x:c>
      <x:c r="C3" t="str">
        <x:v>QA/QC</x:v>
      </x:c>
      <x:c r="D3" t="str">
        <x:v>HOLD</x:v>
      </x:c>
    </x:row>
    <x:row r="4">
      <x:c r="A4" t="str">
        <x:v>Fabrication</x:v>
      </x:c>
      <x:c r="B4" t="str">
        <x:v>Weld, NDT, dimensions, coating</x:v>
      </x:c>
      <x:c r="C4" t="str">
        <x:v>QA/QC</x:v>
      </x:c>
      <x:c r="D4" t="str">
        <x:v>HOLD</x:v>
      </x:c>
    </x:row>
    <x:row r="5">
      <x:c r="A5" t="str">
        <x:v>Marine</x:v>
      </x:c>
      <x:c r="B5" t="str">
        <x:v>Vessel capability, loadout, sea fastening</x:v>
      </x:c>
      <x:c r="C5" t="str">
        <x:v>Marine warranty / competent authority</x:v>
      </x:c>
      <x:c r="D5" t="str">
        <x:v>HOLD</x:v>
      </x:c>
    </x:row>
    <x:row r="6">
      <x:c r="A6" t="str">
        <x:v>Lift</x:v>
      </x:c>
      <x:c r="B6" t="str">
        <x:v>Weight, COG, lift points, crane/radius</x:v>
      </x:c>
      <x:c r="C6" t="str">
        <x:v>Qualified lift engineer</x:v>
      </x:c>
      <x:c r="D6" t="str">
        <x:v>HOLD</x:v>
      </x:c>
    </x:row>
    <x:row r="7">
      <x:c r="A7" t="str">
        <x:v>Access</x:v>
      </x:c>
      <x:c r="B7" t="str">
        <x:v>Permits, SIMOPS, isolations</x:v>
      </x:c>
      <x:c r="C7" t="str">
        <x:v>ONGC operations</x:v>
      </x:c>
      <x:c r="D7" t="str">
        <x:v>HOLD</x:v>
      </x:c>
    </x:row>
    <x:row r="8">
      <x:c r="A8" t="str">
        <x:v>Demolition</x:v>
      </x:c>
      <x:c r="B8" t="str">
        <x:v>Temporary stability, utilities, removal sequence</x:v>
      </x:c>
      <x:c r="C8" t="str">
        <x:v>Qualified engineer and ONGC</x:v>
      </x:c>
      <x:c r="D8" t="str">
        <x:v>HOLD</x:v>
      </x:c>
    </x:row>
    <x:row r="9">
      <x:c r="A9" t="str">
        <x:v>Handover</x:v>
      </x:c>
      <x:c r="B9" t="str">
        <x:v>Punch closure, dossiers, quantities</x:v>
      </x:c>
      <x:c r="C9" t="str">
        <x:v>ONGC acceptance</x:v>
      </x:c>
      <x:c r="D9" t="str">
        <x:v>HOLD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</x:cols>
  <x:sheetData>
    <x:row r="1" ht="32" customHeight="1">
      <x:c r="A1" s="4" t="str">
        <x:v>Type</x:v>
      </x:c>
      <x:c r="B1" s="4" t="str">
        <x:v>Item</x:v>
      </x:c>
      <x:c r="C1" s="4" t="str">
        <x:v>Basis / action</x:v>
      </x:c>
    </x:row>
    <x:row r="2">
      <x:c r="A2" t="str">
        <x:v>Carry-forward</x:v>
      </x:c>
      <x:c r="B2" t="str">
        <x:v>Structural 1,141 / 1,142 MT</x:v>
      </x:c>
      <x:c r="C2" t="str">
        <x:v>Reconcile against controlling MTO before procurement</x:v>
      </x:c>
    </x:row>
    <x:row r="3">
      <x:c r="A3" t="str">
        <x:v>Carry-forward</x:v>
      </x:c>
      <x:c r="B3" t="str">
        <x:v>Demolition 357 MT</x:v>
      </x:c>
      <x:c r="C3" t="str">
        <x:v>Verify allocation to individual bridges</x:v>
      </x:c>
    </x:row>
    <x:row r="4">
      <x:c r="A4" t="str">
        <x:v>Scenario</x:v>
      </x:c>
      <x:c r="B4" t="str">
        <x:v>NOA 1 Nov 2026</x:v>
      </x:c>
      <x:c r="C4" t="str">
        <x:v>Not awarded; actual commencement per contract</x:v>
      </x:c>
    </x:row>
    <x:row r="5">
      <x:c r="A5" t="str">
        <x:v>Scenario</x:v>
      </x:c>
      <x:c r="B5" t="str">
        <x:v>15 May offshore boundary</x:v>
      </x:c>
      <x:c r="C5" t="str">
        <x:v>Verify weather and contract monsoon rules</x:v>
      </x:c>
    </x:row>
    <x:row r="6">
      <x:c r="A6" t="str">
        <x:v>Not verified</x:v>
      </x:c>
      <x:c r="B6" t="str">
        <x:v>Crew productivity / vessel days</x:v>
      </x:c>
      <x:c r="C6" t="str">
        <x:v>Replace prior illustrative figures with supplier and engineer evidence</x:v>
      </x:c>
    </x:row>
    <x:row r="7">
      <x:c r="A7" t="str">
        <x:v>Reference</x:v>
      </x:c>
      <x:c r="B7" t="str">
        <x:v>McDermott offshore</x:v>
      </x:c>
      <x:c r="C7" t="str">
        <x:v>https://www.mcdermott.com/solutions/offshore</x:v>
      </x:c>
    </x:row>
    <x:row r="8">
      <x:c r="A8" t="str">
        <x:v>Reference</x:v>
      </x:c>
      <x:c r="B8" t="str">
        <x:v>Saipem offshore</x:v>
      </x:c>
      <x:c r="C8" t="str">
        <x:v>https://www.saipem.com/en/solutions-energy-transition/offshore</x:v>
      </x:c>
    </x:row>
    <x:row r="9">
      <x:c r="A9" t="str">
        <x:v>Reference</x:v>
      </x:c>
      <x:c r="B9" t="str">
        <x:v>Oracle resource levelling</x:v>
      </x:c>
      <x:c r="C9" t="str">
        <x:v>https://docs.oracle.com/cd/G48902_01/client_help/en_US/level_resources.htm</x:v>
      </x:c>
    </x:row>
    <x:row r="10">
      <x:c r="A10" t="str">
        <x:v>Instruction</x:v>
      </x:c>
      <x:c r="B10" t="str">
        <x:v>Daily update</x:v>
      </x:c>
      <x:c r="C10" t="str">
        <x:v>Update accepted quantities, resource commitments, constraints and cash</x:v>
      </x:c>
    </x:row>
    <x:row r="11">
      <x:c r="A11" t="str">
        <x:v>Instruction</x:v>
      </x:c>
      <x:c r="B11" t="str">
        <x:v>Weekly decision</x:v>
      </x:c>
      <x:c r="C11" t="str">
        <x:v>Review gaps and resource-levelled schedule; authorise recovery only after cost-benefit review</x:v>
      </x:c>
    </x:row>
  </x:sheetData>
  <x:pageMargins left="0.7" right="0.7" top="0.75" bottom="0.75" header="0.3" footer="0.3"/>
</x:worksheet>
</file>