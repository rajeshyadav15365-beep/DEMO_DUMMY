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EO Decisions" sheetId="2" state="visible" r:id="rId2"/>
    <sheet xmlns:r="http://schemas.openxmlformats.org/officeDocument/2006/relationships" name="A-Z Execution Plan" sheetId="3" state="visible" r:id="rId3"/>
    <sheet xmlns:r="http://schemas.openxmlformats.org/officeDocument/2006/relationships" name="Source Coverage" sheetId="4" state="visible" r:id="rId4"/>
    <sheet xmlns:r="http://schemas.openxmlformats.org/officeDocument/2006/relationships" name="Earlier P13 Coverage" sheetId="5" state="visible" r:id="rId5"/>
    <sheet xmlns:r="http://schemas.openxmlformats.org/officeDocument/2006/relationships" name="Requirements" sheetId="6" state="visible" r:id="rId6"/>
    <sheet xmlns:r="http://schemas.openxmlformats.org/officeDocument/2006/relationships" name="Bridge MTO" sheetId="7" state="visible" r:id="rId7"/>
    <sheet xmlns:r="http://schemas.openxmlformats.org/officeDocument/2006/relationships" name="MTO Reconciliation" sheetId="8" state="visible" r:id="rId8"/>
    <sheet xmlns:r="http://schemas.openxmlformats.org/officeDocument/2006/relationships" name="Design Basis" sheetId="9" state="visible" r:id="rId9"/>
    <sheet xmlns:r="http://schemas.openxmlformats.org/officeDocument/2006/relationships" name="Engineering DCI" sheetId="10" state="visible" r:id="rId10"/>
    <sheet xmlns:r="http://schemas.openxmlformats.org/officeDocument/2006/relationships" name="Tender GA Mapping" sheetId="11" state="visible" r:id="rId11"/>
    <sheet xmlns:r="http://schemas.openxmlformats.org/officeDocument/2006/relationships" name="Procurement 25" sheetId="12" state="visible" r:id="rId12"/>
    <sheet xmlns:r="http://schemas.openxmlformats.org/officeDocument/2006/relationships" name="Workpack Readiness" sheetId="13" state="visible" r:id="rId13"/>
    <sheet xmlns:r="http://schemas.openxmlformats.org/officeDocument/2006/relationships" name="Resource Commitments" sheetId="14" state="visible" r:id="rId14"/>
    <sheet xmlns:r="http://schemas.openxmlformats.org/officeDocument/2006/relationships" name="Schedule 285" sheetId="15" state="visible" r:id="rId15"/>
    <sheet xmlns:r="http://schemas.openxmlformats.org/officeDocument/2006/relationships" name="Driving Chain" sheetId="16" state="visible" r:id="rId16"/>
    <sheet xmlns:r="http://schemas.openxmlformats.org/officeDocument/2006/relationships" name="Schedule Scenarios" sheetId="17" state="visible" r:id="rId17"/>
    <sheet xmlns:r="http://schemas.openxmlformats.org/officeDocument/2006/relationships" name="Calendars and Method" sheetId="18" state="visible" r:id="rId18"/>
    <sheet xmlns:r="http://schemas.openxmlformats.org/officeDocument/2006/relationships" name="Risk Register" sheetId="19" state="visible" r:id="rId19"/>
    <sheet xmlns:r="http://schemas.openxmlformats.org/officeDocument/2006/relationships" name="QA and Release Gates" sheetId="20" state="visible" r:id="rId20"/>
    <sheet xmlns:r="http://schemas.openxmlformats.org/officeDocument/2006/relationships" name="Marine Assurance" sheetId="21" state="visible" r:id="rId21"/>
    <sheet xmlns:r="http://schemas.openxmlformats.org/officeDocument/2006/relationships" name="HSE and SIMOPS" sheetId="22" state="visible" r:id="rId22"/>
    <sheet xmlns:r="http://schemas.openxmlformats.org/officeDocument/2006/relationships" name="Daily Production" sheetId="23" state="visible" r:id="rId23"/>
    <sheet xmlns:r="http://schemas.openxmlformats.org/officeDocument/2006/relationships" name="Progress Rules" sheetId="24" state="visible" r:id="rId24"/>
    <sheet xmlns:r="http://schemas.openxmlformats.org/officeDocument/2006/relationships" name="Cost Commitments" sheetId="25" state="visible" r:id="rId25"/>
    <sheet xmlns:r="http://schemas.openxmlformats.org/officeDocument/2006/relationships" name="Financial Basis" sheetId="26" state="visible" r:id="rId26"/>
    <sheet xmlns:r="http://schemas.openxmlformats.org/officeDocument/2006/relationships" name="156 Week Cash" sheetId="27" state="visible" r:id="rId27"/>
    <sheet xmlns:r="http://schemas.openxmlformats.org/officeDocument/2006/relationships" name="Change and Delay" sheetId="28" state="visible" r:id="rId28"/>
    <sheet xmlns:r="http://schemas.openxmlformats.org/officeDocument/2006/relationships" name="Turnover" sheetId="29" state="visible" r:id="rId29"/>
    <sheet xmlns:r="http://schemas.openxmlformats.org/officeDocument/2006/relationships" name="90 Day Mobilisation" sheetId="30" state="visible" r:id="rId30"/>
    <sheet xmlns:r="http://schemas.openxmlformats.org/officeDocument/2006/relationships" name="KPI and Escalation" sheetId="31" state="visible" r:id="rId31"/>
    <sheet xmlns:r="http://schemas.openxmlformats.org/officeDocument/2006/relationships" name="Technical Queries" sheetId="32" state="visible" r:id="rId32"/>
    <sheet xmlns:r="http://schemas.openxmlformats.org/officeDocument/2006/relationships" name="Stage Integration" sheetId="33" state="visible" r:id="rId33"/>
    <sheet xmlns:r="http://schemas.openxmlformats.org/officeDocument/2006/relationships" name="Productivity Forecast" sheetId="34" state="visible" r:id="rId34"/>
  </sheets>
  <definedNames>
    <definedName name="_xlnm._FilterDatabase" localSheetId="0" hidden="1">'START HERE'!$A$1:$B$13</definedName>
    <definedName name="_xlnm._FilterDatabase" localSheetId="1" hidden="1">'CEO Decisions'!$A$1:$F$9</definedName>
    <definedName name="_xlnm._FilterDatabase" localSheetId="2" hidden="1">'A-Z Execution Plan'!$A$1:$H$27</definedName>
    <definedName name="_xlnm._FilterDatabase" localSheetId="3" hidden="1">'Source Coverage'!$A$1:$F$69</definedName>
    <definedName name="_xlnm._FilterDatabase" localSheetId="4" hidden="1">'Earlier P13 Coverage'!$A$1:$E$77</definedName>
    <definedName name="_xlnm._FilterDatabase" localSheetId="5" hidden="1">'Requirements'!$A$1:$G$103</definedName>
    <definedName name="_xlnm._FilterDatabase" localSheetId="6" hidden="1">'Bridge MTO'!$A$1:$L$11</definedName>
    <definedName name="_xlnm._FilterDatabase" localSheetId="7" hidden="1">'MTO Reconciliation'!$A$1:$E$10</definedName>
    <definedName name="_xlnm._FilterDatabase" localSheetId="8" hidden="1">'Design Basis'!$A$1:$D$16</definedName>
    <definedName name="_xlnm._FilterDatabase" localSheetId="9" hidden="1">'Engineering DCI'!$A$1:$I$184</definedName>
    <definedName name="_xlnm._FilterDatabase" localSheetId="10" hidden="1">'Tender GA Mapping'!$A$1:$E$6</definedName>
    <definedName name="_xlnm._FilterDatabase" localSheetId="11" hidden="1">'Procurement 25'!$A$1:$I$26</definedName>
    <definedName name="_xlnm._FilterDatabase" localSheetId="12" hidden="1">'Workpack Readiness'!$A$1:$Q$121</definedName>
    <definedName name="_xlnm._FilterDatabase" localSheetId="13" hidden="1">'Resource Commitments'!$A$1:$G$12</definedName>
    <definedName name="_xlnm._FilterDatabase" localSheetId="14" hidden="1">'Schedule 285'!$A$1:$O$286</definedName>
    <definedName name="_xlnm._FilterDatabase" localSheetId="15" hidden="1">'Driving Chain'!$A$1:$F$36</definedName>
    <definedName name="_xlnm._FilterDatabase" localSheetId="16" hidden="1">'Schedule Scenarios'!$A$1:$G$4</definedName>
    <definedName name="_xlnm._FilterDatabase" localSheetId="17" hidden="1">'Calendars and Method'!$A$1:$B$13</definedName>
    <definedName name="_xlnm._FilterDatabase" localSheetId="18" hidden="1">'Risk Register'!$A$1:$I$13</definedName>
    <definedName name="_xlnm._FilterDatabase" localSheetId="19" hidden="1">'QA and Release Gates'!$A$1:$E$13</definedName>
    <definedName name="_xlnm._FilterDatabase" localSheetId="20" hidden="1">'Marine Assurance'!$A$1:$D$8</definedName>
    <definedName name="_xlnm._FilterDatabase" localSheetId="21" hidden="1">'HSE and SIMOPS'!$A$1:$D$13</definedName>
    <definedName name="_xlnm._FilterDatabase" localSheetId="22" hidden="1">'Daily Production'!$A$1:$K$41</definedName>
    <definedName name="_xlnm._FilterDatabase" localSheetId="23" hidden="1">'Progress Rules'!$A$1:$D$7</definedName>
    <definedName name="_xlnm._FilterDatabase" localSheetId="24" hidden="1">'Cost Commitments'!$A$1:$I$26</definedName>
    <definedName name="_xlnm._FilterDatabase" localSheetId="25" hidden="1">'Financial Basis'!$A$1:$C$9</definedName>
    <definedName name="_xlnm._FilterDatabase" localSheetId="26" hidden="1">'156 Week Cash'!$A$1:$N$157</definedName>
    <definedName name="_xlnm._FilterDatabase" localSheetId="27" hidden="1">'Change and Delay'!$A$1:$L$21</definedName>
    <definedName name="_xlnm._FilterDatabase" localSheetId="28" hidden="1">'Turnover'!$A$1:$G$41</definedName>
    <definedName name="_xlnm._FilterDatabase" localSheetId="29" hidden="1">'90 Day Mobilisation'!$A$1:$F$9</definedName>
    <definedName name="_xlnm._FilterDatabase" localSheetId="30" hidden="1">'KPI and Escalation'!$A$1:$E$9</definedName>
    <definedName name="_xlnm._FilterDatabase" localSheetId="31" hidden="1">'Technical Queries'!$A$1:$G$16</definedName>
    <definedName name="_xlnm._FilterDatabase" localSheetId="32" hidden="1">'Stage Integration'!$A$1:$C$11</definedName>
    <definedName name="_xlnm._FilterDatabase" localSheetId="33" hidden="1">'Productivity Forecast'!$A$1:$L$11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Control</t>
        </is>
      </c>
      <c r="B1" s="1" t="inlineStr">
        <is>
          <t>Current disposition</t>
        </is>
      </c>
    </row>
    <row r="2">
      <c r="A2" s="2" t="inlineStr">
        <is>
          <t>Issue</t>
        </is>
      </c>
      <c r="B2" s="2" t="inlineStr">
        <is>
          <t>P14 Rev0 |25October2026 | Consolidated management-development package</t>
        </is>
      </c>
    </row>
    <row r="3">
      <c r="A3" s="2" t="inlineStr">
        <is>
          <t>Baseline status</t>
        </is>
      </c>
      <c r="B3" s="2" t="inlineStr">
        <is>
          <t>NOT APPROVED; no actual NOA/progress/capacity or funding independently established</t>
        </is>
      </c>
    </row>
    <row r="4">
      <c r="A4" s="2" t="inlineStr">
        <is>
          <t>Latest batch</t>
        </is>
      </c>
      <c r="B4" s="2" t="inlineStr">
        <is>
          <t>68 supplied;67 opened;52 distinct contents;7 distinct contents without prior local hash match</t>
        </is>
      </c>
    </row>
    <row r="5">
      <c r="A5" s="2" t="inlineStr">
        <is>
          <t>Transfer exception</t>
        </is>
      </c>
      <c r="B5" s="2" t="inlineStr">
        <is>
          <t>SHIVANSH ONGC Offshore Bridges - PRELIMINARY.pdf exceeds32MiB; not reviewed</t>
        </is>
      </c>
    </row>
    <row r="6">
      <c r="A6" s="2" t="inlineStr">
        <is>
          <t>Prior batch</t>
        </is>
      </c>
      <c r="B6" s="2" t="inlineStr">
        <is>
          <t>P13:76 opened;21 distinct; XML207tasks/124links screened</t>
        </is>
      </c>
    </row>
    <row r="7">
      <c r="A7" s="2" t="inlineStr">
        <is>
          <t>Authoritative use</t>
        </is>
      </c>
      <c r="B7" s="2" t="inlineStr">
        <is>
          <t>Management requirements/registers implemented here; technical design, actual execution and external approvals require their evidence</t>
        </is>
      </c>
    </row>
    <row r="8">
      <c r="A8" s="2" t="inlineStr">
        <is>
          <t>Planning scenario</t>
        </is>
      </c>
      <c r="B8" s="2" t="inlineStr">
        <is>
          <t>285activities,1Nov2026 assumed start; base finish6Apr2028, not an approved forecast</t>
        </is>
      </c>
    </row>
    <row r="9">
      <c r="A9" s="2" t="inlineStr">
        <is>
          <t>Scenario meaning</t>
        </is>
      </c>
      <c r="B9" s="2" t="inlineStr">
        <is>
          <t>Explicit named resource sequencing; office/yard/offshore calendars; unverified engineering/productivity/supply inputs</t>
        </is>
      </c>
    </row>
    <row r="10">
      <c r="A10" s="2" t="inlineStr">
        <is>
          <t>Financial use</t>
        </is>
      </c>
      <c r="B10" s="2" t="inlineStr">
        <is>
          <t>Blank inputs mean missing; no completed funding or EAC claim</t>
        </is>
      </c>
    </row>
    <row r="11">
      <c r="A11" s="2" t="inlineStr">
        <is>
          <t>Source controls</t>
        </is>
      </c>
      <c r="B11" s="2" t="inlineStr">
        <is>
          <t>P8–P13 remain source evidence; P14 is consolidated management index and scenario, not a superseding contract</t>
        </is>
      </c>
    </row>
    <row r="12">
      <c r="A12" s="2" t="inlineStr">
        <is>
          <t>Progress</t>
        </is>
      </c>
      <c r="B12" s="2" t="inlineStr">
        <is>
          <t>No actual work performed inferred from planning spreadsheets</t>
        </is>
      </c>
    </row>
    <row r="13">
      <c r="A13" s="2" t="inlineStr">
        <is>
          <t>Revision</t>
        </is>
      </c>
      <c r="B13" s="2" t="inlineStr">
        <is>
          <t>Preserve uploaded originals; update P14 under change control</t>
        </is>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s>
  <sheetData>
    <row r="1">
      <c r="A1" s="1" t="inlineStr">
        <is>
          <t>Priority</t>
        </is>
      </c>
      <c r="B1" s="1" t="inlineStr">
        <is>
          <t>Decision</t>
        </is>
      </c>
      <c r="C1" s="1" t="inlineStr">
        <is>
          <t>Owner</t>
        </is>
      </c>
      <c r="D1" s="1" t="inlineStr">
        <is>
          <t>Required evidence</t>
        </is>
      </c>
      <c r="E1" s="1" t="inlineStr">
        <is>
          <t>Trigger</t>
        </is>
      </c>
      <c r="F1" s="1" t="inlineStr">
        <is>
          <t>Status</t>
        </is>
      </c>
    </row>
    <row r="2">
      <c r="A2" s="2" t="inlineStr">
        <is>
          <t>P1</t>
        </is>
      </c>
      <c r="B2" s="2" t="inlineStr">
        <is>
          <t>Confirm NOA/start, governing SCC/A3 and applicability</t>
        </is>
      </c>
      <c r="C2" s="2" t="inlineStr">
        <is>
          <t>Contracts</t>
        </is>
      </c>
      <c r="D2" s="2" t="inlineStr">
        <is>
          <t>Controlled issue list and actual award</t>
        </is>
      </c>
      <c r="E2" s="2" t="inlineStr">
        <is>
          <t>Before baseline</t>
        </is>
      </c>
      <c r="F2" s="2" t="inlineStr">
        <is>
          <t>OPEN</t>
        </is>
      </c>
    </row>
    <row r="3">
      <c r="A3" s="2" t="inlineStr">
        <is>
          <t>P1</t>
        </is>
      </c>
      <c r="B3" s="2" t="inlineStr">
        <is>
          <t>Freeze bridge scope and resolve MTO/bearing/load conflicts</t>
        </is>
      </c>
      <c r="C3" s="2" t="inlineStr">
        <is>
          <t>Engineering</t>
        </is>
      </c>
      <c r="D3" s="2" t="inlineStr">
        <is>
          <t>Survey, corrected MTO and design queries</t>
        </is>
      </c>
      <c r="E3" s="2" t="inlineStr">
        <is>
          <t>Before affected PO/AFC</t>
        </is>
      </c>
      <c r="F3" s="2" t="inlineStr">
        <is>
          <t>OPEN</t>
        </is>
      </c>
    </row>
    <row r="4">
      <c r="A4" s="2" t="inlineStr">
        <is>
          <t>P1</t>
        </is>
      </c>
      <c r="B4" s="2" t="inlineStr">
        <is>
          <t>Validate target feasibility and seasonal strategy</t>
        </is>
      </c>
      <c r="C4" s="2" t="inlineStr">
        <is>
          <t>Project Director</t>
        </is>
      </c>
      <c r="D4" s="2" t="inlineStr">
        <is>
          <t>Approved dates, capacity and supplier/vessel offers</t>
        </is>
      </c>
      <c r="E4" s="2" t="inlineStr">
        <is>
          <t>Before completion commitment</t>
        </is>
      </c>
      <c r="F4" s="2" t="inlineStr">
        <is>
          <t>OPEN</t>
        </is>
      </c>
    </row>
    <row r="5">
      <c r="A5" s="2" t="inlineStr">
        <is>
          <t>P1</t>
        </is>
      </c>
      <c r="B5" s="2" t="inlineStr">
        <is>
          <t>Fund full execution and commercial exposure</t>
        </is>
      </c>
      <c r="C5" s="2" t="inlineStr">
        <is>
          <t>Finance</t>
        </is>
      </c>
      <c r="D5" s="2" t="inlineStr">
        <is>
          <t>Priced estimate, term sheet and cash stress</t>
        </is>
      </c>
      <c r="E5" s="2" t="inlineStr">
        <is>
          <t>Before commitments</t>
        </is>
      </c>
      <c r="F5" s="2" t="inlineStr">
        <is>
          <t>OPEN</t>
        </is>
      </c>
    </row>
    <row r="6">
      <c r="A6" s="2" t="inlineStr">
        <is>
          <t>P1</t>
        </is>
      </c>
      <c r="B6" s="2" t="inlineStr">
        <is>
          <t>Nominate and verify delivery capacity</t>
        </is>
      </c>
      <c r="C6" s="2" t="inlineStr">
        <is>
          <t>Project Director</t>
        </is>
      </c>
      <c r="D6" s="2" t="inlineStr">
        <is>
          <t>People, design teams, fabrication/NDT/coating and marine commitments</t>
        </is>
      </c>
      <c r="E6" s="2" t="inlineStr">
        <is>
          <t>Before mobilisation</t>
        </is>
      </c>
      <c r="F6" s="2" t="inlineStr">
        <is>
          <t>OPEN</t>
        </is>
      </c>
    </row>
    <row r="7">
      <c r="A7" s="2" t="inlineStr">
        <is>
          <t>P1</t>
        </is>
      </c>
      <c r="B7" s="2" t="inlineStr">
        <is>
          <t>Approve stage-specific design/marine assurance</t>
        </is>
      </c>
      <c r="C7" s="2" t="inlineStr">
        <is>
          <t>Engineering/Marine</t>
        </is>
      </c>
      <c r="D7" s="2" t="inlineStr">
        <is>
          <t>Independent checked calculations and accepted procedures</t>
        </is>
      </c>
      <c r="E7" s="2" t="inlineStr">
        <is>
          <t>Before field release</t>
        </is>
      </c>
      <c r="F7" s="2" t="inlineStr">
        <is>
          <t>OPEN</t>
        </is>
      </c>
    </row>
    <row r="8">
      <c r="A8" s="2" t="inlineStr">
        <is>
          <t>P2</t>
        </is>
      </c>
      <c r="B8" s="2" t="inlineStr">
        <is>
          <t>Adopt progress/e-MB and completion boundaries</t>
        </is>
      </c>
      <c r="C8" s="2" t="inlineStr">
        <is>
          <t>Controls</t>
        </is>
      </c>
      <c r="D8" s="2" t="inlineStr">
        <is>
          <t>Contract weights, signed rules and turnover matrix</t>
        </is>
      </c>
      <c r="E8" s="2" t="inlineStr">
        <is>
          <t>Before first progress claim</t>
        </is>
      </c>
      <c r="F8" s="2" t="inlineStr">
        <is>
          <t>OPEN</t>
        </is>
      </c>
    </row>
    <row r="9">
      <c r="A9" s="2" t="inlineStr">
        <is>
          <t>P2</t>
        </is>
      </c>
      <c r="B9" s="2" t="inlineStr">
        <is>
          <t>Resolve large-file transfer exception</t>
        </is>
      </c>
      <c r="C9" s="2" t="inlineStr">
        <is>
          <t>Document Control</t>
        </is>
      </c>
      <c r="D9" s="2" t="inlineStr">
        <is>
          <t>Readable split PDF or equivalent verified source</t>
        </is>
      </c>
      <c r="E9" s="2" t="inlineStr">
        <is>
          <t>Before claiming complete source review</t>
        </is>
      </c>
      <c r="F9" s="2" t="inlineStr">
        <is>
          <t>OPEN</t>
        </is>
      </c>
    </row>
  </sheetData>
  <autoFilter ref="A1:F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s>
  <sheetData>
    <row r="1">
      <c r="A1" s="1" t="inlineStr">
        <is>
          <t>Code</t>
        </is>
      </c>
      <c r="B1" s="1" t="inlineStr">
        <is>
          <t>Workstream</t>
        </is>
      </c>
      <c r="C1" s="1" t="inlineStr">
        <is>
          <t>Accountable role</t>
        </is>
      </c>
      <c r="D1" s="1" t="inlineStr">
        <is>
          <t>Inputs</t>
        </is>
      </c>
      <c r="E1" s="1" t="inlineStr">
        <is>
          <t>Required procedure</t>
        </is>
      </c>
      <c r="F1" s="1" t="inlineStr">
        <is>
          <t>Acceptance evidence</t>
        </is>
      </c>
      <c r="G1" s="1" t="inlineStr">
        <is>
          <t>Control measure</t>
        </is>
      </c>
      <c r="H1" s="1" t="inlineStr">
        <is>
          <t>Source</t>
        </is>
      </c>
    </row>
    <row r="2">
      <c r="A2" s="2" t="inlineStr">
        <is>
          <t>A</t>
        </is>
      </c>
      <c r="B2" s="2" t="inlineStr">
        <is>
          <t>Accountability and authority</t>
        </is>
      </c>
      <c r="C2" s="2" t="inlineStr">
        <is>
          <t>Project Director</t>
        </is>
      </c>
      <c r="D2" s="2" t="inlineStr">
        <is>
          <t>NOA/contract, scope split and corporate delegation</t>
        </is>
      </c>
      <c r="E2" s="2" t="inlineStr">
        <is>
          <t>Appoint named managers and deputies; record availability and competing commitments; establish RACI; set spending/change/technical-release authority; chair weekly integration review.</t>
        </is>
      </c>
      <c r="F2" s="2" t="inlineStr">
        <is>
          <t>Signed organisation/RACI and delegated-authority register</t>
        </is>
      </c>
      <c r="G2" s="2" t="inlineStr">
        <is>
          <t>Named accountable owner for each control; no unidentified release authority</t>
        </is>
      </c>
      <c r="H2" s="2" t="inlineStr">
        <is>
          <t>SCC1; Technical BEC5.2–5.4</t>
        </is>
      </c>
    </row>
    <row r="3">
      <c r="A3" s="2" t="inlineStr">
        <is>
          <t>B</t>
        </is>
      </c>
      <c r="B3" s="2" t="inlineStr">
        <is>
          <t>Baseline and requirements</t>
        </is>
      </c>
      <c r="C3" s="2" t="inlineStr">
        <is>
          <t>Contracts Manager</t>
        </is>
      </c>
      <c r="D3" s="2" t="inlineStr">
        <is>
          <t>Tender, addenda/corrigenda, source drawing register</t>
        </is>
      </c>
      <c r="E3" s="2" t="inlineStr">
        <is>
          <t>Maintain clause-to-deliverable matrix; resolve SCC/GCC precedence using B-4; link revisions and deletions; isolate S&amp;SRP references; freeze controlled scope by bridge and retain open discrepancies.</t>
        </is>
      </c>
      <c r="F3" s="2" t="inlineStr">
        <is>
          <t>Approved requirements and scope baseline; assumption/change log</t>
        </is>
      </c>
      <c r="G3" s="2" t="inlineStr">
        <is>
          <t>Every requirement has source, owner, verification and disposition</t>
        </is>
      </c>
      <c r="H3" s="2" t="inlineStr">
        <is>
          <t>P8–P12; CQ replies; B-4</t>
        </is>
      </c>
    </row>
    <row r="4">
      <c r="A4" s="2" t="inlineStr">
        <is>
          <t>C</t>
        </is>
      </c>
      <c r="B4" s="2" t="inlineStr">
        <is>
          <t>Contract, qualification and compliance</t>
        </is>
      </c>
      <c r="C4" s="2" t="inlineStr">
        <is>
          <t>Contracts Manager</t>
        </is>
      </c>
      <c r="D4" s="2" t="inlineStr">
        <is>
          <t>Actual bidding route, experience evidence and amendments</t>
        </is>
      </c>
      <c r="E4" s="2" t="inlineStr">
        <is>
          <t>Check110MT/marine route and consortium exceptions; retain PM/qualifying main activity; obtain subcontract commitments; verify TPI authentication and valid accreditation; reconcile financial evidence; manage securities and integrity-pact disclosures.</t>
        </is>
      </c>
      <c r="F4" s="2" t="inlineStr">
        <is>
          <t>Qualification/compliance matrix and evidence bundle</t>
        </is>
      </c>
      <c r="G4" s="2" t="inlineStr">
        <is>
          <t>No unsupported bidder confirmations or expired verification evidence</t>
        </is>
      </c>
      <c r="H4" s="2" t="inlineStr">
        <is>
          <t>Technical BEC5; P9/P11</t>
        </is>
      </c>
    </row>
    <row r="5">
      <c r="A5" s="2" t="inlineStr">
        <is>
          <t>D</t>
        </is>
      </c>
      <c r="B5" s="2" t="inlineStr">
        <is>
          <t>Design basis and survey</t>
        </is>
      </c>
      <c r="C5" s="2" t="inlineStr">
        <is>
          <t>Engineering Manager</t>
        </is>
      </c>
      <c r="D5" s="2" t="inlineStr">
        <is>
          <t>BRRP criteria, tender GAs and survey access</t>
        </is>
      </c>
      <c r="E5" s="2" t="inlineStr">
        <is>
          <t>Verify coordinates, elevations, spans, clearances, member sizes/thickness/loss, support movement, piping/cable loads and NDT; create controlled datums; close bearing/camber/load discrepancies; record later company instructions under change control.</t>
        </is>
      </c>
      <c r="F5" s="2" t="inlineStr">
        <is>
          <t>Accepted survey dossier and bridge-specific design basis</t>
        </is>
      </c>
      <c r="G5" s="2" t="inlineStr">
        <is>
          <t>Survey-derived geometry and load status visible on every engineering package</t>
        </is>
      </c>
      <c r="H5" s="2" t="inlineStr">
        <is>
          <t>CriteriaPartII; Corrigendum3 GCC2.3.6</t>
        </is>
      </c>
    </row>
    <row r="6">
      <c r="A6" s="2" t="inlineStr">
        <is>
          <t>E</t>
        </is>
      </c>
      <c r="B6" s="2" t="inlineStr">
        <is>
          <t>Engineering and independent checking</t>
        </is>
      </c>
      <c r="C6" s="2" t="inlineStr">
        <is>
          <t>Engineering Manager</t>
        </is>
      </c>
      <c r="D6" s="2" t="inlineStr">
        <is>
          <t>Accepted survey, criteria, scope and discipline interfaces</t>
        </is>
      </c>
      <c r="E6" s="2" t="inlineStr">
        <is>
          <t>Analyse bridge and supporting platforms, members/joints, bearings, fatigue/VIV, preservice lifts/transport and temporary stages; iterate piping reactions; detail connections; perform independent check and comment closure; submit through controlled DCI.</t>
        </is>
      </c>
      <c r="F6" s="2" t="inlineStr">
        <is>
          <t>Checked calculations, interface reactions, design reports and accepted drawings</t>
        </is>
      </c>
      <c r="G6" s="2" t="inlineStr">
        <is>
          <t>No source-study utilisation ratio represented as new design proof</t>
        </is>
      </c>
      <c r="H6" s="2" t="inlineStr">
        <is>
          <t>C8; Combined1Annexure1; DesignCriteria</t>
        </is>
      </c>
    </row>
    <row r="7">
      <c r="A7" s="2" t="inlineStr">
        <is>
          <t>F</t>
        </is>
      </c>
      <c r="B7" s="2" t="inlineStr">
        <is>
          <t>Fabrication drawings and AFC release</t>
        </is>
      </c>
      <c r="C7" s="2" t="inlineStr">
        <is>
          <t>Lead Structural Engineer</t>
        </is>
      </c>
      <c r="D7" s="2" t="inlineStr">
        <is>
          <t>Accepted mother analysis and verified geometry</t>
        </is>
      </c>
      <c r="E7" s="2" t="inlineStr">
        <is>
          <t>Issue source-to-detail mapping, shop GAs, member/cut lists, joint/weld maps, bearing/guides, padeyes/supports and temporary-stability details; apply source revisions and CRS; independent check then company/CA release as applicable.</t>
        </is>
      </c>
      <c r="F7" s="2" t="inlineStr">
        <is>
          <t>Signed bridge-specific release index with matching drawing/MTO/procedure revisions</t>
        </is>
      </c>
      <c r="G7" s="2" t="inlineStr">
        <is>
          <t>AFC status requires actual authorised approval and field-copy control</t>
        </is>
      </c>
      <c r="H7" s="2" t="inlineStr">
        <is>
          <t>C8 mother documents; Combined1 pp27–41</t>
        </is>
      </c>
    </row>
    <row r="8">
      <c r="A8" s="2" t="inlineStr">
        <is>
          <t>G</t>
        </is>
      </c>
      <c r="B8" s="2" t="inlineStr">
        <is>
          <t>Geometry, MTO and weight control</t>
        </is>
      </c>
      <c r="C8" s="2" t="inlineStr">
        <is>
          <t>Quantity/Weight Engineer</t>
        </is>
      </c>
      <c r="D8" s="2" t="inlineStr">
        <is>
          <t>Released model/drawings and field verification</t>
        </is>
      </c>
      <c r="E8" s="2" t="inlineStr">
        <is>
          <t>Separate new bridge, strengthening, new landing, existing landing, demolition and finish quantities; resolve1MT/2m/1m² discrepancies; calculate member-length/plate/bolt/weld/coating MTO and wastage explicitly; track module dry/wet/rigging weights and COG.</t>
        </is>
      </c>
      <c r="F8" s="2" t="inlineStr">
        <is>
          <t>Traceable MTO revisions, reconciliation and verified module weight report</t>
        </is>
      </c>
      <c r="G8" s="2" t="inlineStr">
        <is>
          <t>No bulk tonnage substituted for lift weight, member BOM or coating area</t>
        </is>
      </c>
      <c r="H8" s="2" t="inlineStr">
        <is>
          <t>SOW quantity table; MTOIRT; Criteria weight/COG trigger</t>
        </is>
      </c>
    </row>
    <row r="9">
      <c r="A9" s="2" t="inlineStr">
        <is>
          <t>H</t>
        </is>
      </c>
      <c r="B9" s="2" t="inlineStr">
        <is>
          <t>HSE and SIMOPS</t>
        </is>
      </c>
      <c r="C9" s="2" t="inlineStr">
        <is>
          <t>HSE Manager</t>
        </is>
      </c>
      <c r="D9" s="2" t="inlineStr">
        <is>
          <t>Workfront hazards, operating platform and vessel requirements</t>
        </is>
      </c>
      <c r="E9" s="2" t="inlineStr">
        <is>
          <t>Complete HIRA/JSA/PTW, isolation/LOTO, hot work, gas testing, work-at-height/rescue, dropped objects, scaffold/access, marine transfers, occupational exposure and emergency interfaces; train staff; issue certified PPE and validate work-start clearance.</t>
        </is>
      </c>
      <c r="F9" s="2" t="inlineStr">
        <is>
          <t>Approved HSE/SIMOPS plan, personnel matrix and permit packs</t>
        </is>
      </c>
      <c r="G9" s="2" t="inlineStr">
        <is>
          <t>Zero work starts without applicable permits, isolation and readiness evidence</t>
        </is>
      </c>
      <c r="H9" s="2" t="inlineStr">
        <is>
          <t>SCC7/8; PPElist; OISD155 applicability</t>
        </is>
      </c>
    </row>
    <row r="10">
      <c r="A10" s="2" t="inlineStr">
        <is>
          <t>I</t>
        </is>
      </c>
      <c r="B10" s="2" t="inlineStr">
        <is>
          <t>Interface and operations management</t>
        </is>
      </c>
      <c r="C10" s="2" t="inlineStr">
        <is>
          <t>Interface Manager</t>
        </is>
      </c>
      <c r="D10" s="2" t="inlineStr">
        <is>
          <t>Platform operations, engineering and contractors</t>
        </is>
      </c>
      <c r="E10" s="2" t="inlineStr">
        <is>
          <t>Register structural/piping/electrical/instrument/telecom/firewater interfaces; agree outage and transfer sequence; assign tie-in owners; confirm access and emergency routes; track support reactions and dimensional tolerances; resolve NQO/NOQ naming.</t>
        </is>
      </c>
      <c r="F10" s="2" t="inlineStr">
        <is>
          <t>Signed interface agreements, outage windows and battery-limit register</t>
        </is>
      </c>
      <c r="G10" s="2" t="inlineStr">
        <is>
          <t>No unowned interface on lookahead or lift plan</t>
        </is>
      </c>
      <c r="H10" s="2" t="inlineStr">
        <is>
          <t>SCC1.7; Combined1/2/3</t>
        </is>
      </c>
    </row>
    <row r="11">
      <c r="A11" s="2" t="inlineStr">
        <is>
          <t>J</t>
        </is>
      </c>
      <c r="B11" s="2" t="inlineStr">
        <is>
          <t>Joint inspections and quality assurance</t>
        </is>
      </c>
      <c r="C11" s="2" t="inlineStr">
        <is>
          <t>QA/QC Manager</t>
        </is>
      </c>
      <c r="D11" s="2" t="inlineStr">
        <is>
          <t>Project quality plan, codes, specifications and approved ITP</t>
        </is>
      </c>
      <c r="E11" s="2" t="inlineStr">
        <is>
          <t>Set inspection/hold/witness points; qualify welding and personnel; control heat/consumable traceability; calibrate instruments; inspect fit-up/weld/NDT/coating/dimensions; repair and close NCRs; issue releases and indexed records.</t>
        </is>
      </c>
      <c r="F11" s="2" t="inlineStr">
        <is>
          <t>ITP, qualification dossiers, inspection releases and NCR closure</t>
        </is>
      </c>
      <c r="G11" s="2" t="inlineStr">
        <is>
          <t>No concealed work or next-stage release through an unresolved hold point</t>
        </is>
      </c>
      <c r="H11" s="2" t="inlineStr">
        <is>
          <t>FS2009F; FS2005Rev9; C8</t>
        </is>
      </c>
    </row>
    <row r="12">
      <c r="A12" s="2" t="inlineStr">
        <is>
          <t>K</t>
        </is>
      </c>
      <c r="B12" s="2" t="inlineStr">
        <is>
          <t>Key suppliers and procurement</t>
        </is>
      </c>
      <c r="C12" s="2" t="inlineStr">
        <is>
          <t>Procurement Manager</t>
        </is>
      </c>
      <c r="D12" s="2" t="inlineStr">
        <is>
          <t>Approved requisition, MTO, PS and compliant sources</t>
        </is>
      </c>
      <c r="E12" s="2" t="inlineStr">
        <is>
          <t>Package25 procurement scopes; RFQ and technical/commercial evaluation; verify SVL12.3 status/product/location, steel melt/pour/DVA and traceability; obtain PS approvals, place authorised PO, expedite and inspect; preserve vendor-data dependencies.</t>
        </is>
      </c>
      <c r="F12" s="2" t="inlineStr">
        <is>
          <t>PO/delivery/inspection register with quoted dates and evidence</t>
        </is>
      </c>
      <c r="G12" s="2" t="inlineStr">
        <is>
          <t>No unpriced allowance treated as commitment; no silent substitution</t>
        </is>
      </c>
      <c r="H12" s="2" t="inlineStr">
        <is>
          <t>SVL12.3 Combined3 pp261–341; Corr3; C8</t>
        </is>
      </c>
    </row>
    <row r="13">
      <c r="A13" s="2" t="inlineStr">
        <is>
          <t>L</t>
        </is>
      </c>
      <c r="B13" s="2" t="inlineStr">
        <is>
          <t>Logistics, loadout and preservation</t>
        </is>
      </c>
      <c r="C13" s="2" t="inlineStr">
        <is>
          <t>Logistics Manager</t>
        </is>
      </c>
      <c r="D13" s="2" t="inlineStr">
        <is>
          <t>Released modules, lifting/transport studies and cargo slots</t>
        </is>
      </c>
      <c r="E13" s="2" t="inlineStr">
        <is>
          <t>Verify shore-base storage/load capacity, route permits, lifting gear and packing/preservation; produce cargo ID/weight/COG/manifests; sea fasten and inspect loadout; monitor voyage/receipt and backload; segregate quarantine and accepted stock.</t>
        </is>
      </c>
      <c r="F13" s="2" t="inlineStr">
        <is>
          <t>Approved loadout/transport pack, manifests and receipt reports</t>
        </is>
      </c>
      <c r="G13" s="2" t="inlineStr">
        <is>
          <t>Cargo release ties to exact module/drawing/weight revision</t>
        </is>
      </c>
      <c r="H13" s="2" t="inlineStr">
        <is>
          <t>SCC14; C9/C10; applicable marine assurance</t>
        </is>
      </c>
    </row>
    <row r="14">
      <c r="A14" s="2" t="inlineStr">
        <is>
          <t>M</t>
        </is>
      </c>
      <c r="B14" s="2" t="inlineStr">
        <is>
          <t>Marine engineering and assurance</t>
        </is>
      </c>
      <c r="C14" s="2" t="inlineStr">
        <is>
          <t>Marine Manager</t>
        </is>
      </c>
      <c r="D14" s="2" t="inlineStr">
        <is>
          <t>Module envelope, vessel particulars and environmental data</t>
        </is>
      </c>
      <c r="E14" s="2" t="inlineStr">
        <is>
          <t>Verify actual-radius crane charts, dynamics/rigging/padeyes, deck strength/stability, seafastening/voyage, positioning/mooring/DP, subsea hazards, access/POB and certificates; obtain applicable MWS/company clearances and predeployment audit.</t>
        </is>
      </c>
      <c r="F14" s="2" t="inlineStr">
        <is>
          <t>Accepted vessel/operation assurance pack and go/no-go record</t>
        </is>
      </c>
      <c r="G14" s="2" t="inlineStr">
        <is>
          <t>SCC5tonne transfer crane is not a bridge-lift selection criterion</t>
        </is>
      </c>
      <c r="H14" s="2" t="inlineStr">
        <is>
          <t>SCC3/5; C9/C10; C8 starred requirements</t>
        </is>
      </c>
    </row>
    <row r="15">
      <c r="A15" s="2" t="inlineStr">
        <is>
          <t>N</t>
        </is>
      </c>
      <c r="B15" s="2" t="inlineStr">
        <is>
          <t>Network schedule and calendars</t>
        </is>
      </c>
      <c r="C15" s="2" t="inlineStr">
        <is>
          <t>Planning Manager</t>
        </is>
      </c>
      <c r="D15" s="2" t="inlineStr">
        <is>
          <t>Scope/quantities, approvals, capacity and supplier dates</t>
        </is>
      </c>
      <c r="E15" s="2" t="inlineStr">
        <is>
          <t>Use one logic network with source/assumption status; model office/yard/offshore calendars, approval states and PS stages; link shared resources and completion dossiers; calculate forward/backward paths, target shortfalls and sensitivities; freeze only after validation.</t>
        </is>
      </c>
      <c r="F15" s="2" t="inlineStr">
        <is>
          <t>Approved baseline and update narrative with calculation settings</t>
        </is>
      </c>
      <c r="G15" s="2" t="inlineStr">
        <is>
          <t>No day-number bar chart or register labelled approved CPM</t>
        </is>
      </c>
      <c r="H15" s="2" t="inlineStr">
        <is>
          <t>SCC2/11; C8; P14 scenario</t>
        </is>
      </c>
    </row>
    <row r="16">
      <c r="A16" s="2" t="inlineStr">
        <is>
          <t>O</t>
        </is>
      </c>
      <c r="B16" s="2" t="inlineStr">
        <is>
          <t>Offshore installation and temporary stability</t>
        </is>
      </c>
      <c r="C16" s="2" t="inlineStr">
        <is>
          <t>Construction Manager</t>
        </is>
      </c>
      <c r="D16" s="2" t="inlineStr">
        <is>
          <t>Approved IWP, design, loadout and operating windows</t>
        </is>
      </c>
      <c r="E16" s="2" t="inlineStr">
        <is>
          <t>Complete preconstruction survey/access; strengthen supports before new bridge placement where required; verify temporary load paths and restraint removal order; authorise lifts, landing alignment/bearing travel and permanent connection; inspect before transfer and removal.</t>
        </is>
      </c>
      <c r="F16" s="2" t="inlineStr">
        <is>
          <t>Signed workfront release, installation survey and inspection dossier</t>
        </is>
      </c>
      <c r="G16" s="2" t="inlineStr">
        <is>
          <t>No bridge removal until alternate support/service sequence accepted</t>
        </is>
      </c>
      <c r="H16" s="2" t="inlineStr">
        <is>
          <t>StructuralSOW addendum; bridge-specific approved methods</t>
        </is>
      </c>
    </row>
    <row r="17">
      <c r="A17" s="2" t="inlineStr">
        <is>
          <t>P</t>
        </is>
      </c>
      <c r="B17" s="2" t="inlineStr">
        <is>
          <t>Production and fabrication control</t>
        </is>
      </c>
      <c r="C17" s="2" t="inlineStr">
        <is>
          <t>Fabrication Manager</t>
        </is>
      </c>
      <c r="D17" s="2" t="inlineStr">
        <is>
          <t>Released shop packs, material, qualified personnel and capacity</t>
        </is>
      </c>
      <c r="E17" s="2" t="inlineStr">
        <is>
          <t>Validate bay dimensions/cranes and shifts; material receipt/heat mapping; cut/form/fit/weld with distortion/camber controls; NDT/repair; dimensional survey/trial fit; coating/curing; preserve and release modules by accepted quantities.</t>
        </is>
      </c>
      <c r="F17" s="2" t="inlineStr">
        <is>
          <t>Daily accepted output, resource hours and module release</t>
        </is>
      </c>
      <c r="G17" s="2" t="inlineStr">
        <is>
          <t>Separate installed structural MT from purchased stock and rework</t>
        </is>
      </c>
      <c r="H17" s="2" t="inlineStr">
        <is>
          <t>MasterPlanV3; FS2009F/2005</t>
        </is>
      </c>
    </row>
    <row r="18">
      <c r="A18" s="2" t="inlineStr">
        <is>
          <t>Q</t>
        </is>
      </c>
      <c r="B18" s="2" t="inlineStr">
        <is>
          <t>Quantity, progress and earned value</t>
        </is>
      </c>
      <c r="C18" s="2" t="inlineStr">
        <is>
          <t>Project Controls Manager</t>
        </is>
      </c>
      <c r="D18" s="2" t="inlineStr">
        <is>
          <t>Approved work quantities, budget and progress rules</t>
        </is>
      </c>
      <c r="E18" s="2" t="inlineStr">
        <is>
          <t>Measure installed and accepted quantities by workpack; distinguish fabrication/install completion, certification, invoice and cash; apply C8 engineering/MCI status weights only to their contractual bases; retain e-MB/SES traceability; do not earn budget twice.</t>
        </is>
      </c>
      <c r="F18" s="2" t="inlineStr">
        <is>
          <t>Signed measurement, progress-rule and cost-code reconciliation</t>
        </is>
      </c>
      <c r="G18" s="2" t="inlineStr">
        <is>
          <t>EV/SPI/CPI blank where BAC/PV/AC or accepted quantities absent</t>
        </is>
      </c>
      <c r="H18" s="2" t="inlineStr">
        <is>
          <t>SCC12; C8 review/progress rules</t>
        </is>
      </c>
    </row>
    <row r="19">
      <c r="A19" s="2" t="inlineStr">
        <is>
          <t>R</t>
        </is>
      </c>
      <c r="B19" s="2" t="inlineStr">
        <is>
          <t>Risk, contingency and recovery</t>
        </is>
      </c>
      <c r="C19" s="2" t="inlineStr">
        <is>
          <t>Risk/Planning Manager</t>
        </is>
      </c>
      <c r="D19" s="2" t="inlineStr">
        <is>
          <t>Risk register, driving path and resource limits</t>
        </is>
      </c>
      <c r="E19" s="2" t="inlineStr">
        <is>
          <t>Identify causes/events/effects; score ownership and early-warning; quantify actual schedule/cost exposures when data exist; test material delays, re-reviews, vessel failure and workability; price recovery options and seek authorised decisions.</t>
        </is>
      </c>
      <c r="F19" s="2" t="inlineStr">
        <is>
          <t>Owned mitigations, contingency and recovery decision log</t>
        </is>
      </c>
      <c r="G19" s="2" t="inlineStr">
        <is>
          <t>No probability or P80 claim without a risk model and evidence</t>
        </is>
      </c>
      <c r="H19" s="2" t="inlineStr">
        <is>
          <t>SCC11; P14 alternatives</t>
        </is>
      </c>
    </row>
    <row r="20">
      <c r="A20" s="2" t="inlineStr">
        <is>
          <t>S</t>
        </is>
      </c>
      <c r="B20" s="2" t="inlineStr">
        <is>
          <t>Subcontracts and retained responsibilities</t>
        </is>
      </c>
      <c r="C20" s="2" t="inlineStr">
        <is>
          <t>Contracts Manager</t>
        </is>
      </c>
      <c r="D20" s="2" t="inlineStr">
        <is>
          <t>BEC route, agency scope and signed commitments</t>
        </is>
      </c>
      <c r="E20" s="2" t="inlineStr">
        <is>
          <t>Define battery limits and deliverables; retain required PM/main activities; obtain capacity/commitment letters and flow down QA/HSE/integrity obligations; manage approved agencies, claims and performance; prohibit unauthorised whole-works pass-through.</t>
        </is>
      </c>
      <c r="F20" s="2" t="inlineStr">
        <is>
          <t>Approved responsibility split and signed subcontract evidence</t>
        </is>
      </c>
      <c r="G20" s="2" t="inlineStr">
        <is>
          <t>Agency listing alone is not signed capacity or eligibility</t>
        </is>
      </c>
      <c r="H20" s="2" t="inlineStr">
        <is>
          <t>A16/A17/B6; TechnicalBEC5</t>
        </is>
      </c>
    </row>
    <row r="21">
      <c r="A21" s="2" t="inlineStr">
        <is>
          <t>T</t>
        </is>
      </c>
      <c r="B21" s="2" t="inlineStr">
        <is>
          <t>Treasury, cost and cash flow</t>
        </is>
      </c>
      <c r="C21" s="2" t="inlineStr">
        <is>
          <t>Finance Manager</t>
        </is>
      </c>
      <c r="D21" s="2" t="inlineStr">
        <is>
          <t>Priced estimate, signed terms and actual milestones</t>
        </is>
      </c>
      <c r="E21" s="2" t="inlineStr">
        <is>
          <t>Track budget/commitment/accrual/actual/ETC/EAC; schedule taxes, wages, charters, vendor payments, BG margins/fees/releases, certification/payment lags, retention/advance recovery and financing; extend through final account/warranty releases.</t>
        </is>
      </c>
      <c r="F21" s="2" t="inlineStr">
        <is>
          <t>Priced control budget and funded cash forecast</t>
        </is>
      </c>
      <c r="G21" s="2" t="inlineStr">
        <is>
          <t>Unknown inputs remain unknown; no zero-cost feasibility conclusion</t>
        </is>
      </c>
      <c r="H21" s="2" t="inlineStr">
        <is>
          <t>P9/P11 securities; A3/A10; SCC</t>
        </is>
      </c>
    </row>
    <row r="22">
      <c r="A22" s="2" t="inlineStr">
        <is>
          <t>U</t>
        </is>
      </c>
      <c r="B22" s="2" t="inlineStr">
        <is>
          <t>Utilities and service reinstatement</t>
        </is>
      </c>
      <c r="C22" s="2" t="inlineStr">
        <is>
          <t>Commissioning Manager</t>
        </is>
      </c>
      <c r="D22" s="2" t="inlineStr">
        <is>
          <t>Approved tie-ins, isolations and test requirements</t>
        </is>
      </c>
      <c r="E22" s="2" t="inlineStr">
        <is>
          <t>List every piping/cable/instrument/lighting/earthing/firewater service; verify temporary bypasses; isolate, transfer, inspect/test and restore under operations control; close pressure/leak, continuity/IR/earthing and functional tests as applicable.</t>
        </is>
      </c>
      <c r="F22" s="2" t="inlineStr">
        <is>
          <t>System-wise reinstatement/test sheets and operations acceptance</t>
        </is>
      </c>
      <c r="G22" s="2" t="inlineStr">
        <is>
          <t>No energisation or hydrotest without approved test boundary and procedure</t>
        </is>
      </c>
      <c r="H22" s="2" t="inlineStr">
        <is>
          <t>Combined1/2/3 discipline specifications</t>
        </is>
      </c>
    </row>
    <row r="23">
      <c r="A23" s="2" t="inlineStr">
        <is>
          <t>V</t>
        </is>
      </c>
      <c r="B23" s="2" t="inlineStr">
        <is>
          <t>Variations, delay and claims records</t>
        </is>
      </c>
      <c r="C23" s="2" t="inlineStr">
        <is>
          <t>Contracts Manager</t>
        </is>
      </c>
      <c r="D23" s="2" t="inlineStr">
        <is>
          <t>Written instruction, baseline and contemporaneous records</t>
        </is>
      </c>
      <c r="E23" s="2" t="inlineStr">
        <is>
          <t>Log notices and contractual time bars; maintain monthly joint critical-event logs and quarterly delay reports; substantiate quantities/invoices/man/barge days; apply SCC9 positive/negative valuation and avoid duplicate fees; document relief decisions.</t>
        </is>
      </c>
      <c r="F23" s="2" t="inlineStr">
        <is>
          <t>Notices, joint statements, approved variations and final-account evidence</t>
        </is>
      </c>
      <c r="G23" s="2" t="inlineStr">
        <is>
          <t>No assumed entitlement from a schedule overrun alone</t>
        </is>
      </c>
      <c r="H23" s="2" t="inlineStr">
        <is>
          <t>SCC9/11; Corr3 clause2.3.6; GCC8</t>
        </is>
      </c>
    </row>
    <row r="24">
      <c r="A24" s="2" t="inlineStr">
        <is>
          <t>W</t>
        </is>
      </c>
      <c r="B24" s="2" t="inlineStr">
        <is>
          <t>Weather and workability</t>
        </is>
      </c>
      <c r="C24" s="2" t="inlineStr">
        <is>
          <t>Marine/Planning Manager</t>
        </is>
      </c>
      <c r="D24" s="2" t="inlineStr">
        <is>
          <t>Field metocean, forecast and vessel limits</t>
        </is>
      </c>
      <c r="E24" s="2" t="inlineStr">
        <is>
          <t>Set engineered operating/abort limits by operation; agree forecast/lookback records and weather standby attribution; plan refuge/demob/remob and emergency triggers; preserve contemporaneous proof for qualifying monsoon relief.</t>
        </is>
      </c>
      <c r="F24" s="2" t="inlineStr">
        <is>
          <t>Weather logs, operational decisions and seasonal resource plan</t>
        </is>
      </c>
      <c r="G24" s="2" t="inlineStr">
        <is>
          <t>Planning blackout is not automatic contractual extension</t>
        </is>
      </c>
      <c r="H24" s="2" t="inlineStr">
        <is>
          <t>SCC2/4; C9/C10</t>
        </is>
      </c>
    </row>
    <row r="25">
      <c r="A25" s="2" t="inlineStr">
        <is>
          <t>X</t>
        </is>
      </c>
      <c r="B25" s="2" t="inlineStr">
        <is>
          <t>Execution readiness and daily control</t>
        </is>
      </c>
      <c r="C25" s="2" t="inlineStr">
        <is>
          <t>Construction Manager</t>
        </is>
      </c>
      <c r="D25" s="2" t="inlineStr">
        <is>
          <t>IWP, crew/tools, quantities, materials, permits and assurance</t>
        </is>
      </c>
      <c r="E25" s="2" t="inlineStr">
        <is>
          <t>Run6week constraint removal,14day lookahead and daily permit/readiness meetings; verify all gates and evidence IDs; record planned/accepted output and crew-hours; escalate blockers and resource clashes without bypassing safety gates.</t>
        </is>
      </c>
      <c r="F25" s="2" t="inlineStr">
        <is>
          <t>Released daily work list, production/constraint records</t>
        </is>
      </c>
      <c r="G25" s="2" t="inlineStr">
        <is>
          <t>Readiness requires evidence and verified scope, not eight unchecked Yes labels</t>
        </is>
      </c>
      <c r="H25" s="2" t="inlineStr">
        <is>
          <t>Stages30–35; HSE/QA project controls</t>
        </is>
      </c>
    </row>
    <row r="26">
      <c r="A26" s="2" t="inlineStr">
        <is>
          <t>Y</t>
        </is>
      </c>
      <c r="B26" s="2" t="inlineStr">
        <is>
          <t>Yard-to-field completion and handover</t>
        </is>
      </c>
      <c r="C26" s="2" t="inlineStr">
        <is>
          <t>Completion Manager</t>
        </is>
      </c>
      <c r="D26" s="2" t="inlineStr">
        <is>
          <t>ITRs, drawings, tests, systems and punch categories</t>
        </is>
      </c>
      <c r="E26" s="2" t="inlineStr">
        <is>
          <t>Create bridge/system turnover boundaries at design stage; collect manufacturing records progressively; inspect structural/bearing alignment and reinstated services; close blocking punch items; deliver as-builts/native files/vendor dossiers and scrap receipts; obtain formal acceptance.</t>
        </is>
      </c>
      <c r="F26" s="2" t="inlineStr">
        <is>
          <t>Accepted turnover dossier and handover certificate</t>
        </is>
      </c>
      <c r="G26" s="2" t="inlineStr">
        <is>
          <t>No completion earned solely by physical steel placement</t>
        </is>
      </c>
      <c r="H26" s="2" t="inlineStr">
        <is>
          <t>A10; C8; SCC14; GCC completion clauses</t>
        </is>
      </c>
    </row>
    <row r="27">
      <c r="A27" s="2" t="inlineStr">
        <is>
          <t>Z</t>
        </is>
      </c>
      <c r="B27" s="2" t="inlineStr">
        <is>
          <t>Warranty, final account and lessons</t>
        </is>
      </c>
      <c r="C27" s="2" t="inlineStr">
        <is>
          <t>Project Director</t>
        </is>
      </c>
      <c r="D27" s="2" t="inlineStr">
        <is>
          <t>Acceptance terms, outstanding obligations and final payments</t>
        </is>
      </c>
      <c r="E27" s="2" t="inlineStr">
        <is>
          <t>Track defect liability/warranty and insurance/security releases; resolve claims and subcontract final accounts; retain integrity-pact/record obligations; archive controlled native/PDF data and access; close lessons and verify promised performance against outcomes.</t>
        </is>
      </c>
      <c r="F27" s="2" t="inlineStr">
        <is>
          <t>Contract closure certificate, release schedule and retained records</t>
        </is>
      </c>
      <c r="G27" s="2" t="inlineStr">
        <is>
          <t>Physical completion, financial closure and obligation expiry are separate dates</t>
        </is>
      </c>
      <c r="H27" s="2" t="inlineStr">
        <is>
          <t>IntegrityPact9; GCC/SCC governing periods</t>
        </is>
      </c>
    </row>
  </sheetData>
  <autoFilter ref="A1:H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9"/>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s>
  <sheetData>
    <row r="1">
      <c r="A1" s="1" t="inlineStr">
        <is>
          <t>File</t>
        </is>
      </c>
      <c r="B1" s="1" t="inlineStr">
        <is>
          <t>SHA256</t>
        </is>
      </c>
      <c r="C1" s="1" t="inlineStr">
        <is>
          <t>Prior exact matches</t>
        </is>
      </c>
      <c r="D1" s="1" t="inlineStr">
        <is>
          <t>Duplicate in batch</t>
        </is>
      </c>
      <c r="E1" s="1" t="inlineStr">
        <is>
          <t>Review disposition</t>
        </is>
      </c>
      <c r="F1" s="1" t="inlineStr">
        <is>
          <t>Local source</t>
        </is>
      </c>
    </row>
    <row r="2">
      <c r="A2" s="2" t="inlineStr">
        <is>
          <t>Addendum.pdf</t>
        </is>
      </c>
      <c r="B2" s="2" t="inlineStr">
        <is>
          <t>1742ad4dd672858b1ee148ba6e82b5d4594b3205a8db344d7631408e582a26fb</t>
        </is>
      </c>
      <c r="C2" s="2" t="n">
        <v>5</v>
      </c>
      <c r="D2" s="2" t="n"/>
      <c r="E2" s="2" t="inlineStr">
        <is>
          <t>Hash/open checked; prior review reused</t>
        </is>
      </c>
      <c r="F2" s="2" t="inlineStr">
        <is>
          <t>/workspace/attachments/71d9446a-9284-4152-923c-f5c85a23c0f1/Addendum.pdf</t>
        </is>
      </c>
    </row>
    <row r="3">
      <c r="A3" s="2" t="inlineStr">
        <is>
          <t>Addendum (1).pdf</t>
        </is>
      </c>
      <c r="B3" s="2" t="inlineStr">
        <is>
          <t>1742ad4dd672858b1ee148ba6e82b5d4594b3205a8db344d7631408e582a26fb</t>
        </is>
      </c>
      <c r="C3" s="2" t="n">
        <v>5</v>
      </c>
      <c r="D3" s="2" t="inlineStr">
        <is>
          <t>Addendum.pdf</t>
        </is>
      </c>
      <c r="E3" s="2" t="inlineStr">
        <is>
          <t>Hash/open checked; prior review reused</t>
        </is>
      </c>
      <c r="F3" s="2" t="inlineStr">
        <is>
          <t>/workspace/attachments/62e4fd39-6c8f-4f77-88c2-7fbc71905567/Addendum (1).pdf</t>
        </is>
      </c>
    </row>
    <row r="4">
      <c r="A4" s="2" t="inlineStr">
        <is>
          <t>Addendum_Structure_SOW.pdf</t>
        </is>
      </c>
      <c r="B4" s="2" t="inlineStr">
        <is>
          <t>9720ca8546c67ef9cc4f44a8b4fb480de23da3eed38a6ca5dae2879de8c1485a</t>
        </is>
      </c>
      <c r="C4" s="2" t="n">
        <v>4</v>
      </c>
      <c r="D4" s="2" t="n"/>
      <c r="E4" s="2" t="inlineStr">
        <is>
          <t>Hash/open checked; prior review reused</t>
        </is>
      </c>
      <c r="F4" s="2" t="inlineStr">
        <is>
          <t>/workspace/attachments/652f34f3-904c-4733-84f5-3badb6e94c6e/Addendum_Structure_SOW.pdf</t>
        </is>
      </c>
    </row>
    <row r="5">
      <c r="A5" s="2" t="inlineStr">
        <is>
          <t>AddendumtoA3.pdf</t>
        </is>
      </c>
      <c r="B5" s="2" t="inlineStr">
        <is>
          <t>191ca9ccafb391c57652a1e4b5831484c2a53765cf6d813b8bdc87dc1de3ce07</t>
        </is>
      </c>
      <c r="C5" s="2" t="n">
        <v>2</v>
      </c>
      <c r="D5" s="2" t="n"/>
      <c r="E5" s="2" t="inlineStr">
        <is>
          <t>Hash/open checked; prior review reused</t>
        </is>
      </c>
      <c r="F5" s="2" t="inlineStr">
        <is>
          <t>/workspace/attachments/b9a9de3b-b77d-49f1-8ff1-a0c7d55ca00b/AddendumtoA3.pdf</t>
        </is>
      </c>
    </row>
    <row r="6">
      <c r="A6" s="2" t="inlineStr">
        <is>
          <t>Appendix A-9.pdf</t>
        </is>
      </c>
      <c r="B6" s="2" t="inlineStr">
        <is>
          <t>fea757b0e53dd170dbe9c645a10ddfe62eec08e2cfe6f151bbd0adf0bd4ed5e4</t>
        </is>
      </c>
      <c r="C6" s="2" t="n">
        <v>2</v>
      </c>
      <c r="D6" s="2" t="n"/>
      <c r="E6" s="2" t="inlineStr">
        <is>
          <t>Hash/open checked; prior review reused</t>
        </is>
      </c>
      <c r="F6" s="2" t="inlineStr">
        <is>
          <t>/workspace/attachments/67595e2c-856c-401e-833f-825f1401ae1e/Appendix A-9.pdf</t>
        </is>
      </c>
    </row>
    <row r="7">
      <c r="A7" s="2" t="inlineStr">
        <is>
          <t>Appendix A-16 List of Agencies.pdf</t>
        </is>
      </c>
      <c r="B7" s="2" t="inlineStr">
        <is>
          <t>09a642f2eb6a23c02a735be3d51b57db316f4d5697aff8e1db8c1ee7bacaa50a</t>
        </is>
      </c>
      <c r="C7" s="2" t="n">
        <v>2</v>
      </c>
      <c r="D7" s="2" t="n"/>
      <c r="E7" s="2" t="inlineStr">
        <is>
          <t>Hash/open checked; prior review reused</t>
        </is>
      </c>
      <c r="F7" s="2" t="inlineStr">
        <is>
          <t>/workspace/attachments/2d2bfd9d-58b4-45b5-9b23-013e947fac6f/Appendix A-16 List of Agencies.pdf</t>
        </is>
      </c>
    </row>
    <row r="8">
      <c r="A8" s="2" t="inlineStr">
        <is>
          <t>Appendix A-17.pdf</t>
        </is>
      </c>
      <c r="B8" s="2" t="inlineStr">
        <is>
          <t>5d5cde215d0959b2e8126df4a2daf7edb4f91a7fc428146dda9d905c4aad6d6a</t>
        </is>
      </c>
      <c r="C8" s="2" t="n">
        <v>2</v>
      </c>
      <c r="D8" s="2" t="n"/>
      <c r="E8" s="2" t="inlineStr">
        <is>
          <t>Hash/open checked; prior review reused</t>
        </is>
      </c>
      <c r="F8" s="2" t="inlineStr">
        <is>
          <t>/workspace/attachments/0cc90703-59ca-4d42-87f6-a21665d44d80/Appendix A-17.pdf</t>
        </is>
      </c>
    </row>
    <row r="9">
      <c r="A9" s="2" t="inlineStr">
        <is>
          <t>Appendix A-11 Offshore SVL Revision 12.1.pdf</t>
        </is>
      </c>
      <c r="B9" s="2" t="inlineStr">
        <is>
          <t>86d3ab9001388087d63075d5cde421a51a6d1f4c5857fda8e18f7459637f5381</t>
        </is>
      </c>
      <c r="C9" s="2" t="n">
        <v>2</v>
      </c>
      <c r="D9" s="2" t="n"/>
      <c r="E9" s="2" t="inlineStr">
        <is>
          <t>Hash/open checked; prior review reused</t>
        </is>
      </c>
      <c r="F9" s="2" t="inlineStr">
        <is>
          <t>/workspace/attachments/53ebe58d-28b5-4afe-a534-d4e5e90c0768/Appendix A-11 Offshore SVL Revision 12.1.pdf</t>
        </is>
      </c>
    </row>
    <row r="10">
      <c r="A10" s="2" t="inlineStr">
        <is>
          <t>Appendix B-5.pdf</t>
        </is>
      </c>
      <c r="B10" s="2" t="inlineStr">
        <is>
          <t>82222c4cdca2f142d619e139280c264c68085cca7444ad0f1152204a91f1bf3e</t>
        </is>
      </c>
      <c r="C10" s="2" t="n">
        <v>3</v>
      </c>
      <c r="D10" s="2" t="n"/>
      <c r="E10" s="2" t="inlineStr">
        <is>
          <t>Hash/open checked; prior review reused</t>
        </is>
      </c>
      <c r="F10" s="2" t="inlineStr">
        <is>
          <t>/workspace/attachments/0f6b6e5d-3512-48b3-b967-7e0b5e54488c/Appendix B-5.pdf</t>
        </is>
      </c>
    </row>
    <row r="11">
      <c r="A11" s="2" t="inlineStr">
        <is>
          <t>Appendix B-6.pdf</t>
        </is>
      </c>
      <c r="B11" s="2" t="inlineStr">
        <is>
          <t>dd4ce8688af1b3976c4fc752c9a19e4e14d43984c0e25733d11c6703d9919858</t>
        </is>
      </c>
      <c r="C11" s="2" t="n">
        <v>2</v>
      </c>
      <c r="D11" s="2" t="n"/>
      <c r="E11" s="2" t="inlineStr">
        <is>
          <t>Hash/open checked; prior review reused</t>
        </is>
      </c>
      <c r="F11" s="2" t="inlineStr">
        <is>
          <t>/workspace/attachments/4bee04c0-bc1c-43e2-9067-bf305f40553e/Appendix B-6.pdf</t>
        </is>
      </c>
    </row>
    <row r="12">
      <c r="A12" s="2" t="inlineStr">
        <is>
          <t>Appendix C-9.pdf</t>
        </is>
      </c>
      <c r="B12" s="2" t="inlineStr">
        <is>
          <t>f20a85ca3a13c08e62bb18a41838d9e32910cd4f0d7c6b0ab0623df4ca9aeec5</t>
        </is>
      </c>
      <c r="C12" s="2" t="n">
        <v>2</v>
      </c>
      <c r="D12" s="2" t="n"/>
      <c r="E12" s="2" t="inlineStr">
        <is>
          <t>Hash/open checked; prior review reused</t>
        </is>
      </c>
      <c r="F12" s="2" t="inlineStr">
        <is>
          <t>/workspace/attachments/253ac71f-d176-432c-911f-60a8f984d59d/Appendix C-9.pdf</t>
        </is>
      </c>
    </row>
    <row r="13">
      <c r="A13" s="2" t="inlineStr">
        <is>
          <t>Appendix C-8 DCI MCI.pdf</t>
        </is>
      </c>
      <c r="B13" s="2" t="inlineStr">
        <is>
          <t>086b2f7837d09bc6320e2e0794f5b73fc7788b2cb9ecb5a08fa76836e2c97944</t>
        </is>
      </c>
      <c r="C13" s="2" t="n">
        <v>2</v>
      </c>
      <c r="D13" s="2" t="n"/>
      <c r="E13" s="2" t="inlineStr">
        <is>
          <t>Hash/open checked; prior review reused</t>
        </is>
      </c>
      <c r="F13" s="2" t="inlineStr">
        <is>
          <t>/workspace/attachments/5e260e43-5134-4a2f-a8df-817300abf68d/Appendix C-8 DCI MCI.pdf</t>
        </is>
      </c>
    </row>
    <row r="14">
      <c r="A14" s="2" t="inlineStr">
        <is>
          <t>Appendix C-10.pdf</t>
        </is>
      </c>
      <c r="B14" s="2" t="inlineStr">
        <is>
          <t>8f0b1be35e96cc0e953e8614b751f08a987dca4a9060c54319b231f113d7d2d7</t>
        </is>
      </c>
      <c r="C14" s="2" t="n">
        <v>2</v>
      </c>
      <c r="D14" s="2" t="n"/>
      <c r="E14" s="2" t="inlineStr">
        <is>
          <t>Hash/open checked; prior review reused</t>
        </is>
      </c>
      <c r="F14" s="2" t="inlineStr">
        <is>
          <t>/workspace/attachments/0c0ae9b7-787b-400e-bb17-d6a1c1a58cb8/Appendix C-10.pdf</t>
        </is>
      </c>
    </row>
    <row r="15">
      <c r="A15" s="2" t="inlineStr">
        <is>
          <t>chart.pdf</t>
        </is>
      </c>
      <c r="B15" s="2" t="inlineStr">
        <is>
          <t>30e8cf255d41edc9930b28ee4a2bea2c82dcd033222333c9a5e914ba0cb16b00</t>
        </is>
      </c>
      <c r="C15" s="2" t="n">
        <v>0</v>
      </c>
      <c r="D15" s="2" t="n"/>
      <c r="E15" s="2" t="inlineStr">
        <is>
          <t>Distinct content screened; discipline detail still required</t>
        </is>
      </c>
      <c r="F15" s="2" t="inlineStr">
        <is>
          <t>/workspace/attachments/790dcc2a-429d-42e1-9aa9-b5fc913b3310/chart.pdf</t>
        </is>
      </c>
    </row>
    <row r="16">
      <c r="A16" s="2" t="inlineStr">
        <is>
          <t>Combined_Addendum_2.pdf</t>
        </is>
      </c>
      <c r="B16" s="2" t="inlineStr">
        <is>
          <t>f251ecb31a55528c700e82a095c36459b3b84610385d490fd492cc1ce1b9a6b4</t>
        </is>
      </c>
      <c r="C16" s="2" t="n">
        <v>2</v>
      </c>
      <c r="D16" s="2" t="n"/>
      <c r="E16" s="2" t="inlineStr">
        <is>
          <t>Hash/open checked; prior review reused</t>
        </is>
      </c>
      <c r="F16" s="2" t="inlineStr">
        <is>
          <t>/workspace/attachments/13283f00-2c75-40f7-9ce4-22e8724d624a/Combined_Addendum_2.pdf</t>
        </is>
      </c>
    </row>
    <row r="17">
      <c r="A17" s="2" t="inlineStr">
        <is>
          <t>Combined_Addendum_1 (1).pdf</t>
        </is>
      </c>
      <c r="B17" s="2" t="inlineStr">
        <is>
          <t>dfda0877c74c0745763a6d8eb0e8894014d27b22ec72c8f44955c933cadf1d65</t>
        </is>
      </c>
      <c r="C17" s="2" t="n">
        <v>4</v>
      </c>
      <c r="D17" s="2" t="n"/>
      <c r="E17" s="2" t="inlineStr">
        <is>
          <t>Hash/open checked; prior review reused</t>
        </is>
      </c>
      <c r="F17" s="2" t="inlineStr">
        <is>
          <t>/workspace/attachments/042f23bd-8110-4235-96d8-8673e520ea0d/Combined_Addendum_1 (1).pdf</t>
        </is>
      </c>
    </row>
    <row r="18">
      <c r="A18" s="2" t="inlineStr">
        <is>
          <t>Corrigendum.pdf</t>
        </is>
      </c>
      <c r="B18" s="2" t="inlineStr">
        <is>
          <t>02142550f5d609a6a2ffe4ed64d441eaa00540663cee661ed318446e6e19dea6</t>
        </is>
      </c>
      <c r="C18" s="2" t="n">
        <v>1</v>
      </c>
      <c r="D18" s="2" t="n"/>
      <c r="E18" s="2" t="inlineStr">
        <is>
          <t>Hash/open checked; prior review reused</t>
        </is>
      </c>
      <c r="F18" s="2" t="inlineStr">
        <is>
          <t>/workspace/attachments/a569298e-9b51-4a0a-865f-1a4350827b47/Corrigendum.pdf</t>
        </is>
      </c>
    </row>
    <row r="19">
      <c r="A19" s="2" t="inlineStr">
        <is>
          <t>Combined_Addendum_1.pdf</t>
        </is>
      </c>
      <c r="B19" s="2" t="inlineStr">
        <is>
          <t>dfda0877c74c0745763a6d8eb0e8894014d27b22ec72c8f44955c933cadf1d65</t>
        </is>
      </c>
      <c r="C19" s="2" t="n">
        <v>4</v>
      </c>
      <c r="D19" s="2" t="inlineStr">
        <is>
          <t>Combined_Addendum_1 (1).pdf</t>
        </is>
      </c>
      <c r="E19" s="2" t="inlineStr">
        <is>
          <t>Hash/open checked; prior review reused</t>
        </is>
      </c>
      <c r="F19" s="2" t="inlineStr">
        <is>
          <t>/workspace/attachments/24075e12-e392-4681-ac05-3e4aa60baea8/Combined_Addendum_1.pdf</t>
        </is>
      </c>
    </row>
    <row r="20">
      <c r="A20" s="2" t="inlineStr">
        <is>
          <t>Corrigendum_1_BRRP.pdf</t>
        </is>
      </c>
      <c r="B20" s="2" t="inlineStr">
        <is>
          <t>54977537e10a8249587ad2965eca04a057eaa45f932e6a229959bc3fa30ab7c4</t>
        </is>
      </c>
      <c r="C20" s="2" t="n">
        <v>1</v>
      </c>
      <c r="D20" s="2" t="n"/>
      <c r="E20" s="2" t="inlineStr">
        <is>
          <t>Hash/open checked; prior review reused</t>
        </is>
      </c>
      <c r="F20" s="2" t="inlineStr">
        <is>
          <t>/workspace/attachments/ce432d19-ef2c-4984-9b8f-1061008c14af/Corrigendum_1_BRRP.pdf</t>
        </is>
      </c>
    </row>
    <row r="21">
      <c r="A21" s="2" t="inlineStr">
        <is>
          <t>Corrigendum_2.pdf</t>
        </is>
      </c>
      <c r="B21" s="2" t="inlineStr">
        <is>
          <t>cb996ec5837ec4dcfab1a55e4ffcb56248919a73d70cd53492d64d39a2a7b435</t>
        </is>
      </c>
      <c r="C21" s="2" t="n">
        <v>1</v>
      </c>
      <c r="D21" s="2" t="n"/>
      <c r="E21" s="2" t="inlineStr">
        <is>
          <t>Hash/open checked; prior review reused</t>
        </is>
      </c>
      <c r="F21" s="2" t="inlineStr">
        <is>
          <t>/workspace/attachments/6f519900-18e2-4842-a3a4-47eab8f9279c/Corrigendum_2.pdf</t>
        </is>
      </c>
    </row>
    <row r="22">
      <c r="A22" s="2" t="inlineStr">
        <is>
          <t>Corrigendum_3.pdf</t>
        </is>
      </c>
      <c r="B22" s="2" t="inlineStr">
        <is>
          <t>e8a07f4059dcb9b81c1cc45b2ae60154c0c142999955b347d2c60133619656d7</t>
        </is>
      </c>
      <c r="C22" s="2" t="n">
        <v>1</v>
      </c>
      <c r="D22" s="2" t="n"/>
      <c r="E22" s="2" t="inlineStr">
        <is>
          <t>Hash/open checked; prior review reused</t>
        </is>
      </c>
      <c r="F22" s="2" t="inlineStr">
        <is>
          <t>/workspace/attachments/7932c206-c79d-4425-99a1-c83f9e788608/Corrigendum_3.pdf</t>
        </is>
      </c>
    </row>
    <row r="23">
      <c r="A23" s="2" t="inlineStr">
        <is>
          <t>Corrigendum_4.pdf</t>
        </is>
      </c>
      <c r="B23" s="2" t="inlineStr">
        <is>
          <t>623614acba28baadc68c22229c039399e9b4385c0945b787197b2dedaaa4acf4</t>
        </is>
      </c>
      <c r="C23" s="2" t="n">
        <v>1</v>
      </c>
      <c r="D23" s="2" t="n"/>
      <c r="E23" s="2" t="inlineStr">
        <is>
          <t>Hash/open checked; prior review reused</t>
        </is>
      </c>
      <c r="F23" s="2" t="inlineStr">
        <is>
          <t>/workspace/attachments/e3752b17-cf9c-472e-a3f1-cdcfb97319d9/Corrigendum_4.pdf</t>
        </is>
      </c>
    </row>
    <row r="24">
      <c r="A24" s="2" t="inlineStr">
        <is>
          <t>CQ_replies_BRRP.pdf</t>
        </is>
      </c>
      <c r="B24" s="2" t="inlineStr">
        <is>
          <t>b006f3d20e7ae10d9800b1b9fabfb3104091b09878fcd6bb83b2f328e926df4a</t>
        </is>
      </c>
      <c r="C24" s="2" t="n">
        <v>1</v>
      </c>
      <c r="D24" s="2" t="n"/>
      <c r="E24" s="2" t="inlineStr">
        <is>
          <t>Hash/open checked; prior review reused</t>
        </is>
      </c>
      <c r="F24" s="2" t="inlineStr">
        <is>
          <t>/workspace/attachments/dfc717ae-169c-4f98-a676-e4f9135968bb/CQ_replies_BRRP.pdf</t>
        </is>
      </c>
    </row>
    <row r="25">
      <c r="A25" s="2" t="inlineStr">
        <is>
          <t>IP (1).pdf</t>
        </is>
      </c>
      <c r="B25" s="2" t="inlineStr">
        <is>
          <t>8692fb4bca724408df3fe1ec8377faa678e6238f3fe14bb55fbc6ca4b8cdcf50</t>
        </is>
      </c>
      <c r="C25" s="2" t="n">
        <v>2</v>
      </c>
      <c r="D25" s="2" t="n"/>
      <c r="E25" s="2" t="inlineStr">
        <is>
          <t>Hash/open checked; prior review reused</t>
        </is>
      </c>
      <c r="F25" s="2" t="inlineStr">
        <is>
          <t>/workspace/attachments/86b20843-c858-4bbc-ba34-1eb21ae00511/IP (1).pdf</t>
        </is>
      </c>
    </row>
    <row r="26">
      <c r="A26" s="2" t="inlineStr">
        <is>
          <t>Combined_Addendum_3.pdf</t>
        </is>
      </c>
      <c r="B26" s="2" t="inlineStr">
        <is>
          <t>6d6369b880718f0b84da0776adc723d99eae59b591c8b5d45f1f0b2596b9d5b6</t>
        </is>
      </c>
      <c r="C26" s="2" t="n">
        <v>1</v>
      </c>
      <c r="D26" s="2" t="n"/>
      <c r="E26" s="2" t="inlineStr">
        <is>
          <t>Hash/open checked; prior review reused</t>
        </is>
      </c>
      <c r="F26" s="2" t="inlineStr">
        <is>
          <t>/workspace/attachments/1bc81107-8f35-4cbf-9221-83ba100de6ba/Combined_Addendum_3.pdf</t>
        </is>
      </c>
    </row>
    <row r="27">
      <c r="A27" s="2" t="inlineStr">
        <is>
          <t>Design Criteria &amp; Execution Methodology.pdf</t>
        </is>
      </c>
      <c r="B27" s="2" t="inlineStr">
        <is>
          <t>179b05dabdb90971b5132d38f2a1aa755ce091b640b4e844fa7b0c9cc4a7e706</t>
        </is>
      </c>
      <c r="C27" s="2" t="n">
        <v>2</v>
      </c>
      <c r="D27" s="2" t="n"/>
      <c r="E27" s="2" t="inlineStr">
        <is>
          <t>Hash/open checked; prior review reused</t>
        </is>
      </c>
      <c r="F27" s="2" t="inlineStr">
        <is>
          <t>/workspace/attachments/88e427dd-3a5a-4b8d-bdbd-b42e46560820/Design Criteria &amp; Execution Methodology.pdf</t>
        </is>
      </c>
    </row>
    <row r="28">
      <c r="A28" s="2" t="inlineStr">
        <is>
          <t>IP.pdf</t>
        </is>
      </c>
      <c r="B28" s="2" t="inlineStr">
        <is>
          <t>8692fb4bca724408df3fe1ec8377faa678e6238f3fe14bb55fbc6ca4b8cdcf50</t>
        </is>
      </c>
      <c r="C28" s="2" t="n">
        <v>2</v>
      </c>
      <c r="D28" s="2" t="inlineStr">
        <is>
          <t>IP (1).pdf</t>
        </is>
      </c>
      <c r="E28" s="2" t="inlineStr">
        <is>
          <t>Hash/open checked; prior review reused</t>
        </is>
      </c>
      <c r="F28" s="2" t="inlineStr">
        <is>
          <t>/workspace/attachments/e09fff9b-4787-43dc-9837-32803d295090/IP.pdf</t>
        </is>
      </c>
    </row>
    <row r="29">
      <c r="A29" s="2" t="inlineStr">
        <is>
          <t>Kits PPE List-BRRP.pdf</t>
        </is>
      </c>
      <c r="B29" s="2" t="inlineStr">
        <is>
          <t>44e2e5f2214d741c15380702504a73ae00076ab5954bb6ce96011a1e06aed841</t>
        </is>
      </c>
      <c r="C29" s="2" t="n">
        <v>1</v>
      </c>
      <c r="D29" s="2" t="n"/>
      <c r="E29" s="2" t="inlineStr">
        <is>
          <t>Hash/open checked; prior review reused</t>
        </is>
      </c>
      <c r="F29" s="2" t="inlineStr">
        <is>
          <t>/workspace/attachments/fd490052-5a1c-457b-8b21-f994277ea8ec/Kits PPE List-BRRP.pdf</t>
        </is>
      </c>
    </row>
    <row r="30">
      <c r="A30" s="2" t="inlineStr">
        <is>
          <t>Section 1.pdf</t>
        </is>
      </c>
      <c r="B30" s="2" t="inlineStr">
        <is>
          <t>4396fb90c823805128145920d1348e69942a65e501773d80457a3b671e0f3641</t>
        </is>
      </c>
      <c r="C30" s="2" t="n">
        <v>1</v>
      </c>
      <c r="D30" s="2" t="n"/>
      <c r="E30" s="2" t="inlineStr">
        <is>
          <t>Hash/open checked; prior review reused</t>
        </is>
      </c>
      <c r="F30" s="2" t="inlineStr">
        <is>
          <t>/workspace/attachments/8da610f6-1801-4fe3-823d-e61a9d261607/Section 1.pdf</t>
        </is>
      </c>
    </row>
    <row r="31">
      <c r="A31" s="2" t="inlineStr">
        <is>
          <t>Section 2.pdf</t>
        </is>
      </c>
      <c r="B31" s="2" t="inlineStr">
        <is>
          <t>1d6c9da72ce45156e95586056c6d96a06da9563a9a27817dc77935d6fa470a7f</t>
        </is>
      </c>
      <c r="C31" s="2" t="n">
        <v>2</v>
      </c>
      <c r="D31" s="2" t="n"/>
      <c r="E31" s="2" t="inlineStr">
        <is>
          <t>Hash/open checked; prior review reused</t>
        </is>
      </c>
      <c r="F31" s="2" t="inlineStr">
        <is>
          <t>/workspace/attachments/42bc04a5-aa70-4b68-8f62-6aa20791774b/Section 2.pdf</t>
        </is>
      </c>
    </row>
    <row r="32">
      <c r="A32" s="2" t="inlineStr">
        <is>
          <t>MTO Drawings IRT.pdf</t>
        </is>
      </c>
      <c r="B32" s="2" t="inlineStr">
        <is>
          <t>0a8a008d8bc139d05c75f83c52ba23d637c1f78926b7a19e4007297ac52485cb</t>
        </is>
      </c>
      <c r="C32" s="2" t="n">
        <v>1</v>
      </c>
      <c r="D32" s="2" t="n"/>
      <c r="E32" s="2" t="inlineStr">
        <is>
          <t>Hash/open checked; prior review reused</t>
        </is>
      </c>
      <c r="F32" s="2" t="inlineStr">
        <is>
          <t>/workspace/attachments/6ac405c9-4cf3-4694-b74c-4bf32ee762e0/MTO Drawings IRT.pdf</t>
        </is>
      </c>
    </row>
    <row r="33">
      <c r="A33" s="2" t="inlineStr">
        <is>
          <t>SHIVANSH ONGC Offshore Bridges - PRELIMINARY.xlsx</t>
        </is>
      </c>
      <c r="B33" s="2" t="inlineStr">
        <is>
          <t>caba714d2cc9b32ddf723228a57797a6e588463c0554ced81701982fcd7f7f20</t>
        </is>
      </c>
      <c r="C33" s="2" t="n">
        <v>2</v>
      </c>
      <c r="D33" s="2" t="n"/>
      <c r="E33" s="2" t="inlineStr">
        <is>
          <t>Hash/open checked; prior review reused</t>
        </is>
      </c>
      <c r="F33" s="2" t="inlineStr">
        <is>
          <t>/workspace/attachments/d9e9d456-d843-439f-9b8b-ba2073e00690/SHIVANSH ONGC Offshore Bridges - PRELIMINARY.xlsx</t>
        </is>
      </c>
    </row>
    <row r="34">
      <c r="A34" s="2" t="inlineStr">
        <is>
          <t>SHIVANSH_360_Day_EPC_Scheduling_Control_Workbook.xlsx</t>
        </is>
      </c>
      <c r="B34" s="2" t="inlineStr">
        <is>
          <t>a4545c34bc3bfdf771c5918e9335e6b288626e024a5f517e4eb0ca7f6fe870ee</t>
        </is>
      </c>
      <c r="C34" s="2" t="n">
        <v>2</v>
      </c>
      <c r="D34" s="2" t="n"/>
      <c r="E34" s="2" t="inlineStr">
        <is>
          <t>Hash/open checked; prior review reused</t>
        </is>
      </c>
      <c r="F34" s="2" t="inlineStr">
        <is>
          <t>/workspace/attachments/9d725d18-b225-48ae-b2c7-08bfdae07e20/SHIVANSH_360_Day_EPC_Scheduling_Control_Workbook.xlsx</t>
        </is>
      </c>
    </row>
    <row r="35">
      <c r="A35" s="2" t="inlineStr">
        <is>
          <t>Shivansh_BRRPP_Integrated_Execution_Control.xlsx</t>
        </is>
      </c>
      <c r="B35" s="2" t="inlineStr">
        <is>
          <t>2c64809e2cbab409c9897e19ee5b46768287708a1adb9f923457d03177f24c36</t>
        </is>
      </c>
      <c r="C35" s="2" t="n">
        <v>2</v>
      </c>
      <c r="D35" s="2" t="n"/>
      <c r="E35" s="2" t="inlineStr">
        <is>
          <t>Hash/open checked; prior review reused</t>
        </is>
      </c>
      <c r="F35" s="2" t="inlineStr">
        <is>
          <t>/workspace/attachments/e26488ad-6288-488e-9a57-e805e58d373d/Shivansh_BRRPP_Integrated_Execution_Control.xlsx</t>
        </is>
      </c>
    </row>
    <row r="36">
      <c r="A36" s="2" t="inlineStr">
        <is>
          <t>Section 3.pdf</t>
        </is>
      </c>
      <c r="B36" s="2" t="inlineStr">
        <is>
          <t>64146db7c46ea30fc3e5161cea2ce94bdb3435e4aefe05a81cfac0174c141108</t>
        </is>
      </c>
      <c r="C36" s="2" t="n">
        <v>2</v>
      </c>
      <c r="D36" s="2" t="n"/>
      <c r="E36" s="2" t="inlineStr">
        <is>
          <t>Hash/open checked; prior review reused</t>
        </is>
      </c>
      <c r="F36" s="2" t="inlineStr">
        <is>
          <t>/workspace/attachments/e8998ddd-f666-4184-8a06-cfe98fcee70d/Section 3.pdf</t>
        </is>
      </c>
    </row>
    <row r="37">
      <c r="A37" s="2" t="inlineStr">
        <is>
          <t>Shivansh_BRRPP_Level3_P6_Preparation.xlsx</t>
        </is>
      </c>
      <c r="B37" s="2" t="inlineStr">
        <is>
          <t>186a4f446d7691b5c726f32e8600482c7abde182ef9bbc7d11c07729e4706074</t>
        </is>
      </c>
      <c r="C37" s="2" t="n">
        <v>2</v>
      </c>
      <c r="D37" s="2" t="n"/>
      <c r="E37" s="2" t="inlineStr">
        <is>
          <t>Hash/open checked; prior review reused</t>
        </is>
      </c>
      <c r="F37" s="2" t="inlineStr">
        <is>
          <t>/workspace/attachments/5cd8d5fa-208f-4c83-8634-cc48ce45f232/Shivansh_BRRPP_Level3_P6_Preparation.xlsx</t>
        </is>
      </c>
    </row>
    <row r="38">
      <c r="A38" s="2" t="inlineStr">
        <is>
          <t>Shivansh_BRRPP_P6_Activity_Import.csv</t>
        </is>
      </c>
      <c r="B38" s="2" t="inlineStr">
        <is>
          <t>cd3865f25e6d42bccc800bd4344e38816fdcf68c6dbbe63c26a0e76096f358d7</t>
        </is>
      </c>
      <c r="C38" s="2" t="n">
        <v>1</v>
      </c>
      <c r="D38" s="2" t="n"/>
      <c r="E38" s="2" t="inlineStr">
        <is>
          <t>Hash/open checked; prior review reused</t>
        </is>
      </c>
      <c r="F38" s="2" t="inlineStr">
        <is>
          <t>/workspace/attachments/93fa0f79-840c-4179-a70c-0453a58a772a/Shivansh_BRRPP_P6_Activity_Import.csv</t>
        </is>
      </c>
    </row>
    <row r="39">
      <c r="A39" s="2" t="inlineStr">
        <is>
          <t>Shivansh_BRRPP_Stage4_Resource_Cost_Marine_Planning.xlsx</t>
        </is>
      </c>
      <c r="B39" s="2" t="inlineStr">
        <is>
          <t>88adcd75ff58317d0215801c0cee35b3f8aa03b024e8acbd45382e8138db56f0</t>
        </is>
      </c>
      <c r="C39" s="2" t="n">
        <v>1</v>
      </c>
      <c r="D39" s="2" t="n"/>
      <c r="E39" s="2" t="inlineStr">
        <is>
          <t>Hash/open checked; prior review reused</t>
        </is>
      </c>
      <c r="F39" s="2" t="inlineStr">
        <is>
          <t>/workspace/attachments/7dc15993-36a3-4025-9400-43b50a6634fa/Shivansh_BRRPP_Stage4_Resource_Cost_Marine_Planning.xlsx</t>
        </is>
      </c>
    </row>
    <row r="40">
      <c r="A40" s="2" t="inlineStr">
        <is>
          <t>Shivansh_BRRPP_Stage5_Integrated_Marine_Yard_Cost_P6.xlsx</t>
        </is>
      </c>
      <c r="B40" s="2" t="inlineStr">
        <is>
          <t>ac85c7dec0f9db25e971b0795623e465a92732bcc873ba6234bd21f485cc2036</t>
        </is>
      </c>
      <c r="C40" s="2" t="n">
        <v>1</v>
      </c>
      <c r="D40" s="2" t="n"/>
      <c r="E40" s="2" t="inlineStr">
        <is>
          <t>Hash/open checked; prior review reused</t>
        </is>
      </c>
      <c r="F40" s="2" t="inlineStr">
        <is>
          <t>/workspace/attachments/d26e8648-ae53-4e11-9b9e-462a8c2d2bf2/Shivansh_BRRPP_Stage5_Integrated_Marine_Yard_Cost_P6.xlsx</t>
        </is>
      </c>
    </row>
    <row r="41">
      <c r="A41" s="2" t="inlineStr">
        <is>
          <t>Shivansh_BRRPP_Stage10_Resource_Feasibility (1).xlsx</t>
        </is>
      </c>
      <c r="B41" s="2" t="inlineStr">
        <is>
          <t>44df6c84070a16804ad83487e7575ba1e99569a53e267c8e3da83ac9cfd59621</t>
        </is>
      </c>
      <c r="C41" s="2" t="n">
        <v>3</v>
      </c>
      <c r="D41" s="2" t="n"/>
      <c r="E41" s="2" t="inlineStr">
        <is>
          <t>Hash/open checked; prior review reused</t>
        </is>
      </c>
      <c r="F41" s="2" t="inlineStr">
        <is>
          <t>/workspace/attachments/eb12ce0c-0f11-4e8b-8f79-44bee2a5c743/Shivansh_BRRPP_Stage10_Resource_Feasibility (1).xlsx</t>
        </is>
      </c>
    </row>
    <row r="42">
      <c r="A42" s="2" t="inlineStr">
        <is>
          <t>Shivansh_BRRPP_Stage10_Resource_Feasibility.xlsx</t>
        </is>
      </c>
      <c r="B42" s="2" t="inlineStr">
        <is>
          <t>44df6c84070a16804ad83487e7575ba1e99569a53e267c8e3da83ac9cfd59621</t>
        </is>
      </c>
      <c r="C42" s="2" t="n">
        <v>3</v>
      </c>
      <c r="D42" s="2" t="inlineStr">
        <is>
          <t>Shivansh_BRRPP_Stage10_Resource_Feasibility (1).xlsx</t>
        </is>
      </c>
      <c r="E42" s="2" t="inlineStr">
        <is>
          <t>Hash/open checked; prior review reused</t>
        </is>
      </c>
      <c r="F42" s="2" t="inlineStr">
        <is>
          <t>/workspace/attachments/af8b4024-34f5-445c-bf5a-6a9bdfb92b31/Shivansh_BRRPP_Stage10_Resource_Feasibility.xlsx</t>
        </is>
      </c>
    </row>
    <row r="43">
      <c r="A43" s="2" t="inlineStr">
        <is>
          <t>Shivansh_BRRPP_Stage25_Cost_Cashflow_Model.xlsx</t>
        </is>
      </c>
      <c r="B43" s="2" t="inlineStr">
        <is>
          <t>a46229faa98cf1d94ebad3412394eda944398ea5f209b3da5b3fce3af1c0a7d6</t>
        </is>
      </c>
      <c r="C43" s="2" t="n">
        <v>2</v>
      </c>
      <c r="D43" s="2" t="n"/>
      <c r="E43" s="2" t="inlineStr">
        <is>
          <t>Hash/open checked; prior review reused</t>
        </is>
      </c>
      <c r="F43" s="2" t="inlineStr">
        <is>
          <t>/workspace/attachments/b862be55-df27-453e-abe6-771340b8533c/Shivansh_BRRPP_Stage25_Cost_Cashflow_Model.xlsx</t>
        </is>
      </c>
    </row>
    <row r="44">
      <c r="A44" s="2" t="inlineStr">
        <is>
          <t>Shivansh_BRRPP_Stage26_Revenue_Cashflow_WorkingCapital (1).xlsx</t>
        </is>
      </c>
      <c r="B44" s="2" t="inlineStr">
        <is>
          <t>9627644802f34de8ab9f44420ab6b7bad0437a6dbd5ea2a8dc0228d6f53bc422</t>
        </is>
      </c>
      <c r="C44" s="2" t="n">
        <v>2</v>
      </c>
      <c r="D44" s="2" t="n"/>
      <c r="E44" s="2" t="inlineStr">
        <is>
          <t>Hash/open checked; prior review reused</t>
        </is>
      </c>
      <c r="F44" s="2" t="inlineStr">
        <is>
          <t>/workspace/attachments/ecfd871a-db42-4242-b752-7c413a1065c2/Shivansh_BRRPP_Stage26_Revenue_Cashflow_WorkingCapital (1).xlsx</t>
        </is>
      </c>
    </row>
    <row r="45">
      <c r="A45" s="2" t="inlineStr">
        <is>
          <t>Shivansh_BRRPP_Stage26_Revenue_Cashflow_WorkingCapital.xlsx</t>
        </is>
      </c>
      <c r="B45" s="2" t="inlineStr">
        <is>
          <t>9627644802f34de8ab9f44420ab6b7bad0437a6dbd5ea2a8dc0228d6f53bc422</t>
        </is>
      </c>
      <c r="C45" s="2" t="n">
        <v>2</v>
      </c>
      <c r="D45" s="2" t="inlineStr">
        <is>
          <t>Shivansh_BRRPP_Stage26_Revenue_Cashflow_WorkingCapital (1).xlsx</t>
        </is>
      </c>
      <c r="E45" s="2" t="inlineStr">
        <is>
          <t>Hash/open checked; prior review reused</t>
        </is>
      </c>
      <c r="F45" s="2" t="inlineStr">
        <is>
          <t>/workspace/attachments/f5e8b898-0da0-4e8c-a489-363b2fc2e689/Shivansh_BRRPP_Stage26_Revenue_Cashflow_WorkingCapital.xlsx</t>
        </is>
      </c>
    </row>
    <row r="46">
      <c r="A46" s="2" t="inlineStr">
        <is>
          <t>Shivansh_BRRPP_Stage27_Integrated_EPC_Control.xlsx</t>
        </is>
      </c>
      <c r="B46" s="2" t="inlineStr">
        <is>
          <t>eaf6f3d25ff076225065d995c586af645d046c87ddc6bd205845e630ede8b4ef</t>
        </is>
      </c>
      <c r="C46" s="2" t="n">
        <v>0</v>
      </c>
      <c r="D46" s="2" t="n"/>
      <c r="E46" s="2" t="inlineStr">
        <is>
          <t>Distinct content screened; discipline detail still required</t>
        </is>
      </c>
      <c r="F46" s="2" t="inlineStr">
        <is>
          <t>/workspace/attachments/c1f134e0-4c2b-483e-837f-7666380a5b4d/Shivansh_BRRPP_Stage27_Integrated_EPC_Control.xlsx</t>
        </is>
      </c>
    </row>
    <row r="47">
      <c r="A47" s="2" t="inlineStr">
        <is>
          <t>Shivansh_BRRPP_Stage28_Level4_Execution_Schedule.xlsx</t>
        </is>
      </c>
      <c r="B47" s="2" t="inlineStr">
        <is>
          <t>9614bca82b60f80b1f746d826905e951351c8630aed6ec1009a194b83f5fb747</t>
        </is>
      </c>
      <c r="C47" s="2" t="n">
        <v>1</v>
      </c>
      <c r="D47" s="2" t="n"/>
      <c r="E47" s="2" t="inlineStr">
        <is>
          <t>Hash/open checked; prior review reused</t>
        </is>
      </c>
      <c r="F47" s="2" t="inlineStr">
        <is>
          <t>/workspace/attachments/b5a48b69-16ae-4076-a4c5-9cf21de00369/Shivansh_BRRPP_Stage28_Level4_Execution_Schedule.xlsx</t>
        </is>
      </c>
    </row>
    <row r="48">
      <c r="A48" s="2" t="inlineStr">
        <is>
          <t>Shivansh_BRRPP_Stage29_Resource_Recovery_Model.xlsx</t>
        </is>
      </c>
      <c r="B48" s="2" t="inlineStr">
        <is>
          <t>df1667a6a69dff2106ff4befae034044ceaf70a2876e448ba6561901adaa6f59</t>
        </is>
      </c>
      <c r="C48" s="2" t="n">
        <v>1</v>
      </c>
      <c r="D48" s="2" t="n"/>
      <c r="E48" s="2" t="inlineStr">
        <is>
          <t>Hash/open checked; prior review reused</t>
        </is>
      </c>
      <c r="F48" s="2" t="inlineStr">
        <is>
          <t>/workspace/attachments/5295e035-9004-4880-a5d5-8d42ef7d3efc/Shivansh_BRRPP_Stage29_Resource_Recovery_Model.xlsx</t>
        </is>
      </c>
    </row>
    <row r="49">
      <c r="A49" s="2" t="inlineStr">
        <is>
          <t>Shivansh_BRRPP_Stage30_Workpack_Productivity_Control.xlsx</t>
        </is>
      </c>
      <c r="B49" s="2" t="inlineStr">
        <is>
          <t>cb59fab7d9a995acde11a16d7ab6a90dcc9c9c8b1b9f399439c8522dad76f678</t>
        </is>
      </c>
      <c r="C49" s="2" t="n">
        <v>0</v>
      </c>
      <c r="D49" s="2" t="n"/>
      <c r="E49" s="2" t="inlineStr">
        <is>
          <t>Distinct content screened; discipline detail still required</t>
        </is>
      </c>
      <c r="F49" s="2" t="inlineStr">
        <is>
          <t>/workspace/attachments/b58cc7bd-094f-4859-bbd6-71c815d50643/Shivansh_BRRPP_Stage30_Workpack_Productivity_Control.xlsx</t>
        </is>
      </c>
    </row>
    <row r="50">
      <c r="A50" s="2" t="inlineStr">
        <is>
          <t>Shivansh_BRRPP_Stage31_Daily_Readiness_Production_System.xlsx</t>
        </is>
      </c>
      <c r="B50" s="2" t="inlineStr">
        <is>
          <t>8b3de0f36bc9a4109bb5d9163df942dab56258ed44ae9b708e8308d1bc16cc5b</t>
        </is>
      </c>
      <c r="C50" s="2" t="n">
        <v>0</v>
      </c>
      <c r="D50" s="2" t="n"/>
      <c r="E50" s="2" t="inlineStr">
        <is>
          <t>Distinct content screened; discipline detail still required</t>
        </is>
      </c>
      <c r="F50" s="2" t="inlineStr">
        <is>
          <t>/workspace/attachments/af5f377a-ecb4-4cc9-99de-17190c087166/Shivansh_BRRPP_Stage31_Daily_Readiness_Production_System.xlsx</t>
        </is>
      </c>
    </row>
    <row r="51">
      <c r="A51" s="2" t="inlineStr">
        <is>
          <t>Shivansh_BRRPP_Stage32_Productivity_Forecast_Control (1).xlsx</t>
        </is>
      </c>
      <c r="B51" s="2" t="inlineStr">
        <is>
          <t>ac040e820fafb1c9806f6840331bf5c1272ba1df89f7b0ae87292b7aec99b7a0</t>
        </is>
      </c>
      <c r="C51" s="2" t="n">
        <v>0</v>
      </c>
      <c r="D51" s="2" t="n"/>
      <c r="E51" s="2" t="inlineStr">
        <is>
          <t>Distinct content screened; discipline detail still required</t>
        </is>
      </c>
      <c r="F51" s="2" t="inlineStr">
        <is>
          <t>/workspace/attachments/406d956f-fdc8-4096-8ed2-57dfdb944f4c/Shivansh_BRRPP_Stage32_Productivity_Forecast_Control (1).xlsx</t>
        </is>
      </c>
    </row>
    <row r="52">
      <c r="A52" s="2" t="inlineStr">
        <is>
          <t>Shivansh_BRRPP_Stage33_Early_Warning_Recovery_Dashboard.xlsx</t>
        </is>
      </c>
      <c r="B52" s="2" t="inlineStr">
        <is>
          <t>5bdcdaf794159caa61180384c6cdc30c01ff9485836f7c9b0693ea7e42f9b7cd</t>
        </is>
      </c>
      <c r="C52" s="2" t="n">
        <v>1</v>
      </c>
      <c r="D52" s="2" t="n"/>
      <c r="E52" s="2" t="inlineStr">
        <is>
          <t>Hash/open checked; prior review reused</t>
        </is>
      </c>
      <c r="F52" s="2" t="inlineStr">
        <is>
          <t>/workspace/attachments/d957c5a5-a5e2-43c2-9ee2-d27b00e087ef/Shivansh_BRRPP_Stage33_Early_Warning_Recovery_Dashboard.xlsx</t>
        </is>
      </c>
    </row>
    <row r="53">
      <c r="A53" s="2" t="inlineStr">
        <is>
          <t>Shivansh_BRRPP_Stage32_Productivity_Forecast_Control.xlsx</t>
        </is>
      </c>
      <c r="B53" s="2" t="inlineStr">
        <is>
          <t>ac040e820fafb1c9806f6840331bf5c1272ba1df89f7b0ae87292b7aec99b7a0</t>
        </is>
      </c>
      <c r="C53" s="2" t="n">
        <v>0</v>
      </c>
      <c r="D53" s="2" t="inlineStr">
        <is>
          <t>Shivansh_BRRPP_Stage32_Productivity_Forecast_Control (1).xlsx</t>
        </is>
      </c>
      <c r="E53" s="2" t="inlineStr">
        <is>
          <t>Distinct content screened; discipline detail still required</t>
        </is>
      </c>
      <c r="F53" s="2" t="inlineStr">
        <is>
          <t>/workspace/attachments/87831bc1-2707-4555-8297-b539759e21d3/Shivansh_BRRPP_Stage32_Productivity_Forecast_Control.xlsx</t>
        </is>
      </c>
    </row>
    <row r="54">
      <c r="A54" s="2" t="inlineStr">
        <is>
          <t>Shivansh_BRRPP_Stage35_90_Day_Mobilisation_Command_Plan.xlsx</t>
        </is>
      </c>
      <c r="B54" s="2" t="inlineStr">
        <is>
          <t>5f19dcee0c81c6931459a5972763e6339eb036ac386518074246b415d1fc5be8</t>
        </is>
      </c>
      <c r="C54" s="2" t="n">
        <v>1</v>
      </c>
      <c r="D54" s="2" t="n"/>
      <c r="E54" s="2" t="inlineStr">
        <is>
          <t>Hash/open checked; prior review reused</t>
        </is>
      </c>
      <c r="F54" s="2" t="inlineStr">
        <is>
          <t>/workspace/attachments/f9408db4-29b9-482e-8e94-de2213453ddf/Shivansh_BRRPP_Stage35_90_Day_Mobilisation_Command_Plan.xlsx</t>
        </is>
      </c>
    </row>
    <row r="55">
      <c r="A55" s="2" t="inlineStr">
        <is>
          <t>Shivansh_BRRPP_Stage34_Integrated_EPC_Control_Centre.xlsx</t>
        </is>
      </c>
      <c r="B55" s="2" t="inlineStr">
        <is>
          <t>bc4b4615629759d31ccc86ba1e4ecf532ee00d38596caad9a0da760c945362d6</t>
        </is>
      </c>
      <c r="C55" s="2" t="n">
        <v>1</v>
      </c>
      <c r="D55" s="2" t="n"/>
      <c r="E55" s="2" t="inlineStr">
        <is>
          <t>Hash/open checked; prior review reused</t>
        </is>
      </c>
      <c r="F55" s="2" t="inlineStr">
        <is>
          <t>/workspace/attachments/eb68b3fc-f253-47a2-b220-ff21f3834259/Shivansh_BRRPP_Stage34_Integrated_EPC_Control_Centre.xlsx</t>
        </is>
      </c>
    </row>
    <row r="56">
      <c r="A56" s="2" t="inlineStr">
        <is>
          <t>SHIVANSH_EPC_Master_Plan_All_6_Volumes.zip</t>
        </is>
      </c>
      <c r="B56" s="2" t="inlineStr">
        <is>
          <t>d3d3ec37f51bb3dae0e4e52ff8af94dd9735bfcd341f12fb8debdb33c1354dd1</t>
        </is>
      </c>
      <c r="C56" s="2" t="n">
        <v>1</v>
      </c>
      <c r="D56" s="2" t="n"/>
      <c r="E56" s="2" t="inlineStr">
        <is>
          <t>Hash/open checked; prior review reused</t>
        </is>
      </c>
      <c r="F56" s="2" t="inlineStr">
        <is>
          <t>/workspace/attachments/37c20864-f5e3-4a94-85c7-cc94db455b87/SHIVANSH_EPC_Master_Plan_All_6_Volumes.zip</t>
        </is>
      </c>
    </row>
    <row r="57">
      <c r="A57" s="2" t="inlineStr">
        <is>
          <t>SHIVANSH_EPC_Master_Plan_Volume_1 - Copy.docx</t>
        </is>
      </c>
      <c r="B57" s="2" t="inlineStr">
        <is>
          <t>9b5eb6c4f99d251e612ffcc5acd598f69427282d0d12a4a1cf7a5c933ab3af6f</t>
        </is>
      </c>
      <c r="C57" s="2" t="n">
        <v>1</v>
      </c>
      <c r="D57" s="2" t="n"/>
      <c r="E57" s="2" t="inlineStr">
        <is>
          <t>Hash/open checked; prior review reused</t>
        </is>
      </c>
      <c r="F57" s="2" t="inlineStr">
        <is>
          <t>/workspace/attachments/0518acf9-e4f9-4e04-8b74-c94b26366252/SHIVANSH_EPC_Master_Plan_Volume_1 - Copy.docx</t>
        </is>
      </c>
    </row>
    <row r="58">
      <c r="A58" s="2" t="inlineStr">
        <is>
          <t>SHIVANSH_EPC_Master_Plan_Volume_1.docx</t>
        </is>
      </c>
      <c r="B58" s="2" t="inlineStr">
        <is>
          <t>9b5eb6c4f99d251e612ffcc5acd598f69427282d0d12a4a1cf7a5c933ab3af6f</t>
        </is>
      </c>
      <c r="C58" s="2" t="n">
        <v>1</v>
      </c>
      <c r="D58" s="2" t="inlineStr">
        <is>
          <t>SHIVANSH_EPC_Master_Plan_Volume_1 - Copy.docx</t>
        </is>
      </c>
      <c r="E58" s="2" t="inlineStr">
        <is>
          <t>Hash/open checked; prior review reused</t>
        </is>
      </c>
      <c r="F58" s="2" t="inlineStr">
        <is>
          <t>/workspace/attachments/27497066-85c1-47c6-93db-8c616fd503c6/SHIVANSH_EPC_Master_Plan_Volume_1.docx</t>
        </is>
      </c>
    </row>
    <row r="59">
      <c r="A59" s="2" t="inlineStr">
        <is>
          <t>SHIVANSH_EPC_Master_Plan_Volume_2 - Copy (2) - Copy.docx</t>
        </is>
      </c>
      <c r="B59" s="2" t="inlineStr">
        <is>
          <t>ce3642b042ad5b0013de702d9361b1759e5c8e3fbd12839ba2a65de97cf17533</t>
        </is>
      </c>
      <c r="C59" s="2" t="n">
        <v>0</v>
      </c>
      <c r="D59" s="2" t="n"/>
      <c r="E59" s="2" t="inlineStr">
        <is>
          <t>Distinct content screened; discipline detail still required</t>
        </is>
      </c>
      <c r="F59" s="2" t="inlineStr">
        <is>
          <t>/workspace/attachments/44c92e4b-5800-43ac-97df-48e11ac8d63b/SHIVANSH_EPC_Master_Plan_Volume_2 - Copy (2) - Copy.docx</t>
        </is>
      </c>
    </row>
    <row r="60">
      <c r="A60" s="2" t="inlineStr">
        <is>
          <t>SHIVANSH_EPC_Master_Plan_Volume_2 - Copy (2).docx</t>
        </is>
      </c>
      <c r="B60" s="2" t="inlineStr">
        <is>
          <t>ce3642b042ad5b0013de702d9361b1759e5c8e3fbd12839ba2a65de97cf17533</t>
        </is>
      </c>
      <c r="C60" s="2" t="n">
        <v>0</v>
      </c>
      <c r="D60" s="2" t="inlineStr">
        <is>
          <t>SHIVANSH_EPC_Master_Plan_Volume_2 - Copy (2) - Copy.docx</t>
        </is>
      </c>
      <c r="E60" s="2" t="inlineStr">
        <is>
          <t>Distinct content screened; discipline detail still required</t>
        </is>
      </c>
      <c r="F60" s="2" t="inlineStr">
        <is>
          <t>/workspace/attachments/4448d91b-75d1-4b69-99e3-1c2b1a86b75c/SHIVANSH_EPC_Master_Plan_Volume_2 - Copy (2).docx</t>
        </is>
      </c>
    </row>
    <row r="61">
      <c r="A61" s="2" t="inlineStr">
        <is>
          <t>SHIVANSH_EPC_Master_Plan_Volume_2 - Copy.docx</t>
        </is>
      </c>
      <c r="B61" s="2" t="inlineStr">
        <is>
          <t>ce3642b042ad5b0013de702d9361b1759e5c8e3fbd12839ba2a65de97cf17533</t>
        </is>
      </c>
      <c r="C61" s="2" t="n">
        <v>0</v>
      </c>
      <c r="D61" s="2" t="inlineStr">
        <is>
          <t>SHIVANSH_EPC_Master_Plan_Volume_2 - Copy (2) - Copy.docx</t>
        </is>
      </c>
      <c r="E61" s="2" t="inlineStr">
        <is>
          <t>Distinct content screened; discipline detail still required</t>
        </is>
      </c>
      <c r="F61" s="2" t="inlineStr">
        <is>
          <t>/workspace/attachments/64000d7c-788f-4100-8ae7-a2015a09c0d2/SHIVANSH_EPC_Master_Plan_Volume_2 - Copy.docx</t>
        </is>
      </c>
    </row>
    <row r="62">
      <c r="A62" s="2" t="inlineStr">
        <is>
          <t>SHIVANSH_EPC_Master_Plan_Volume_3 - Copy - Copy - Copy.docx</t>
        </is>
      </c>
      <c r="B62" s="2" t="inlineStr">
        <is>
          <t>c477c827f9aa7be3bb8ee77c5e4ae906d13836dac27daee468518f4ff869c526</t>
        </is>
      </c>
      <c r="C62" s="2" t="n">
        <v>0</v>
      </c>
      <c r="D62" s="2" t="n"/>
      <c r="E62" s="2" t="inlineStr">
        <is>
          <t>Distinct content screened; discipline detail still required</t>
        </is>
      </c>
      <c r="F62" s="2" t="inlineStr">
        <is>
          <t>/workspace/attachments/8a6d78e8-4db2-4f46-96a6-9eae1c917653/SHIVANSH_EPC_Master_Plan_Volume_3 - Copy - Copy - Copy.docx</t>
        </is>
      </c>
    </row>
    <row r="63">
      <c r="A63" s="2" t="inlineStr">
        <is>
          <t>SHIVANSH_EPC_Master_Plan_Volume_3 - Copy - Copy (2).docx</t>
        </is>
      </c>
      <c r="B63" s="2" t="inlineStr">
        <is>
          <t>c477c827f9aa7be3bb8ee77c5e4ae906d13836dac27daee468518f4ff869c526</t>
        </is>
      </c>
      <c r="C63" s="2" t="n">
        <v>0</v>
      </c>
      <c r="D63" s="2" t="inlineStr">
        <is>
          <t>SHIVANSH_EPC_Master_Plan_Volume_3 - Copy - Copy - Copy.docx</t>
        </is>
      </c>
      <c r="E63" s="2" t="inlineStr">
        <is>
          <t>Distinct content screened; discipline detail still required</t>
        </is>
      </c>
      <c r="F63" s="2" t="inlineStr">
        <is>
          <t>/workspace/attachments/3e570754-b37e-4c16-a5f3-5fefb1847ca2/SHIVANSH_EPC_Master_Plan_Volume_3 - Copy - Copy (2).docx</t>
        </is>
      </c>
    </row>
    <row r="64">
      <c r="A64" s="2" t="inlineStr">
        <is>
          <t>SHIVANSH_EPC_Master_Plan_Volume_2.docx</t>
        </is>
      </c>
      <c r="B64" s="2" t="inlineStr">
        <is>
          <t>ce3642b042ad5b0013de702d9361b1759e5c8e3fbd12839ba2a65de97cf17533</t>
        </is>
      </c>
      <c r="C64" s="2" t="n">
        <v>0</v>
      </c>
      <c r="D64" s="2" t="inlineStr">
        <is>
          <t>SHIVANSH_EPC_Master_Plan_Volume_2 - Copy (2) - Copy.docx</t>
        </is>
      </c>
      <c r="E64" s="2" t="inlineStr">
        <is>
          <t>Distinct content screened; discipline detail still required</t>
        </is>
      </c>
      <c r="F64" s="2" t="inlineStr">
        <is>
          <t>/workspace/attachments/f8a5dc0c-f647-4318-be98-22b2f8f4b7a6/SHIVANSH_EPC_Master_Plan_Volume_2.docx</t>
        </is>
      </c>
    </row>
    <row r="65">
      <c r="A65" s="2" t="inlineStr">
        <is>
          <t>SHIVANSH_EPC_Master_Plan_Volume_3 - Copy - Copy.docx</t>
        </is>
      </c>
      <c r="B65" s="2" t="inlineStr">
        <is>
          <t>c477c827f9aa7be3bb8ee77c5e4ae906d13836dac27daee468518f4ff869c526</t>
        </is>
      </c>
      <c r="C65" s="2" t="n">
        <v>0</v>
      </c>
      <c r="D65" s="2" t="inlineStr">
        <is>
          <t>SHIVANSH_EPC_Master_Plan_Volume_3 - Copy - Copy - Copy.docx</t>
        </is>
      </c>
      <c r="E65" s="2" t="inlineStr">
        <is>
          <t>Distinct content screened; discipline detail still required</t>
        </is>
      </c>
      <c r="F65" s="2" t="inlineStr">
        <is>
          <t>/workspace/attachments/ee92c4a0-d95c-41b3-a1cc-8581af1ee023/SHIVANSH_EPC_Master_Plan_Volume_3 - Copy - Copy.docx</t>
        </is>
      </c>
    </row>
    <row r="66">
      <c r="A66" s="2" t="inlineStr">
        <is>
          <t>SHIVANSH_EPC_Master_Plan_Volume_3 - Copy (2) - Copy.docx</t>
        </is>
      </c>
      <c r="B66" s="2" t="inlineStr">
        <is>
          <t>c477c827f9aa7be3bb8ee77c5e4ae906d13836dac27daee468518f4ff869c526</t>
        </is>
      </c>
      <c r="C66" s="2" t="n">
        <v>0</v>
      </c>
      <c r="D66" s="2" t="inlineStr">
        <is>
          <t>SHIVANSH_EPC_Master_Plan_Volume_3 - Copy - Copy - Copy.docx</t>
        </is>
      </c>
      <c r="E66" s="2" t="inlineStr">
        <is>
          <t>Distinct content screened; discipline detail still required</t>
        </is>
      </c>
      <c r="F66" s="2" t="inlineStr">
        <is>
          <t>/workspace/attachments/7a21c556-65d6-482c-a802-ed369b4d4df9/SHIVANSH_EPC_Master_Plan_Volume_3 - Copy (2) - Copy.docx</t>
        </is>
      </c>
    </row>
    <row r="67">
      <c r="A67" s="2" t="inlineStr">
        <is>
          <t>SHIVANSH_EPC_Master_Plan_Volume_3 - Copy (2).docx</t>
        </is>
      </c>
      <c r="B67" s="2" t="inlineStr">
        <is>
          <t>c477c827f9aa7be3bb8ee77c5e4ae906d13836dac27daee468518f4ff869c526</t>
        </is>
      </c>
      <c r="C67" s="2" t="n">
        <v>0</v>
      </c>
      <c r="D67" s="2" t="inlineStr">
        <is>
          <t>SHIVANSH_EPC_Master_Plan_Volume_3 - Copy - Copy - Copy.docx</t>
        </is>
      </c>
      <c r="E67" s="2" t="inlineStr">
        <is>
          <t>Distinct content screened; discipline detail still required</t>
        </is>
      </c>
      <c r="F67" s="2" t="inlineStr">
        <is>
          <t>/workspace/attachments/6ad32486-2ba2-4baf-a610-d11053809828/SHIVANSH_EPC_Master_Plan_Volume_3 - Copy (2).docx</t>
        </is>
      </c>
    </row>
    <row r="68">
      <c r="A68" s="2" t="inlineStr">
        <is>
          <t>SHIVANSH_EPC_Master_Plan_Volume_3 - Copy (3).docx</t>
        </is>
      </c>
      <c r="B68" s="2" t="inlineStr">
        <is>
          <t>c477c827f9aa7be3bb8ee77c5e4ae906d13836dac27daee468518f4ff869c526</t>
        </is>
      </c>
      <c r="C68" s="2" t="n">
        <v>0</v>
      </c>
      <c r="D68" s="2" t="inlineStr">
        <is>
          <t>SHIVANSH_EPC_Master_Plan_Volume_3 - Copy - Copy - Copy.docx</t>
        </is>
      </c>
      <c r="E68" s="2" t="inlineStr">
        <is>
          <t>Distinct content screened; discipline detail still required</t>
        </is>
      </c>
      <c r="F68" s="2" t="inlineStr">
        <is>
          <t>/workspace/attachments/cde4c99b-9f2d-43d9-bef9-3fdd909b5310/SHIVANSH_EPC_Master_Plan_Volume_3 - Copy (3).docx</t>
        </is>
      </c>
    </row>
    <row r="69">
      <c r="A69" s="2" t="inlineStr">
        <is>
          <t>PRELIMINARY.pdf</t>
        </is>
      </c>
      <c r="B69" s="2" t="inlineStr"/>
      <c r="C69" s="2" t="n">
        <v>0</v>
      </c>
      <c r="D69" s="2" t="inlineStr"/>
      <c r="E69" s="2" t="inlineStr">
        <is>
          <t>file exceeds the executor transfer limit of 32 MiB</t>
        </is>
      </c>
      <c r="F69" s="2" t="inlineStr"/>
    </row>
  </sheetData>
  <autoFilter ref="A1:F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7"/>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s>
  <sheetData>
    <row r="1">
      <c r="A1" s="1" t="inlineStr">
        <is>
          <t>File</t>
        </is>
      </c>
      <c r="B1" s="1" t="inlineStr">
        <is>
          <t>SHA256</t>
        </is>
      </c>
      <c r="C1" s="1" t="inlineStr">
        <is>
          <t>Prior exact matches</t>
        </is>
      </c>
      <c r="D1" s="1" t="inlineStr">
        <is>
          <t>Duplicate</t>
        </is>
      </c>
      <c r="E1" s="1" t="inlineStr">
        <is>
          <t>Disposition</t>
        </is>
      </c>
    </row>
    <row r="2">
      <c r="A2" s="2" t="inlineStr">
        <is>
          <t>SHIVANSH_EPC_Master_Plan_Volume_5 - Copy - Copy - Copy.docx</t>
        </is>
      </c>
      <c r="B2" s="2" t="inlineStr">
        <is>
          <t>780b6b86fcd5d34d71bf2cc18548d62a298cee1a296ad7636365ee10c2ff9226</t>
        </is>
      </c>
      <c r="C2" s="2" t="n">
        <v>0</v>
      </c>
      <c r="D2" s="2" t="n"/>
      <c r="E2" s="2" t="inlineStr">
        <is>
          <t>Duplicate comparison; P13 content/XML screening</t>
        </is>
      </c>
    </row>
    <row r="3">
      <c r="A3" s="2" t="inlineStr">
        <is>
          <t>SHIVANSH_EPC_Master_Plan_Volume_4.docx</t>
        </is>
      </c>
      <c r="B3" s="2" t="inlineStr">
        <is>
          <t>fdbbcaf61b89b33696bc164ebf7c866c81f4cac5d9ee8bda20b38c00087f038f</t>
        </is>
      </c>
      <c r="C3" s="2" t="n">
        <v>0</v>
      </c>
      <c r="D3" s="2" t="n"/>
      <c r="E3" s="2" t="inlineStr">
        <is>
          <t>Duplicate comparison; P13 content/XML screening</t>
        </is>
      </c>
    </row>
    <row r="4">
      <c r="A4" s="2" t="inlineStr">
        <is>
          <t>SHIVANSH_EPC_Master_Plan_Volume_4 - Copy.docx</t>
        </is>
      </c>
      <c r="B4" s="2" t="inlineStr">
        <is>
          <t>fdbbcaf61b89b33696bc164ebf7c866c81f4cac5d9ee8bda20b38c00087f038f</t>
        </is>
      </c>
      <c r="C4" s="2" t="n">
        <v>0</v>
      </c>
      <c r="D4" s="2" t="inlineStr">
        <is>
          <t>SHIVANSH_EPC_Master_Plan_Volume_4.docx</t>
        </is>
      </c>
      <c r="E4" s="2" t="inlineStr">
        <is>
          <t>Duplicate comparison; P13 content/XML screening</t>
        </is>
      </c>
    </row>
    <row r="5">
      <c r="A5" s="2" t="inlineStr">
        <is>
          <t>SHIVANSH_EPC_Master_Plan_Volume_5 - Copy (2).docx</t>
        </is>
      </c>
      <c r="B5" s="2" t="inlineStr">
        <is>
          <t>780b6b86fcd5d34d71bf2cc18548d62a298cee1a296ad7636365ee10c2ff9226</t>
        </is>
      </c>
      <c r="C5" s="2" t="n">
        <v>0</v>
      </c>
      <c r="D5" s="2" t="inlineStr">
        <is>
          <t>SHIVANSH_EPC_Master_Plan_Volume_5 - Copy - Copy - Copy.docx</t>
        </is>
      </c>
      <c r="E5" s="2" t="inlineStr">
        <is>
          <t>Duplicate comparison; P13 content/XML screening</t>
        </is>
      </c>
    </row>
    <row r="6">
      <c r="A6" s="2" t="inlineStr">
        <is>
          <t>SHIVANSH_EPC_Master_Plan_Volume_5 - Copy - Copy.docx</t>
        </is>
      </c>
      <c r="B6" s="2" t="inlineStr">
        <is>
          <t>780b6b86fcd5d34d71bf2cc18548d62a298cee1a296ad7636365ee10c2ff9226</t>
        </is>
      </c>
      <c r="C6" s="2" t="n">
        <v>0</v>
      </c>
      <c r="D6" s="2" t="inlineStr">
        <is>
          <t>SHIVANSH_EPC_Master_Plan_Volume_5 - Copy - Copy - Copy.docx</t>
        </is>
      </c>
      <c r="E6" s="2" t="inlineStr">
        <is>
          <t>Duplicate comparison; P13 content/XML screening</t>
        </is>
      </c>
    </row>
    <row r="7">
      <c r="A7" s="2" t="inlineStr">
        <is>
          <t>SHIVANSH_EPC_Master_Plan_Volume_5 - Copy (2) - Copy.docx</t>
        </is>
      </c>
      <c r="B7" s="2" t="inlineStr">
        <is>
          <t>780b6b86fcd5d34d71bf2cc18548d62a298cee1a296ad7636365ee10c2ff9226</t>
        </is>
      </c>
      <c r="C7" s="2" t="n">
        <v>0</v>
      </c>
      <c r="D7" s="2" t="inlineStr">
        <is>
          <t>SHIVANSH_EPC_Master_Plan_Volume_5 - Copy - Copy - Copy.docx</t>
        </is>
      </c>
      <c r="E7" s="2" t="inlineStr">
        <is>
          <t>Duplicate comparison; P13 content/XML screening</t>
        </is>
      </c>
    </row>
    <row r="8">
      <c r="A8" s="2" t="inlineStr">
        <is>
          <t>SHIVANSH_EPC_Master_Plan_Volume_5 - Copy.docx</t>
        </is>
      </c>
      <c r="B8" s="2" t="inlineStr">
        <is>
          <t>780b6b86fcd5d34d71bf2cc18548d62a298cee1a296ad7636365ee10c2ff9226</t>
        </is>
      </c>
      <c r="C8" s="2" t="n">
        <v>0</v>
      </c>
      <c r="D8" s="2" t="inlineStr">
        <is>
          <t>SHIVANSH_EPC_Master_Plan_Volume_5 - Copy - Copy - Copy.docx</t>
        </is>
      </c>
      <c r="E8" s="2" t="inlineStr">
        <is>
          <t>Duplicate comparison; P13 content/XML screening</t>
        </is>
      </c>
    </row>
    <row r="9">
      <c r="A9" s="2" t="inlineStr">
        <is>
          <t>SHIVANSH_EPC_Master_Plan_Volume_5.docx</t>
        </is>
      </c>
      <c r="B9" s="2" t="inlineStr">
        <is>
          <t>780b6b86fcd5d34d71bf2cc18548d62a298cee1a296ad7636365ee10c2ff9226</t>
        </is>
      </c>
      <c r="C9" s="2" t="n">
        <v>0</v>
      </c>
      <c r="D9" s="2" t="inlineStr">
        <is>
          <t>SHIVANSH_EPC_Master_Plan_Volume_5 - Copy - Copy - Copy.docx</t>
        </is>
      </c>
      <c r="E9" s="2" t="inlineStr">
        <is>
          <t>Duplicate comparison; P13 content/XML screening</t>
        </is>
      </c>
    </row>
    <row r="10">
      <c r="A10" s="2" t="inlineStr">
        <is>
          <t>SHIVANSH_EPC_Master_Plan_Volume_6 - Copy - Copy.docx</t>
        </is>
      </c>
      <c r="B10" s="2" t="inlineStr">
        <is>
          <t>210c62c17a32f6b0545c512e9ae7d145c318845c51edd1ab2af106cd7ba3d79e</t>
        </is>
      </c>
      <c r="C10" s="2" t="n">
        <v>0</v>
      </c>
      <c r="D10" s="2" t="n"/>
      <c r="E10" s="2" t="inlineStr">
        <is>
          <t>Duplicate comparison; P13 content/XML screening</t>
        </is>
      </c>
    </row>
    <row r="11">
      <c r="A11" s="2" t="inlineStr">
        <is>
          <t>SHIVANSH_EPC_Master_Plan_Volume_6.docx</t>
        </is>
      </c>
      <c r="B11" s="2" t="inlineStr">
        <is>
          <t>210c62c17a32f6b0545c512e9ae7d145c318845c51edd1ab2af106cd7ba3d79e</t>
        </is>
      </c>
      <c r="C11" s="2" t="n">
        <v>0</v>
      </c>
      <c r="D11" s="2" t="inlineStr">
        <is>
          <t>SHIVANSH_EPC_Master_Plan_Volume_6 - Copy - Copy.docx</t>
        </is>
      </c>
      <c r="E11" s="2" t="inlineStr">
        <is>
          <t>Duplicate comparison; P13 content/XML screening</t>
        </is>
      </c>
    </row>
    <row r="12">
      <c r="A12" s="2" t="inlineStr">
        <is>
          <t>SHIVANSH_PreAward_207_Activities_ProjectLibre_Import.xml</t>
        </is>
      </c>
      <c r="B12" s="2" t="inlineStr">
        <is>
          <t>d3f7199e9981a38001856c7fc4dfacadcc7158efe4310febc1c9040489b5bcb2</t>
        </is>
      </c>
      <c r="C12" s="2" t="n">
        <v>1</v>
      </c>
      <c r="D12" s="2" t="n"/>
      <c r="E12" s="2" t="inlineStr">
        <is>
          <t>Duplicate comparison; P13 content/XML screening</t>
        </is>
      </c>
    </row>
    <row r="13">
      <c r="A13" s="2" t="inlineStr">
        <is>
          <t>SHIVANSH_EPC_Master_Plan_Volume_6 - Copy.docx</t>
        </is>
      </c>
      <c r="B13" s="2" t="inlineStr">
        <is>
          <t>210c62c17a32f6b0545c512e9ae7d145c318845c51edd1ab2af106cd7ba3d79e</t>
        </is>
      </c>
      <c r="C13" s="2" t="n">
        <v>0</v>
      </c>
      <c r="D13" s="2" t="inlineStr">
        <is>
          <t>SHIVANSH_EPC_Master_Plan_Volume_6 - Copy - Copy.docx</t>
        </is>
      </c>
      <c r="E13" s="2" t="inlineStr">
        <is>
          <t>Duplicate comparison; P13 content/XML screening</t>
        </is>
      </c>
    </row>
    <row r="14">
      <c r="A14" s="2" t="inlineStr">
        <is>
          <t>SOW &amp; Bridge Report Combined - Copy - Copy.pdf</t>
        </is>
      </c>
      <c r="B14" s="2" t="inlineStr">
        <is>
          <t>1dd8c329d410a7ea7f6b497d8c0fb230e23feaeabcd80964503bdb530236770a</t>
        </is>
      </c>
      <c r="C14" s="2" t="n">
        <v>4</v>
      </c>
      <c r="D14" s="2" t="n"/>
      <c r="E14" s="2" t="inlineStr">
        <is>
          <t>Duplicate comparison; P13 content/XML screening</t>
        </is>
      </c>
    </row>
    <row r="15">
      <c r="A15" s="2" t="inlineStr">
        <is>
          <t>SOW &amp; Bridge Report Combined - Copy.pdf</t>
        </is>
      </c>
      <c r="B15" s="2" t="inlineStr">
        <is>
          <t>1dd8c329d410a7ea7f6b497d8c0fb230e23feaeabcd80964503bdb530236770a</t>
        </is>
      </c>
      <c r="C15" s="2" t="n">
        <v>4</v>
      </c>
      <c r="D15" s="2" t="inlineStr">
        <is>
          <t>SOW &amp; Bridge Report Combined - Copy - Copy.pdf</t>
        </is>
      </c>
      <c r="E15" s="2" t="inlineStr">
        <is>
          <t>Duplicate comparison; P13 content/XML screening</t>
        </is>
      </c>
    </row>
    <row r="16">
      <c r="A16" s="2" t="inlineStr">
        <is>
          <t>SOW &amp; Bridge Report Combined (3) - Copy - Copy.pdf</t>
        </is>
      </c>
      <c r="B16" s="2" t="inlineStr">
        <is>
          <t>1dd8c329d410a7ea7f6b497d8c0fb230e23feaeabcd80964503bdb530236770a</t>
        </is>
      </c>
      <c r="C16" s="2" t="n">
        <v>4</v>
      </c>
      <c r="D16" s="2" t="inlineStr">
        <is>
          <t>SOW &amp; Bridge Report Combined - Copy - Copy.pdf</t>
        </is>
      </c>
      <c r="E16" s="2" t="inlineStr">
        <is>
          <t>Duplicate comparison; P13 content/XML screening</t>
        </is>
      </c>
    </row>
    <row r="17">
      <c r="A17" s="2" t="inlineStr">
        <is>
          <t>SOW &amp; Bridge Report Combined (3) - Copy.pdf</t>
        </is>
      </c>
      <c r="B17" s="2" t="inlineStr">
        <is>
          <t>1dd8c329d410a7ea7f6b497d8c0fb230e23feaeabcd80964503bdb530236770a</t>
        </is>
      </c>
      <c r="C17" s="2" t="n">
        <v>4</v>
      </c>
      <c r="D17" s="2" t="inlineStr">
        <is>
          <t>SOW &amp; Bridge Report Combined - Copy - Copy.pdf</t>
        </is>
      </c>
      <c r="E17" s="2" t="inlineStr">
        <is>
          <t>Duplicate comparison; P13 content/XML screening</t>
        </is>
      </c>
    </row>
    <row r="18">
      <c r="A18" s="2" t="inlineStr">
        <is>
          <t>SOW &amp; Bridge Report Combined (3).pdf</t>
        </is>
      </c>
      <c r="B18" s="2" t="inlineStr">
        <is>
          <t>1dd8c329d410a7ea7f6b497d8c0fb230e23feaeabcd80964503bdb530236770a</t>
        </is>
      </c>
      <c r="C18" s="2" t="n">
        <v>4</v>
      </c>
      <c r="D18" s="2" t="inlineStr">
        <is>
          <t>SOW &amp; Bridge Report Combined - Copy - Copy.pdf</t>
        </is>
      </c>
      <c r="E18" s="2" t="inlineStr">
        <is>
          <t>Duplicate comparison; P13 content/XML screening</t>
        </is>
      </c>
    </row>
    <row r="19">
      <c r="A19" s="2" t="inlineStr">
        <is>
          <t>SOW &amp; Bridge Report Combined.pdf</t>
        </is>
      </c>
      <c r="B19" s="2" t="inlineStr">
        <is>
          <t>1dd8c329d410a7ea7f6b497d8c0fb230e23feaeabcd80964503bdb530236770a</t>
        </is>
      </c>
      <c r="C19" s="2" t="n">
        <v>4</v>
      </c>
      <c r="D19" s="2" t="inlineStr">
        <is>
          <t>SOW &amp; Bridge Report Combined - Copy - Copy.pdf</t>
        </is>
      </c>
      <c r="E19" s="2" t="inlineStr">
        <is>
          <t>Duplicate comparison; P13 content/XML screening</t>
        </is>
      </c>
    </row>
    <row r="20">
      <c r="A20" s="2" t="inlineStr">
        <is>
          <t>Specification Combined - Copy - Copy.pdf</t>
        </is>
      </c>
      <c r="B20" s="2" t="inlineStr">
        <is>
          <t>fcb66cef439b04510b11d0225c2c7327e70a7aeaa8476651e9adc4329a5095eb</t>
        </is>
      </c>
      <c r="C20" s="2" t="n">
        <v>4</v>
      </c>
      <c r="D20" s="2" t="n"/>
      <c r="E20" s="2" t="inlineStr">
        <is>
          <t>Duplicate comparison; P13 content/XML screening</t>
        </is>
      </c>
    </row>
    <row r="21">
      <c r="A21" s="2" t="inlineStr">
        <is>
          <t>Specification Combined - Copy - Copy - Copy.pdf</t>
        </is>
      </c>
      <c r="B21" s="2" t="inlineStr">
        <is>
          <t>fcb66cef439b04510b11d0225c2c7327e70a7aeaa8476651e9adc4329a5095eb</t>
        </is>
      </c>
      <c r="C21" s="2" t="n">
        <v>4</v>
      </c>
      <c r="D21" s="2" t="inlineStr">
        <is>
          <t>Specification Combined - Copy - Copy.pdf</t>
        </is>
      </c>
      <c r="E21" s="2" t="inlineStr">
        <is>
          <t>Duplicate comparison; P13 content/XML screening</t>
        </is>
      </c>
    </row>
    <row r="22">
      <c r="A22" s="2" t="inlineStr">
        <is>
          <t>Specification Combined - Copy.pdf</t>
        </is>
      </c>
      <c r="B22" s="2" t="inlineStr">
        <is>
          <t>fcb66cef439b04510b11d0225c2c7327e70a7aeaa8476651e9adc4329a5095eb</t>
        </is>
      </c>
      <c r="C22" s="2" t="n">
        <v>4</v>
      </c>
      <c r="D22" s="2" t="inlineStr">
        <is>
          <t>Specification Combined - Copy - Copy.pdf</t>
        </is>
      </c>
      <c r="E22" s="2" t="inlineStr">
        <is>
          <t>Duplicate comparison; P13 content/XML screening</t>
        </is>
      </c>
    </row>
    <row r="23">
      <c r="A23" s="2" t="inlineStr">
        <is>
          <t>Specification Combined - Copy (2) - Copy.pdf</t>
        </is>
      </c>
      <c r="B23" s="2" t="inlineStr">
        <is>
          <t>fcb66cef439b04510b11d0225c2c7327e70a7aeaa8476651e9adc4329a5095eb</t>
        </is>
      </c>
      <c r="C23" s="2" t="n">
        <v>4</v>
      </c>
      <c r="D23" s="2" t="inlineStr">
        <is>
          <t>Specification Combined - Copy - Copy.pdf</t>
        </is>
      </c>
      <c r="E23" s="2" t="inlineStr">
        <is>
          <t>Duplicate comparison; P13 content/XML screening</t>
        </is>
      </c>
    </row>
    <row r="24">
      <c r="A24" s="2" t="inlineStr">
        <is>
          <t>Specification Combined - Copy (2).pdf</t>
        </is>
      </c>
      <c r="B24" s="2" t="inlineStr">
        <is>
          <t>fcb66cef439b04510b11d0225c2c7327e70a7aeaa8476651e9adc4329a5095eb</t>
        </is>
      </c>
      <c r="C24" s="2" t="n">
        <v>4</v>
      </c>
      <c r="D24" s="2" t="inlineStr">
        <is>
          <t>Specification Combined - Copy - Copy.pdf</t>
        </is>
      </c>
      <c r="E24" s="2" t="inlineStr">
        <is>
          <t>Duplicate comparison; P13 content/XML screening</t>
        </is>
      </c>
    </row>
    <row r="25">
      <c r="A25" s="2" t="inlineStr">
        <is>
          <t>TBOextension050526 - Copy - Copy - Copy.pdf</t>
        </is>
      </c>
      <c r="B25" s="2" t="inlineStr">
        <is>
          <t>9b7cf7505a87a3743ad2da609f7cd2357ad0717a20aefae32c1baf4196876011</t>
        </is>
      </c>
      <c r="C25" s="2" t="n">
        <v>1</v>
      </c>
      <c r="D25" s="2" t="n"/>
      <c r="E25" s="2" t="inlineStr">
        <is>
          <t>Duplicate comparison; P13 content/XML screening</t>
        </is>
      </c>
    </row>
    <row r="26">
      <c r="A26" s="2" t="inlineStr">
        <is>
          <t>Specification Combined.pdf</t>
        </is>
      </c>
      <c r="B26" s="2" t="inlineStr">
        <is>
          <t>fcb66cef439b04510b11d0225c2c7327e70a7aeaa8476651e9adc4329a5095eb</t>
        </is>
      </c>
      <c r="C26" s="2" t="n">
        <v>4</v>
      </c>
      <c r="D26" s="2" t="inlineStr">
        <is>
          <t>Specification Combined - Copy - Copy.pdf</t>
        </is>
      </c>
      <c r="E26" s="2" t="inlineStr">
        <is>
          <t>Duplicate comparison; P13 content/XML screening</t>
        </is>
      </c>
    </row>
    <row r="27">
      <c r="A27" s="2" t="inlineStr">
        <is>
          <t>TBOextension050526 - Copy - Copy.pdf</t>
        </is>
      </c>
      <c r="B27" s="2" t="inlineStr">
        <is>
          <t>9b7cf7505a87a3743ad2da609f7cd2357ad0717a20aefae32c1baf4196876011</t>
        </is>
      </c>
      <c r="C27" s="2" t="n">
        <v>1</v>
      </c>
      <c r="D27" s="2" t="inlineStr">
        <is>
          <t>TBOextension050526 - Copy - Copy - Copy.pdf</t>
        </is>
      </c>
      <c r="E27" s="2" t="inlineStr">
        <is>
          <t>Duplicate comparison; P13 content/XML screening</t>
        </is>
      </c>
    </row>
    <row r="28">
      <c r="A28" s="2" t="inlineStr">
        <is>
          <t>TBOextension050526 - Copy (2).pdf</t>
        </is>
      </c>
      <c r="B28" s="2" t="inlineStr">
        <is>
          <t>9b7cf7505a87a3743ad2da609f7cd2357ad0717a20aefae32c1baf4196876011</t>
        </is>
      </c>
      <c r="C28" s="2" t="n">
        <v>1</v>
      </c>
      <c r="D28" s="2" t="inlineStr">
        <is>
          <t>TBOextension050526 - Copy - Copy - Copy.pdf</t>
        </is>
      </c>
      <c r="E28" s="2" t="inlineStr">
        <is>
          <t>Duplicate comparison; P13 content/XML screening</t>
        </is>
      </c>
    </row>
    <row r="29">
      <c r="A29" s="2" t="inlineStr">
        <is>
          <t>TBOextension050526 - Copy (2) - Copy.pdf</t>
        </is>
      </c>
      <c r="B29" s="2" t="inlineStr">
        <is>
          <t>9b7cf7505a87a3743ad2da609f7cd2357ad0717a20aefae32c1baf4196876011</t>
        </is>
      </c>
      <c r="C29" s="2" t="n">
        <v>1</v>
      </c>
      <c r="D29" s="2" t="inlineStr">
        <is>
          <t>TBOextension050526 - Copy - Copy - Copy.pdf</t>
        </is>
      </c>
      <c r="E29" s="2" t="inlineStr">
        <is>
          <t>Duplicate comparison; P13 content/XML screening</t>
        </is>
      </c>
    </row>
    <row r="30">
      <c r="A30" s="2" t="inlineStr">
        <is>
          <t>TBOextension050526 - Copy.pdf</t>
        </is>
      </c>
      <c r="B30" s="2" t="inlineStr">
        <is>
          <t>9b7cf7505a87a3743ad2da609f7cd2357ad0717a20aefae32c1baf4196876011</t>
        </is>
      </c>
      <c r="C30" s="2" t="n">
        <v>1</v>
      </c>
      <c r="D30" s="2" t="inlineStr">
        <is>
          <t>TBOextension050526 - Copy - Copy - Copy.pdf</t>
        </is>
      </c>
      <c r="E30" s="2" t="inlineStr">
        <is>
          <t>Duplicate comparison; P13 content/XML screening</t>
        </is>
      </c>
    </row>
    <row r="31">
      <c r="A31" s="2" t="inlineStr">
        <is>
          <t>TBOextension050526.pdf</t>
        </is>
      </c>
      <c r="B31" s="2" t="inlineStr">
        <is>
          <t>9b7cf7505a87a3743ad2da609f7cd2357ad0717a20aefae32c1baf4196876011</t>
        </is>
      </c>
      <c r="C31" s="2" t="n">
        <v>1</v>
      </c>
      <c r="D31" s="2" t="inlineStr">
        <is>
          <t>TBOextension050526 - Copy - Copy - Copy.pdf</t>
        </is>
      </c>
      <c r="E31" s="2" t="inlineStr">
        <is>
          <t>Duplicate comparison; P13 content/XML screening</t>
        </is>
      </c>
    </row>
    <row r="32">
      <c r="A32" s="2" t="inlineStr">
        <is>
          <t>TBOextension090626 - Copy - Copy.pdf</t>
        </is>
      </c>
      <c r="B32" s="2" t="inlineStr">
        <is>
          <t>916fdbeecc51c1c44bb20aa3cbc1a8ef3a246fbb0e7c38d605007f72d24021a1</t>
        </is>
      </c>
      <c r="C32" s="2" t="n">
        <v>2</v>
      </c>
      <c r="D32" s="2" t="n"/>
      <c r="E32" s="2" t="inlineStr">
        <is>
          <t>Duplicate comparison; P13 content/XML screening</t>
        </is>
      </c>
    </row>
    <row r="33">
      <c r="A33" s="2" t="inlineStr">
        <is>
          <t>TBOextension090626 - Copy.pdf</t>
        </is>
      </c>
      <c r="B33" s="2" t="inlineStr">
        <is>
          <t>916fdbeecc51c1c44bb20aa3cbc1a8ef3a246fbb0e7c38d605007f72d24021a1</t>
        </is>
      </c>
      <c r="C33" s="2" t="n">
        <v>2</v>
      </c>
      <c r="D33" s="2" t="inlineStr">
        <is>
          <t>TBOextension090626 - Copy - Copy.pdf</t>
        </is>
      </c>
      <c r="E33" s="2" t="inlineStr">
        <is>
          <t>Duplicate comparison; P13 content/XML screening</t>
        </is>
      </c>
    </row>
    <row r="34">
      <c r="A34" s="2" t="inlineStr">
        <is>
          <t>TBOextension090626 - Copy - Copy - Copy.pdf</t>
        </is>
      </c>
      <c r="B34" s="2" t="inlineStr">
        <is>
          <t>916fdbeecc51c1c44bb20aa3cbc1a8ef3a246fbb0e7c38d605007f72d24021a1</t>
        </is>
      </c>
      <c r="C34" s="2" t="n">
        <v>2</v>
      </c>
      <c r="D34" s="2" t="inlineStr">
        <is>
          <t>TBOextension090626 - Copy - Copy.pdf</t>
        </is>
      </c>
      <c r="E34" s="2" t="inlineStr">
        <is>
          <t>Duplicate comparison; P13 content/XML screening</t>
        </is>
      </c>
    </row>
    <row r="35">
      <c r="A35" s="2" t="inlineStr">
        <is>
          <t>TBOextension090626.pdf</t>
        </is>
      </c>
      <c r="B35" s="2" t="inlineStr">
        <is>
          <t>916fdbeecc51c1c44bb20aa3cbc1a8ef3a246fbb0e7c38d605007f72d24021a1</t>
        </is>
      </c>
      <c r="C35" s="2" t="n">
        <v>2</v>
      </c>
      <c r="D35" s="2" t="inlineStr">
        <is>
          <t>TBOextension090626 - Copy - Copy.pdf</t>
        </is>
      </c>
      <c r="E35" s="2" t="inlineStr">
        <is>
          <t>Duplicate comparison; P13 content/XML screening</t>
        </is>
      </c>
    </row>
    <row r="36">
      <c r="A36" s="2" t="inlineStr">
        <is>
          <t>TBOextension250526 - Copy - Copy - Copy.pdf</t>
        </is>
      </c>
      <c r="B36" s="2" t="inlineStr">
        <is>
          <t>c74098b236b0b059fe9cd539b814bf6838c586cd3a2701d63f41a0d579b7494b</t>
        </is>
      </c>
      <c r="C36" s="2" t="n">
        <v>1</v>
      </c>
      <c r="D36" s="2" t="n"/>
      <c r="E36" s="2" t="inlineStr">
        <is>
          <t>Duplicate comparison; P13 content/XML screening</t>
        </is>
      </c>
    </row>
    <row r="37">
      <c r="A37" s="2" t="inlineStr">
        <is>
          <t>TBOextension250526 - Copy - Copy.pdf</t>
        </is>
      </c>
      <c r="B37" s="2" t="inlineStr">
        <is>
          <t>c74098b236b0b059fe9cd539b814bf6838c586cd3a2701d63f41a0d579b7494b</t>
        </is>
      </c>
      <c r="C37" s="2" t="n">
        <v>1</v>
      </c>
      <c r="D37" s="2" t="inlineStr">
        <is>
          <t>TBOextension250526 - Copy - Copy - Copy.pdf</t>
        </is>
      </c>
      <c r="E37" s="2" t="inlineStr">
        <is>
          <t>Duplicate comparison; P13 content/XML screening</t>
        </is>
      </c>
    </row>
    <row r="38">
      <c r="A38" s="2" t="inlineStr">
        <is>
          <t>TBOextension250526 - Copy.pdf</t>
        </is>
      </c>
      <c r="B38" s="2" t="inlineStr">
        <is>
          <t>c74098b236b0b059fe9cd539b814bf6838c586cd3a2701d63f41a0d579b7494b</t>
        </is>
      </c>
      <c r="C38" s="2" t="n">
        <v>1</v>
      </c>
      <c r="D38" s="2" t="inlineStr">
        <is>
          <t>TBOextension250526 - Copy - Copy - Copy.pdf</t>
        </is>
      </c>
      <c r="E38" s="2" t="inlineStr">
        <is>
          <t>Duplicate comparison; P13 content/XML screening</t>
        </is>
      </c>
    </row>
    <row r="39">
      <c r="A39" s="2" t="inlineStr">
        <is>
          <t>TBOextension250526.pdf</t>
        </is>
      </c>
      <c r="B39" s="2" t="inlineStr">
        <is>
          <t>c74098b236b0b059fe9cd539b814bf6838c586cd3a2701d63f41a0d579b7494b</t>
        </is>
      </c>
      <c r="C39" s="2" t="n">
        <v>1</v>
      </c>
      <c r="D39" s="2" t="inlineStr">
        <is>
          <t>TBOextension250526 - Copy - Copy - Copy.pdf</t>
        </is>
      </c>
      <c r="E39" s="2" t="inlineStr">
        <is>
          <t>Duplicate comparison; P13 content/XML screening</t>
        </is>
      </c>
    </row>
    <row r="40">
      <c r="A40" s="2" t="inlineStr">
        <is>
          <t>Technical_SCC - Copy - Copy.pdf</t>
        </is>
      </c>
      <c r="B40" s="2" t="inlineStr">
        <is>
          <t>c954759fb14588581784c894f9ffe949760a608217a75f73809b4eefa937ee17</t>
        </is>
      </c>
      <c r="C40" s="2" t="n">
        <v>9</v>
      </c>
      <c r="D40" s="2" t="n"/>
      <c r="E40" s="2" t="inlineStr">
        <is>
          <t>Duplicate comparison; P13 content/XML screening</t>
        </is>
      </c>
    </row>
    <row r="41">
      <c r="A41" s="2" t="inlineStr">
        <is>
          <t>Technical_SCC - Copy - Copy - Copy.pdf</t>
        </is>
      </c>
      <c r="B41" s="2" t="inlineStr">
        <is>
          <t>c954759fb14588581784c894f9ffe949760a608217a75f73809b4eefa937ee17</t>
        </is>
      </c>
      <c r="C41" s="2" t="n">
        <v>9</v>
      </c>
      <c r="D41" s="2" t="inlineStr">
        <is>
          <t>Technical_SCC - Copy - Copy.pdf</t>
        </is>
      </c>
      <c r="E41" s="2" t="inlineStr">
        <is>
          <t>Duplicate comparison; P13 content/XML screening</t>
        </is>
      </c>
    </row>
    <row r="42">
      <c r="A42" s="2" t="inlineStr">
        <is>
          <t>Technical_SCC - Copy.pdf</t>
        </is>
      </c>
      <c r="B42" s="2" t="inlineStr">
        <is>
          <t>c954759fb14588581784c894f9ffe949760a608217a75f73809b4eefa937ee17</t>
        </is>
      </c>
      <c r="C42" s="2" t="n">
        <v>9</v>
      </c>
      <c r="D42" s="2" t="inlineStr">
        <is>
          <t>Technical_SCC - Copy - Copy.pdf</t>
        </is>
      </c>
      <c r="E42" s="2" t="inlineStr">
        <is>
          <t>Duplicate comparison; P13 content/XML screening</t>
        </is>
      </c>
    </row>
    <row r="43">
      <c r="A43" s="2" t="inlineStr">
        <is>
          <t>Technical_SCC (1) - Copy - Copy - Copy.pdf</t>
        </is>
      </c>
      <c r="B43" s="2" t="inlineStr">
        <is>
          <t>c954759fb14588581784c894f9ffe949760a608217a75f73809b4eefa937ee17</t>
        </is>
      </c>
      <c r="C43" s="2" t="n">
        <v>9</v>
      </c>
      <c r="D43" s="2" t="inlineStr">
        <is>
          <t>Technical_SCC - Copy - Copy.pdf</t>
        </is>
      </c>
      <c r="E43" s="2" t="inlineStr">
        <is>
          <t>Duplicate comparison; P13 content/XML screening</t>
        </is>
      </c>
    </row>
    <row r="44">
      <c r="A44" s="2" t="inlineStr">
        <is>
          <t>Technical_SCC (1) - Copy - Copy.pdf</t>
        </is>
      </c>
      <c r="B44" s="2" t="inlineStr">
        <is>
          <t>c954759fb14588581784c894f9ffe949760a608217a75f73809b4eefa937ee17</t>
        </is>
      </c>
      <c r="C44" s="2" t="n">
        <v>9</v>
      </c>
      <c r="D44" s="2" t="inlineStr">
        <is>
          <t>Technical_SCC - Copy - Copy.pdf</t>
        </is>
      </c>
      <c r="E44" s="2" t="inlineStr">
        <is>
          <t>Duplicate comparison; P13 content/XML screening</t>
        </is>
      </c>
    </row>
    <row r="45">
      <c r="A45" s="2" t="inlineStr">
        <is>
          <t>Technical_SCC (1) - Copy.pdf</t>
        </is>
      </c>
      <c r="B45" s="2" t="inlineStr">
        <is>
          <t>c954759fb14588581784c894f9ffe949760a608217a75f73809b4eefa937ee17</t>
        </is>
      </c>
      <c r="C45" s="2" t="n">
        <v>9</v>
      </c>
      <c r="D45" s="2" t="inlineStr">
        <is>
          <t>Technical_SCC - Copy - Copy.pdf</t>
        </is>
      </c>
      <c r="E45" s="2" t="inlineStr">
        <is>
          <t>Duplicate comparison; P13 content/XML screening</t>
        </is>
      </c>
    </row>
    <row r="46">
      <c r="A46" s="2" t="inlineStr">
        <is>
          <t>Technical_SCC (2) - Copy - Copy - Copy.pdf</t>
        </is>
      </c>
      <c r="B46" s="2" t="inlineStr">
        <is>
          <t>c954759fb14588581784c894f9ffe949760a608217a75f73809b4eefa937ee17</t>
        </is>
      </c>
      <c r="C46" s="2" t="n">
        <v>9</v>
      </c>
      <c r="D46" s="2" t="inlineStr">
        <is>
          <t>Technical_SCC - Copy - Copy.pdf</t>
        </is>
      </c>
      <c r="E46" s="2" t="inlineStr">
        <is>
          <t>Duplicate comparison; P13 content/XML screening</t>
        </is>
      </c>
    </row>
    <row r="47">
      <c r="A47" s="2" t="inlineStr">
        <is>
          <t>Technical_SCC (2) - Copy - Copy.pdf</t>
        </is>
      </c>
      <c r="B47" s="2" t="inlineStr">
        <is>
          <t>c954759fb14588581784c894f9ffe949760a608217a75f73809b4eefa937ee17</t>
        </is>
      </c>
      <c r="C47" s="2" t="n">
        <v>9</v>
      </c>
      <c r="D47" s="2" t="inlineStr">
        <is>
          <t>Technical_SCC - Copy - Copy.pdf</t>
        </is>
      </c>
      <c r="E47" s="2" t="inlineStr">
        <is>
          <t>Duplicate comparison; P13 content/XML screening</t>
        </is>
      </c>
    </row>
    <row r="48">
      <c r="A48" s="2" t="inlineStr">
        <is>
          <t>Technical_SCC (1).pdf</t>
        </is>
      </c>
      <c r="B48" s="2" t="inlineStr">
        <is>
          <t>c954759fb14588581784c894f9ffe949760a608217a75f73809b4eefa937ee17</t>
        </is>
      </c>
      <c r="C48" s="2" t="n">
        <v>9</v>
      </c>
      <c r="D48" s="2" t="inlineStr">
        <is>
          <t>Technical_SCC - Copy - Copy.pdf</t>
        </is>
      </c>
      <c r="E48" s="2" t="inlineStr">
        <is>
          <t>Duplicate comparison; P13 content/XML screening</t>
        </is>
      </c>
    </row>
    <row r="49">
      <c r="A49" s="2" t="inlineStr">
        <is>
          <t>Technical_SCC (2) - Copy.pdf</t>
        </is>
      </c>
      <c r="B49" s="2" t="inlineStr">
        <is>
          <t>c954759fb14588581784c894f9ffe949760a608217a75f73809b4eefa937ee17</t>
        </is>
      </c>
      <c r="C49" s="2" t="n">
        <v>9</v>
      </c>
      <c r="D49" s="2" t="inlineStr">
        <is>
          <t>Technical_SCC - Copy - Copy.pdf</t>
        </is>
      </c>
      <c r="E49" s="2" t="inlineStr">
        <is>
          <t>Duplicate comparison; P13 content/XML screening</t>
        </is>
      </c>
    </row>
    <row r="50">
      <c r="A50" s="2" t="inlineStr">
        <is>
          <t>Technical_SCC (2).pdf</t>
        </is>
      </c>
      <c r="B50" s="2" t="inlineStr">
        <is>
          <t>c954759fb14588581784c894f9ffe949760a608217a75f73809b4eefa937ee17</t>
        </is>
      </c>
      <c r="C50" s="2" t="n">
        <v>9</v>
      </c>
      <c r="D50" s="2" t="inlineStr">
        <is>
          <t>Technical_SCC - Copy - Copy.pdf</t>
        </is>
      </c>
      <c r="E50" s="2" t="inlineStr">
        <is>
          <t>Duplicate comparison; P13 content/XML screening</t>
        </is>
      </c>
    </row>
    <row r="51">
      <c r="A51" s="2" t="inlineStr">
        <is>
          <t>Technical_SCC (3) - Copy - Copy - Copy.pdf</t>
        </is>
      </c>
      <c r="B51" s="2" t="inlineStr">
        <is>
          <t>c954759fb14588581784c894f9ffe949760a608217a75f73809b4eefa937ee17</t>
        </is>
      </c>
      <c r="C51" s="2" t="n">
        <v>9</v>
      </c>
      <c r="D51" s="2" t="inlineStr">
        <is>
          <t>Technical_SCC - Copy - Copy.pdf</t>
        </is>
      </c>
      <c r="E51" s="2" t="inlineStr">
        <is>
          <t>Duplicate comparison; P13 content/XML screening</t>
        </is>
      </c>
    </row>
    <row r="52">
      <c r="A52" s="2" t="inlineStr">
        <is>
          <t>Technical_SCC (3) - Copy - Copy.pdf</t>
        </is>
      </c>
      <c r="B52" s="2" t="inlineStr">
        <is>
          <t>c954759fb14588581784c894f9ffe949760a608217a75f73809b4eefa937ee17</t>
        </is>
      </c>
      <c r="C52" s="2" t="n">
        <v>9</v>
      </c>
      <c r="D52" s="2" t="inlineStr">
        <is>
          <t>Technical_SCC - Copy - Copy.pdf</t>
        </is>
      </c>
      <c r="E52" s="2" t="inlineStr">
        <is>
          <t>Duplicate comparison; P13 content/XML screening</t>
        </is>
      </c>
    </row>
    <row r="53">
      <c r="A53" s="2" t="inlineStr">
        <is>
          <t>Technical_SCC (3) - Copy.pdf</t>
        </is>
      </c>
      <c r="B53" s="2" t="inlineStr">
        <is>
          <t>c954759fb14588581784c894f9ffe949760a608217a75f73809b4eefa937ee17</t>
        </is>
      </c>
      <c r="C53" s="2" t="n">
        <v>9</v>
      </c>
      <c r="D53" s="2" t="inlineStr">
        <is>
          <t>Technical_SCC - Copy - Copy.pdf</t>
        </is>
      </c>
      <c r="E53" s="2" t="inlineStr">
        <is>
          <t>Duplicate comparison; P13 content/XML screening</t>
        </is>
      </c>
    </row>
    <row r="54">
      <c r="A54" s="2" t="inlineStr">
        <is>
          <t>Technical_SCC.pdf</t>
        </is>
      </c>
      <c r="B54" s="2" t="inlineStr">
        <is>
          <t>c954759fb14588581784c894f9ffe949760a608217a75f73809b4eefa937ee17</t>
        </is>
      </c>
      <c r="C54" s="2" t="n">
        <v>9</v>
      </c>
      <c r="D54" s="2" t="inlineStr">
        <is>
          <t>Technical_SCC - Copy - Copy.pdf</t>
        </is>
      </c>
      <c r="E54" s="2" t="inlineStr">
        <is>
          <t>Duplicate comparison; P13 content/XML screening</t>
        </is>
      </c>
    </row>
    <row r="55">
      <c r="A55" s="2" t="inlineStr">
        <is>
          <t>Tendernotice_1 - Copy - Copy - Copy.pdf</t>
        </is>
      </c>
      <c r="B55" s="2" t="inlineStr">
        <is>
          <t>97463997491227dbddeffd8bdd92d82f3d497b88b99227b05a55b03111dda78d</t>
        </is>
      </c>
      <c r="C55" s="2" t="n">
        <v>11</v>
      </c>
      <c r="D55" s="2" t="n"/>
      <c r="E55" s="2" t="inlineStr">
        <is>
          <t>Duplicate comparison; P13 content/XML screening</t>
        </is>
      </c>
    </row>
    <row r="56">
      <c r="A56" s="2" t="inlineStr">
        <is>
          <t>Technical_SCC (3).pdf</t>
        </is>
      </c>
      <c r="B56" s="2" t="inlineStr">
        <is>
          <t>c954759fb14588581784c894f9ffe949760a608217a75f73809b4eefa937ee17</t>
        </is>
      </c>
      <c r="C56" s="2" t="n">
        <v>9</v>
      </c>
      <c r="D56" s="2" t="inlineStr">
        <is>
          <t>Technical_SCC - Copy - Copy.pdf</t>
        </is>
      </c>
      <c r="E56" s="2" t="inlineStr">
        <is>
          <t>Duplicate comparison; P13 content/XML screening</t>
        </is>
      </c>
    </row>
    <row r="57">
      <c r="A57" s="2" t="inlineStr">
        <is>
          <t>Tendernotice_1 (1) - Copy - Copy - Copy.pdf</t>
        </is>
      </c>
      <c r="B57" s="2" t="inlineStr">
        <is>
          <t>97463997491227dbddeffd8bdd92d82f3d497b88b99227b05a55b03111dda78d</t>
        </is>
      </c>
      <c r="C57" s="2" t="n">
        <v>11</v>
      </c>
      <c r="D57" s="2" t="inlineStr">
        <is>
          <t>Tendernotice_1 - Copy - Copy - Copy.pdf</t>
        </is>
      </c>
      <c r="E57" s="2" t="inlineStr">
        <is>
          <t>Duplicate comparison; P13 content/XML screening</t>
        </is>
      </c>
    </row>
    <row r="58">
      <c r="A58" s="2" t="inlineStr">
        <is>
          <t>Tendernotice_1 - Copy.pdf</t>
        </is>
      </c>
      <c r="B58" s="2" t="inlineStr">
        <is>
          <t>97463997491227dbddeffd8bdd92d82f3d497b88b99227b05a55b03111dda78d</t>
        </is>
      </c>
      <c r="C58" s="2" t="n">
        <v>11</v>
      </c>
      <c r="D58" s="2" t="inlineStr">
        <is>
          <t>Tendernotice_1 - Copy - Copy - Copy.pdf</t>
        </is>
      </c>
      <c r="E58" s="2" t="inlineStr">
        <is>
          <t>Duplicate comparison; P13 content/XML screening</t>
        </is>
      </c>
    </row>
    <row r="59">
      <c r="A59" s="2" t="inlineStr">
        <is>
          <t>Tendernotice_1 - Copy - Copy.pdf</t>
        </is>
      </c>
      <c r="B59" s="2" t="inlineStr">
        <is>
          <t>97463997491227dbddeffd8bdd92d82f3d497b88b99227b05a55b03111dda78d</t>
        </is>
      </c>
      <c r="C59" s="2" t="n">
        <v>11</v>
      </c>
      <c r="D59" s="2" t="inlineStr">
        <is>
          <t>Tendernotice_1 - Copy - Copy - Copy.pdf</t>
        </is>
      </c>
      <c r="E59" s="2" t="inlineStr">
        <is>
          <t>Duplicate comparison; P13 content/XML screening</t>
        </is>
      </c>
    </row>
    <row r="60">
      <c r="A60" s="2" t="inlineStr">
        <is>
          <t>Tendernotice_1 (1) - Copy - Copy.pdf</t>
        </is>
      </c>
      <c r="B60" s="2" t="inlineStr">
        <is>
          <t>97463997491227dbddeffd8bdd92d82f3d497b88b99227b05a55b03111dda78d</t>
        </is>
      </c>
      <c r="C60" s="2" t="n">
        <v>11</v>
      </c>
      <c r="D60" s="2" t="inlineStr">
        <is>
          <t>Tendernotice_1 - Copy - Copy - Copy.pdf</t>
        </is>
      </c>
      <c r="E60" s="2" t="inlineStr">
        <is>
          <t>Duplicate comparison; P13 content/XML screening</t>
        </is>
      </c>
    </row>
    <row r="61">
      <c r="A61" s="2" t="inlineStr">
        <is>
          <t>Tendernotice_1 (1).pdf</t>
        </is>
      </c>
      <c r="B61" s="2" t="inlineStr">
        <is>
          <t>97463997491227dbddeffd8bdd92d82f3d497b88b99227b05a55b03111dda78d</t>
        </is>
      </c>
      <c r="C61" s="2" t="n">
        <v>11</v>
      </c>
      <c r="D61" s="2" t="inlineStr">
        <is>
          <t>Tendernotice_1 - Copy - Copy - Copy.pdf</t>
        </is>
      </c>
      <c r="E61" s="2" t="inlineStr">
        <is>
          <t>Duplicate comparison; P13 content/XML screening</t>
        </is>
      </c>
    </row>
    <row r="62">
      <c r="A62" s="2" t="inlineStr">
        <is>
          <t>Tendernotice_1 (1) - Copy.pdf</t>
        </is>
      </c>
      <c r="B62" s="2" t="inlineStr">
        <is>
          <t>97463997491227dbddeffd8bdd92d82f3d497b88b99227b05a55b03111dda78d</t>
        </is>
      </c>
      <c r="C62" s="2" t="n">
        <v>11</v>
      </c>
      <c r="D62" s="2" t="inlineStr">
        <is>
          <t>Tendernotice_1 - Copy - Copy - Copy.pdf</t>
        </is>
      </c>
      <c r="E62" s="2" t="inlineStr">
        <is>
          <t>Duplicate comparison; P13 content/XML screening</t>
        </is>
      </c>
    </row>
    <row r="63">
      <c r="A63" s="2" t="inlineStr">
        <is>
          <t>Tendernotice_1.pdf</t>
        </is>
      </c>
      <c r="B63" s="2" t="inlineStr">
        <is>
          <t>97463997491227dbddeffd8bdd92d82f3d497b88b99227b05a55b03111dda78d</t>
        </is>
      </c>
      <c r="C63" s="2" t="n">
        <v>11</v>
      </c>
      <c r="D63" s="2" t="inlineStr">
        <is>
          <t>Tendernotice_1 - Copy - Copy - Copy.pdf</t>
        </is>
      </c>
      <c r="E63" s="2" t="inlineStr">
        <is>
          <t>Duplicate comparison; P13 content/XML screening</t>
        </is>
      </c>
    </row>
    <row r="64">
      <c r="A64" s="2" t="inlineStr">
        <is>
          <t>Vol I _PartV_Appendix A-3 Price Schedule.xlsx</t>
        </is>
      </c>
      <c r="B64" s="2" t="inlineStr">
        <is>
          <t>7b4e2c5849fc2b293e4de333dd3bb7b9893702fce99f93d01d637308b1d397a6</t>
        </is>
      </c>
      <c r="C64" s="2" t="n">
        <v>2</v>
      </c>
      <c r="D64" s="2" t="n"/>
      <c r="E64" s="2" t="inlineStr">
        <is>
          <t>Duplicate comparison; P13 content/XML screening</t>
        </is>
      </c>
    </row>
    <row r="65">
      <c r="A65" s="2" t="inlineStr">
        <is>
          <t>Vol I _PartV_Appendix A-10 MPF.xlsx</t>
        </is>
      </c>
      <c r="B65" s="2" t="inlineStr">
        <is>
          <t>3e1398fa91d52a60c14f78ba4aaccd1e2a3b90b8cc5046dc980561a45e712aa9</t>
        </is>
      </c>
      <c r="C65" s="2" t="n">
        <v>2</v>
      </c>
      <c r="D65" s="2" t="n"/>
      <c r="E65" s="2" t="inlineStr">
        <is>
          <t>Duplicate comparison; P13 content/XML screening</t>
        </is>
      </c>
    </row>
    <row r="66">
      <c r="A66" s="2" t="inlineStr">
        <is>
          <t>ticket.pdf</t>
        </is>
      </c>
      <c r="B66" s="2" t="inlineStr">
        <is>
          <t>207b0d36e2def3753e5b65b9c2432176235741f6f9d03713f2e532068c295bea</t>
        </is>
      </c>
      <c r="C66" s="2" t="n">
        <v>0</v>
      </c>
      <c r="D66" s="2" t="n"/>
      <c r="E66" s="2" t="inlineStr">
        <is>
          <t>Duplicate comparison; P13 content/XML screening</t>
        </is>
      </c>
    </row>
    <row r="67">
      <c r="A67" s="2" t="inlineStr">
        <is>
          <t>Vol I _PartVA_BRS.xlsx</t>
        </is>
      </c>
      <c r="B67" s="2" t="inlineStr">
        <is>
          <t>872ba27d634dc202597837a32971bafa19c0eb54ac151f7c86f64bccd1d5d897</t>
        </is>
      </c>
      <c r="C67" s="2" t="n">
        <v>1</v>
      </c>
      <c r="D67" s="2" t="n"/>
      <c r="E67" s="2" t="inlineStr">
        <is>
          <t>Duplicate comparison; P13 content/XML screening</t>
        </is>
      </c>
    </row>
    <row r="68">
      <c r="A68" s="2" t="inlineStr">
        <is>
          <t>Vol I_ Part III Appendices.docx</t>
        </is>
      </c>
      <c r="B68" s="2" t="inlineStr">
        <is>
          <t>c1ef1672214f304f856d1a3bdb5f1a3c4d685f00e484907e5bc826d46155ca7f</t>
        </is>
      </c>
      <c r="C68" s="2" t="n">
        <v>2</v>
      </c>
      <c r="D68" s="2" t="n"/>
      <c r="E68" s="2" t="inlineStr">
        <is>
          <t>Duplicate comparison; P13 content/XML screening</t>
        </is>
      </c>
    </row>
    <row r="69">
      <c r="A69" s="2" t="inlineStr">
        <is>
          <t>Vol I_PartIV_BEC - Copy.docx</t>
        </is>
      </c>
      <c r="B69" s="2" t="inlineStr">
        <is>
          <t>df1674f7946d9f62bfc169251d43ad05ee75549001c0d460408055e43b9818b2</t>
        </is>
      </c>
      <c r="C69" s="2" t="n">
        <v>3</v>
      </c>
      <c r="D69" s="2" t="n"/>
      <c r="E69" s="2" t="inlineStr">
        <is>
          <t>Duplicate comparison; P13 content/XML screening</t>
        </is>
      </c>
    </row>
    <row r="70">
      <c r="A70" s="2" t="inlineStr">
        <is>
          <t>Vol I_PartIV_BEC.docx</t>
        </is>
      </c>
      <c r="B70" s="2" t="inlineStr">
        <is>
          <t>df1674f7946d9f62bfc169251d43ad05ee75549001c0d460408055e43b9818b2</t>
        </is>
      </c>
      <c r="C70" s="2" t="n">
        <v>3</v>
      </c>
      <c r="D70" s="2" t="inlineStr">
        <is>
          <t>Vol I_PartIV_BEC - Copy.docx</t>
        </is>
      </c>
      <c r="E70" s="2" t="inlineStr">
        <is>
          <t>Duplicate comparison; P13 content/XML screening</t>
        </is>
      </c>
    </row>
    <row r="71">
      <c r="A71" s="2" t="inlineStr">
        <is>
          <t>Vol I_PartIVA_BidderGTE.xlsx</t>
        </is>
      </c>
      <c r="B71" s="2" t="inlineStr">
        <is>
          <t>73b9c45b583b3612ee2b8bcb5a0f95cfad5392979d3d697c8f9ff3c1664d5e02</t>
        </is>
      </c>
      <c r="C71" s="2" t="n">
        <v>2</v>
      </c>
      <c r="D71" s="2" t="n"/>
      <c r="E71" s="2" t="inlineStr">
        <is>
          <t>Duplicate comparison; P13 content/XML screening</t>
        </is>
      </c>
    </row>
    <row r="72">
      <c r="A72" s="2" t="inlineStr">
        <is>
          <t>Vol I_PartIVA_BidderGTE - Copy.xlsx</t>
        </is>
      </c>
      <c r="B72" s="2" t="inlineStr">
        <is>
          <t>73b9c45b583b3612ee2b8bcb5a0f95cfad5392979d3d697c8f9ff3c1664d5e02</t>
        </is>
      </c>
      <c r="C72" s="2" t="n">
        <v>2</v>
      </c>
      <c r="D72" s="2" t="inlineStr">
        <is>
          <t>Vol I_PartIVA_BidderGTE.xlsx</t>
        </is>
      </c>
      <c r="E72" s="2" t="inlineStr">
        <is>
          <t>Duplicate comparison; P13 content/XML screening</t>
        </is>
      </c>
    </row>
    <row r="73">
      <c r="A73" s="2" t="inlineStr">
        <is>
          <t>Vol_I_PartIV_ Technical BEC - Copy.pdf</t>
        </is>
      </c>
      <c r="B73" s="2" t="inlineStr">
        <is>
          <t>d5548eb59f55cf6504d770c44e2dcd42b42392eb71541f36a742df9b089e3a7c</t>
        </is>
      </c>
      <c r="C73" s="2" t="n">
        <v>3</v>
      </c>
      <c r="D73" s="2" t="n"/>
      <c r="E73" s="2" t="inlineStr">
        <is>
          <t>Duplicate comparison; P13 content/XML screening</t>
        </is>
      </c>
    </row>
    <row r="74">
      <c r="A74" s="2" t="inlineStr">
        <is>
          <t>Vol-I I ITB - Copy.docx</t>
        </is>
      </c>
      <c r="B74" s="2" t="inlineStr">
        <is>
          <t>61033c9e7a297215977bdbf88dd81b3bca8073d17e7ae88f2ae7b57ce1fd58ae</t>
        </is>
      </c>
      <c r="C74" s="2" t="n">
        <v>3</v>
      </c>
      <c r="D74" s="2" t="n"/>
      <c r="E74" s="2" t="inlineStr">
        <is>
          <t>Duplicate comparison; P13 content/XML screening</t>
        </is>
      </c>
    </row>
    <row r="75">
      <c r="A75" s="2" t="inlineStr">
        <is>
          <t>Vol_I_PartIV_ Technical BEC.pdf</t>
        </is>
      </c>
      <c r="B75" s="2" t="inlineStr">
        <is>
          <t>d5548eb59f55cf6504d770c44e2dcd42b42392eb71541f36a742df9b089e3a7c</t>
        </is>
      </c>
      <c r="C75" s="2" t="n">
        <v>3</v>
      </c>
      <c r="D75" s="2" t="inlineStr">
        <is>
          <t>Vol_I_PartIV_ Technical BEC - Copy.pdf</t>
        </is>
      </c>
      <c r="E75" s="2" t="inlineStr">
        <is>
          <t>Duplicate comparison; P13 content/XML screening</t>
        </is>
      </c>
    </row>
    <row r="76">
      <c r="A76" s="2" t="inlineStr">
        <is>
          <t>Vol-I-II GCC - Copy.docx</t>
        </is>
      </c>
      <c r="B76" s="2" t="inlineStr">
        <is>
          <t>78d8130c8aab9b96e9dad2584cb6c30be370c72dd71f154df103eb238b08f4a1</t>
        </is>
      </c>
      <c r="C76" s="2" t="n">
        <v>3</v>
      </c>
      <c r="D76" s="2" t="n"/>
      <c r="E76" s="2" t="inlineStr">
        <is>
          <t>Duplicate comparison; P13 content/XML screening</t>
        </is>
      </c>
    </row>
    <row r="77">
      <c r="A77" s="2" t="inlineStr">
        <is>
          <t>Vol-I I ITB.docx</t>
        </is>
      </c>
      <c r="B77" s="2" t="inlineStr">
        <is>
          <t>61033c9e7a297215977bdbf88dd81b3bca8073d17e7ae88f2ae7b57ce1fd58ae</t>
        </is>
      </c>
      <c r="C77" s="2" t="n">
        <v>3</v>
      </c>
      <c r="D77" s="2" t="inlineStr">
        <is>
          <t>Vol-I I ITB - Copy.docx</t>
        </is>
      </c>
      <c r="E77" s="2" t="inlineStr">
        <is>
          <t>Duplicate comparison; P13 content/XML screening</t>
        </is>
      </c>
    </row>
  </sheetData>
  <autoFilter ref="A1:E7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3"/>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s>
  <sheetData>
    <row r="1">
      <c r="A1" s="1" t="inlineStr">
        <is>
          <t>ID</t>
        </is>
      </c>
      <c r="B1" s="1" t="inlineStr">
        <is>
          <t>Requirement topic</t>
        </is>
      </c>
      <c r="C1" s="1" t="inlineStr">
        <is>
          <t>Source</t>
        </is>
      </c>
      <c r="D1" s="1" t="inlineStr">
        <is>
          <t>Requirement</t>
        </is>
      </c>
      <c r="E1" s="1" t="inlineStr">
        <is>
          <t>Owner</t>
        </is>
      </c>
      <c r="F1" s="1" t="inlineStr">
        <is>
          <t>Verification evidence</t>
        </is>
      </c>
      <c r="G1" s="1" t="inlineStr">
        <is>
          <t>Status</t>
        </is>
      </c>
    </row>
    <row r="2">
      <c r="A2" s="2" t="inlineStr">
        <is>
          <t>P9-01</t>
        </is>
      </c>
      <c r="B2" s="2" t="inlineStr">
        <is>
          <t>Bid security</t>
        </is>
      </c>
      <c r="C2" s="2" t="inlineStr">
        <is>
          <t>Corrigendum.pdf p1</t>
        </is>
      </c>
      <c r="D2" s="2" t="inlineStr">
        <is>
          <t>Any e-BG must be executed on NeSL before the tender closing deadline; later execution is liable to rejection.</t>
        </is>
      </c>
      <c r="E2" s="2" t="inlineStr">
        <is>
          <t>Treasury / Bid Manager</t>
        </is>
      </c>
      <c r="F2" s="2" t="inlineStr">
        <is>
          <t>Record portal execution timestamp and evidence; reconcile actual closing date with all extension notices.</t>
        </is>
      </c>
      <c r="G2" s="2" t="inlineStr">
        <is>
          <t>OPEN — source requirement; execution not evidenced</t>
        </is>
      </c>
    </row>
    <row r="3">
      <c r="A3" s="2" t="inlineStr">
        <is>
          <t>P9-02</t>
        </is>
      </c>
      <c r="B3" s="2" t="inlineStr">
        <is>
          <t>Bid validity</t>
        </is>
      </c>
      <c r="C3" s="2" t="inlineStr">
        <is>
          <t>Corrigendum_2.pdf pp1-2,5; Corrigendum_4.pdf p1; CQ_replies_BRRP.pdf pp2-3</t>
        </is>
      </c>
      <c r="D3" s="2" t="inlineStr">
        <is>
          <t>Bid security extends 45 days beyond bid validity or extended validity. Bid validity is 120 days after opening of unpriced techno-contractual bids; do not anchor it to submission closing.</t>
        </is>
      </c>
      <c r="E3" s="2" t="inlineStr">
        <is>
          <t>Treasury / Contracts</t>
        </is>
      </c>
      <c r="F3" s="2" t="inlineStr">
        <is>
          <t>Use actual opening date; diarise bid and security expiry separately. Surety claim-period provisions remain distinct.</t>
        </is>
      </c>
      <c r="G3" s="2" t="inlineStr">
        <is>
          <t>OPEN — source requirement; execution not evidenced</t>
        </is>
      </c>
    </row>
    <row r="4">
      <c r="A4" s="2" t="inlineStr">
        <is>
          <t>P9-03</t>
        </is>
      </c>
      <c r="B4" s="2" t="inlineStr">
        <is>
          <t>Performance security</t>
        </is>
      </c>
      <c r="C4" s="2" t="inlineStr">
        <is>
          <t>Corrigendum_1_BRRP.pdf p1</t>
        </is>
      </c>
      <c r="D4" s="2" t="inlineStr">
        <is>
          <t>The quoted ITB 28.1 option for 3% initial security plus 7% progressive deductions is deleted.</t>
        </is>
      </c>
      <c r="E4" s="2" t="inlineStr">
        <is>
          <t>Contracts / Finance</t>
        </is>
      </c>
      <c r="F4" s="2" t="inlineStr">
        <is>
          <t>Remove that financing assumption; reconcile remaining ITB 28.1, IFB and B-3 for governing amounts, submission and validity. Do not infer replacement wording from deletion alone.</t>
        </is>
      </c>
      <c r="G4" s="2" t="inlineStr">
        <is>
          <t>OPEN — source requirement; execution not evidenced</t>
        </is>
      </c>
    </row>
    <row r="5">
      <c r="A5" s="2" t="inlineStr">
        <is>
          <t>P9-04</t>
        </is>
      </c>
      <c r="B5" s="2" t="inlineStr">
        <is>
          <t>Supporting-company guarantees</t>
        </is>
      </c>
      <c r="C5" s="2" t="inlineStr">
        <is>
          <t>Corrigendum_2.pdf pp2-5</t>
        </is>
      </c>
      <c r="D5" s="2" t="inlineStr">
        <is>
          <t>B-19/B-20/B-22 specified guarantee deadlines change from 15 to 30 days from NOA. Applicable supporting/JV guarantee provisions include delayed-submission recovery wording.</t>
        </is>
      </c>
      <c r="E5" s="2" t="inlineStr">
        <is>
          <t>Contracts / Treasury</t>
        </is>
      </c>
      <c r="F5" s="2" t="inlineStr">
        <is>
          <t>Set separate applicable-route milestones. Review 1.5% of performance-security amount per month or part-month recovery wording; do not apply indiscriminately to every guarantee.</t>
        </is>
      </c>
      <c r="G5" s="2" t="inlineStr">
        <is>
          <t>OPEN — source requirement; execution not evidenced</t>
        </is>
      </c>
    </row>
    <row r="6">
      <c r="A6" s="2" t="inlineStr">
        <is>
          <t>P9-05</t>
        </is>
      </c>
      <c r="B6" s="2" t="inlineStr">
        <is>
          <t>Setting out and changes</t>
        </is>
      </c>
      <c r="C6" s="2" t="inlineStr">
        <is>
          <t>Corrigendum_3.pdf p1, GCC 2.3.6</t>
        </is>
      </c>
      <c r="D6" s="2" t="inlineStr">
        <is>
          <t>Modified column reinstates setting-out responsibility. Contractor corrects its positioning errors; company checking does not relieve it. Later company data/instructions after pre-engineering survey causing scope changes are dealt with under Clause 8.0.</t>
        </is>
      </c>
      <c r="E6" s="2" t="inlineStr">
        <is>
          <t>Survey / Engineering / Contracts</t>
        </is>
      </c>
      <c r="F6" s="2" t="inlineStr">
        <is>
          <t>Establish controlled datums, coordinates, survey acceptance and independent dimensional checks; preserve instruction/change evidence. This clause is not deleted.</t>
        </is>
      </c>
      <c r="G6" s="2" t="inlineStr">
        <is>
          <t>OPEN — source requirement; execution not evidenced</t>
        </is>
      </c>
    </row>
    <row r="7">
      <c r="A7" s="2" t="inlineStr">
        <is>
          <t>P9-06</t>
        </is>
      </c>
      <c r="B7" s="2" t="inlineStr">
        <is>
          <t>Domestic steel compliance</t>
        </is>
      </c>
      <c r="C7" s="2" t="inlineStr">
        <is>
          <t>Corrigendum_3.pdf pp1-8</t>
        </is>
      </c>
      <c r="D7" s="2" t="inlineStr">
        <is>
          <t>DMI&amp;SP policy reference changes to notification dated 17 December 2025, G.S.R.904(E). All bidders submit Form-1; item-specific Melt &amp; Pour and domestic-value-addition provisions apply.</t>
        </is>
      </c>
      <c r="E7" s="2" t="inlineStr">
        <is>
          <t>Procurement / QA / Contracts</t>
        </is>
      </c>
      <c r="F7" s="2" t="inlineStr">
        <is>
          <t>Classify items under policy Appendix A/B and HS code. Obtain heat/mill origin records, Form-1, authorisations and applicable auditor certificates; maintain traceability. Do not confuse these policy appendices with tender appendices.</t>
        </is>
      </c>
      <c r="G7" s="2" t="inlineStr">
        <is>
          <t>OPEN — source requirement; execution not evidenced</t>
        </is>
      </c>
    </row>
    <row r="8">
      <c r="A8" s="2" t="inlineStr">
        <is>
          <t>P9-07</t>
        </is>
      </c>
      <c r="B8" s="2" t="inlineStr">
        <is>
          <t>MSE and local content</t>
        </is>
      </c>
      <c r="C8" s="2" t="inlineStr">
        <is>
          <t>CQ_replies_BRRP.pdf p5</t>
        </is>
      </c>
      <c r="D8" s="2" t="inlineStr">
        <is>
          <t>ONGC reply says PPP-MSE exemption/purchase-preference benefits do not apply to this LSTK works tender. PP-MII is referred to ITB23.6.2(b).</t>
        </is>
      </c>
      <c r="E8" s="2" t="inlineStr">
        <is>
          <t>Bid / Procurement</t>
        </is>
      </c>
      <c r="F8" s="2" t="inlineStr">
        <is>
          <t>Remove assumed MSE EMD exemption; verify PP-MII separately, including current amendments.</t>
        </is>
      </c>
      <c r="G8" s="2" t="inlineStr">
        <is>
          <t>OPEN — source requirement; execution not evidenced</t>
        </is>
      </c>
    </row>
    <row r="9">
      <c r="A9" s="2" t="inlineStr">
        <is>
          <t>P9-08</t>
        </is>
      </c>
      <c r="B9" s="2" t="inlineStr">
        <is>
          <t>Bid content</t>
        </is>
      </c>
      <c r="C9" s="2" t="inlineStr">
        <is>
          <t>CQ_replies_BRRP.pdf p6</t>
        </is>
      </c>
      <c r="D9" s="2" t="inlineStr">
        <is>
          <t>ONGC reply requires only BRS Part V-A with Quoted/Not Quoted confirmations in the unpriced bid; price manner follows the actual price format.</t>
        </is>
      </c>
      <c r="E9" s="2" t="inlineStr">
        <is>
          <t>Bid Manager</t>
        </is>
      </c>
      <c r="F9" s="2" t="inlineStr">
        <is>
          <t>Keep prices in the correct cover; reconcile all A-3 line items and BRS. This reply does not waive separate subcontractor commitment requirements.</t>
        </is>
      </c>
      <c r="G9" s="2" t="inlineStr">
        <is>
          <t>OPEN — source requirement; execution not evidenced</t>
        </is>
      </c>
    </row>
    <row r="10">
      <c r="A10" s="2" t="inlineStr">
        <is>
          <t>P9-09</t>
        </is>
      </c>
      <c r="B10" s="2" t="inlineStr">
        <is>
          <t>Tax and precedence</t>
        </is>
      </c>
      <c r="C10" s="2" t="inlineStr">
        <is>
          <t>CQ_replies_BRRP.pdf pp7-9</t>
        </is>
      </c>
      <c r="D10" s="2" t="inlineStr">
        <is>
          <t>Beyond-12NM works are not declared tax-exempt: prevailing GST applies; offshore GSTIN may be used. SCC overrides GCC for conflicts; complete priority is referred to B-4. Liability reduction request was rejected.</t>
        </is>
      </c>
      <c r="E10" s="2" t="inlineStr">
        <is>
          <t>Tax / Contracts</t>
        </is>
      </c>
      <c r="F10" s="2" t="inlineStr">
        <is>
          <t>Prepare transaction-specific GST, customs and withholding matrix; use B-4 for full hierarchy. Do not adopt the bidder-proposed document hierarchy or 15% liability cap.</t>
        </is>
      </c>
      <c r="G10" s="2" t="inlineStr">
        <is>
          <t>OPEN — source requirement; execution not evidenced</t>
        </is>
      </c>
    </row>
    <row r="11">
      <c r="A11" s="2" t="inlineStr">
        <is>
          <t>P9-10</t>
        </is>
      </c>
      <c r="B11" s="2" t="inlineStr">
        <is>
          <t>Pre-bid and extension requests</t>
        </is>
      </c>
      <c r="C11" s="2" t="inlineStr">
        <is>
          <t>Corrigendum_1_BRRP.pdf p1; CQ_replies_BRRP.pdf pp7,9</t>
        </is>
      </c>
      <c r="D11" s="2" t="inlineStr">
        <is>
          <t>Pre-bid conference was physical only, 8 April 2026. Six-week bid extension request was called premature at PBC stage.</t>
        </is>
      </c>
      <c r="E11" s="2" t="inlineStr">
        <is>
          <t>Document Control / Bid</t>
        </is>
      </c>
      <c r="F11" s="2" t="inlineStr">
        <is>
          <t>Record historical event; use issued extension notices for actual deadline. This reply is not a six-week extension grant.</t>
        </is>
      </c>
      <c r="G11" s="2" t="inlineStr">
        <is>
          <t>OPEN — source requirement; execution not evidenced</t>
        </is>
      </c>
    </row>
    <row r="12">
      <c r="A12" s="2" t="inlineStr">
        <is>
          <t>P9-11</t>
        </is>
      </c>
      <c r="B12" s="2" t="inlineStr">
        <is>
          <t>Integrity pact</t>
        </is>
      </c>
      <c r="C12" s="2" t="inlineStr">
        <is>
          <t>IP (1).pdf pp2,4-6; IP.pdf identical</t>
        </is>
      </c>
      <c r="D12" s="2" t="inlineStr">
        <is>
          <t>Disclose intermediaries and relevant transgressions, obtain subcontractor adoption undertakings, retain records for IEM access. Contractor pact duration extends 12 months beyond last payment; other bidders six months after award, subject to outstanding claims.</t>
        </is>
      </c>
      <c r="E12" s="2" t="inlineStr">
        <is>
          <t>Compliance / Contracts</t>
        </is>
      </c>
      <c r="F12" s="2" t="inlineStr">
        <is>
          <t>Maintain signed pact, partner/consortium signatures as applicable, declarations and subcontract flow-down; extend compliance retention beyond physical completion. No signed compliance evidence established by blank form.</t>
        </is>
      </c>
      <c r="G12" s="2" t="inlineStr">
        <is>
          <t>OPEN — source requirement; execution not evidenced</t>
        </is>
      </c>
    </row>
    <row r="13">
      <c r="A13" s="2" t="inlineStr">
        <is>
          <t>P9-12</t>
        </is>
      </c>
      <c r="B13" s="2" t="inlineStr">
        <is>
          <t>PPE</t>
        </is>
      </c>
      <c r="C13" s="2" t="inlineStr">
        <is>
          <t>Kits PPE List-BRRP.pdf p1</t>
        </is>
      </c>
      <c r="D13" s="2" t="inlineStr">
        <is>
          <t>Per person: 2 cotton overalls; 2 FR overalls; 2 pairs industrial shoes; 2 pairs electrical-hazard shoes for electrical personnel; 2 helmets; 2 clear goggles; 2 pairs ear muffs; 4 pairs impact/cut gloves; 2 pairs reusable ear plugs; 2 pairs rubber electrical gloves. Each construction season OR condition-based replacement.</t>
        </is>
      </c>
      <c r="E13" s="2" t="inlineStr">
        <is>
          <t>HSE / Procurement</t>
        </is>
      </c>
      <c r="F13" s="2" t="inlineStr">
        <is>
          <t>Cost against actual personnel and seasons; certified BIS/EN/ANSI items; issue before work, track replacement. Add task-specific PPE from HIRA/JSA/PTW and OISD-STD-155. Do not use 60 accommodation places as total workforce.</t>
        </is>
      </c>
      <c r="G13" s="2" t="inlineStr">
        <is>
          <t>OPEN — source requirement; execution not evidenced</t>
        </is>
      </c>
    </row>
    <row r="14">
      <c r="A14" s="2" t="inlineStr">
        <is>
          <t>P9-13</t>
        </is>
      </c>
      <c r="B14" s="2" t="inlineStr">
        <is>
          <t>Vendor revision gap closed</t>
        </is>
      </c>
      <c r="C14" s="2" t="inlineStr">
        <is>
          <t>Combined_Addendum_3.pdf pp261-341</t>
        </is>
      </c>
      <c r="D14" s="2" t="inlineStr">
        <is>
          <t>Offshore Suggested Vendor List Rev12.3, as on 27 March 2026, now located. Prior missing-version finding is closed for this list.</t>
        </is>
      </c>
      <c r="E14" s="2" t="inlineStr">
        <is>
          <t>Procurement / Document Control</t>
        </is>
      </c>
      <c r="F14" s="2" t="inlineStr">
        <is>
          <t>Use Rev12.3 for revision reconciliation with the reference-only-list amendment. Product/location/status checks remain necessary; current external status not verified.</t>
        </is>
      </c>
      <c r="G14" s="2" t="inlineStr">
        <is>
          <t>OPEN — source requirement; execution not evidenced</t>
        </is>
      </c>
    </row>
    <row r="15">
      <c r="A15" s="2" t="inlineStr">
        <is>
          <t>P9-14</t>
        </is>
      </c>
      <c r="B15" s="2" t="inlineStr">
        <is>
          <t>Vendor restrictions</t>
        </is>
      </c>
      <c r="C15" s="2" t="inlineStr">
        <is>
          <t>Combined_Addendum_3.pdf p262</t>
        </is>
      </c>
      <c r="D15" s="2" t="inlineStr">
        <is>
          <t>B1 quotation permitted subject to resolving hold reasons at PS submission; B3 and banned product entries prohibit order placement as stated. B2 rules and manufacturer-location undertakings also apply.</t>
        </is>
      </c>
      <c r="E15" s="2" t="inlineStr">
        <is>
          <t>Procurement / QA</t>
        </is>
      </c>
      <c r="F15" s="2" t="inlineStr">
        <is>
          <t>Record product, manufacturing location, hold category, evidence and disposition before PO release. Reference-only lists do not erase explicit bans.</t>
        </is>
      </c>
      <c r="G15" s="2" t="inlineStr">
        <is>
          <t>OPEN — source requirement; execution not evidenced</t>
        </is>
      </c>
    </row>
    <row r="16">
      <c r="A16" s="2" t="inlineStr">
        <is>
          <t>P9-15</t>
        </is>
      </c>
      <c r="B16" s="2" t="inlineStr">
        <is>
          <t>Piping material selection</t>
        </is>
      </c>
      <c r="C16" s="2" t="inlineStr">
        <is>
          <t>Combined_Addendum_3.pdf pp1-124; material specification 2008 Rev3</t>
        </is>
      </c>
      <c r="D16" s="2" t="inlineStr">
        <is>
          <t>Piping material classes and component schedules are supplied. Index requires missing class sheets needed by approved P&amp;IDs to be prepared using FS2004A for company approval.</t>
        </is>
      </c>
      <c r="E16" s="2" t="inlineStr">
        <is>
          <t>Piping / Procurement</t>
        </is>
      </c>
      <c r="F16" s="2" t="inlineStr">
        <is>
          <t>Develop surveyed line list, fluid/design pressure-temperature, material class and corrosion allowance; approve PMS, stress/support loads, isometrics and MTO before purchase. Do not apply every class to BRRP.</t>
        </is>
      </c>
      <c r="G16" s="2" t="inlineStr">
        <is>
          <t>OPEN — source requirement; execution not evidenced</t>
        </is>
      </c>
    </row>
    <row r="17">
      <c r="A17" s="2" t="inlineStr">
        <is>
          <t>P9-16</t>
        </is>
      </c>
      <c r="B17" s="2" t="inlineStr">
        <is>
          <t>Welding and NDT</t>
        </is>
      </c>
      <c r="C17" s="2" t="inlineStr">
        <is>
          <t>Combined_Addendum_3.pdf pp125-167; FS2009F Rev8 plus Duplex Annex1 Rev1</t>
        </is>
      </c>
      <c r="D17" s="2" t="inlineStr">
        <is>
          <t>Welding/NDT specification and seven scanned duplex annex pages supplied; scanned annex OCR reviewed. Material- and joint-specific applicability is essential.</t>
        </is>
      </c>
      <c r="E17" s="2" t="inlineStr">
        <is>
          <t>Welding Engineer / QA</t>
        </is>
      </c>
      <c r="F17" s="2" t="inlineStr">
        <is>
          <t>Prepare applicability matrix, approved WPS/PQR and welder qualifications, NDT procedures/personnel/calibration, weld maps, consumable traceability and repair controls. Duplex qualification/testing can be a procurement predecessor where applicable; no blanket structural NDT percentage asserted.</t>
        </is>
      </c>
      <c r="G17" s="2" t="inlineStr">
        <is>
          <t>OPEN — source requirement; execution not evidenced</t>
        </is>
      </c>
    </row>
    <row r="18">
      <c r="A18" s="2" t="inlineStr">
        <is>
          <t>P9-17</t>
        </is>
      </c>
      <c r="B18" s="2" t="inlineStr">
        <is>
          <t>Protective coating</t>
        </is>
      </c>
      <c r="C18" s="2" t="inlineStr">
        <is>
          <t>Combined_Addendum_3.pdf pp168-245; FS2005 Rev9 dated12 December2022</t>
        </is>
      </c>
      <c r="D18" s="2" t="inlineStr">
        <is>
          <t>Protective-coating specification is supplied. Selection depends on substrate, exposure, service temperature and approved system.</t>
        </is>
      </c>
      <c r="E18" s="2" t="inlineStr">
        <is>
          <t>Coating / QA / Planning</t>
        </is>
      </c>
      <c r="F18" s="2" t="inlineStr">
        <is>
          <t>Prepare coating-system schedule, surface preparation/inspection, environmental logs, application/DFT/curing and repair records. Quantify areas from verified MTO; allow curing and inspection before transport. Full system-by-system numerical compliance review remains open.</t>
        </is>
      </c>
      <c r="G18" s="2" t="inlineStr">
        <is>
          <t>OPEN — source requirement; execution not evidenced</t>
        </is>
      </c>
    </row>
    <row r="19">
      <c r="A19" s="2" t="inlineStr">
        <is>
          <t>P9-18</t>
        </is>
      </c>
      <c r="B19" s="2" t="inlineStr">
        <is>
          <t>Bridge piping flexibility</t>
        </is>
      </c>
      <c r="C19" s="2" t="inlineStr">
        <is>
          <t>Combined_Addendum_3.pdf pp246-260, piping criteria Rev4; clause5.3 p260</t>
        </is>
      </c>
      <c r="D19" s="2" t="inlineStr">
        <is>
          <t>Bridge piping must account for differential platform movement under extreme storm conditions; assess temperature-range flexibility and required loops/supports.</t>
        </is>
      </c>
      <c r="E19" s="2" t="inlineStr">
        <is>
          <t>Piping Stress / Structural</t>
        </is>
      </c>
      <c r="F19" s="2" t="inlineStr">
        <is>
          <t>Coordinate bearing movements, piping forces, support stiffness and bridge/platform analyses; close iterative reactions before design release. Generic fire-system text is not proof every system is additional bridge scope.</t>
        </is>
      </c>
      <c r="G19" s="2" t="inlineStr">
        <is>
          <t>OPEN — source requirement; execution not evidenced</t>
        </is>
      </c>
    </row>
    <row r="20">
      <c r="A20" s="2" t="inlineStr">
        <is>
          <t>P9-19</t>
        </is>
      </c>
      <c r="B20" s="2" t="inlineStr">
        <is>
          <t>Schedule impact</t>
        </is>
      </c>
      <c r="C20" s="2" t="inlineStr">
        <is>
          <t>P9-03 to P9-18; Appendix C-8 previously reviewed</t>
        </is>
      </c>
      <c r="D20" s="2" t="inlineStr">
        <is>
          <t>These inputs create real predecessors for security, material-origin evidence, PS/vendor disposition, qualification, coating and survey/change control. Prior illustrative network is not revalidated by this audit.</t>
        </is>
      </c>
      <c r="E20" s="2" t="inlineStr">
        <is>
          <t>Planning Manager</t>
        </is>
      </c>
      <c r="F20" s="2" t="inlineStr">
        <is>
          <t>Update package-specific procurement and DCI/MCI review logic, working-day calendars and offshore windows; recalculate CPM only after durations/resources are evidenced. Do not reuse earlier float as an approved forecast.</t>
        </is>
      </c>
      <c r="G20" s="2" t="inlineStr">
        <is>
          <t>OPEN — source requirement; execution not evidenced</t>
        </is>
      </c>
    </row>
    <row r="21">
      <c r="A21" s="2" t="inlineStr">
        <is>
          <t>P9-20</t>
        </is>
      </c>
      <c r="B21" s="2" t="inlineStr">
        <is>
          <t>Remaining version controls</t>
        </is>
      </c>
      <c r="C21" s="2" t="inlineStr">
        <is>
          <t>Combined_Addendum_1.pdf p1; P8 and P9 inventories</t>
        </is>
      </c>
      <c r="D21" s="2" t="inlineStr">
        <is>
          <t>SVL12.3 found, but positive identification of the announced revised Technical SCC and revised A-3 still requires controlled-document reconciliation.</t>
        </is>
      </c>
      <c r="E21" s="2" t="inlineStr">
        <is>
          <t>Document Control / Contracts</t>
        </is>
      </c>
      <c r="F21" s="2" t="inlineStr">
        <is>
          <t>Link each governing revision to actual source and issue notice; preserve unresolved drawing revision conflicts and MTO discrepancies. Do not mark all historical inputs fully reconciled.</t>
        </is>
      </c>
      <c r="G21" s="2" t="inlineStr">
        <is>
          <t>OPEN — source requirement; execution not evidenced</t>
        </is>
      </c>
    </row>
    <row r="22">
      <c r="A22" s="2" t="inlineStr">
        <is>
          <t>P14-A</t>
        </is>
      </c>
      <c r="B22" s="2" t="inlineStr">
        <is>
          <t>Accountability and authority</t>
        </is>
      </c>
      <c r="C22" s="2" t="inlineStr">
        <is>
          <t>SCC1; Technical BEC5.2–5.4</t>
        </is>
      </c>
      <c r="D22" s="2" t="inlineStr">
        <is>
          <t>Appoint named managers and deputies; record availability and competing commitments; establish RACI; set spending/change/technical-release authority; chair weekly integration review.</t>
        </is>
      </c>
      <c r="E22" s="2" t="inlineStr">
        <is>
          <t>Project Director</t>
        </is>
      </c>
      <c r="F22" s="2" t="inlineStr">
        <is>
          <t>Signed organisation/RACI and delegated-authority register</t>
        </is>
      </c>
      <c r="G22" s="2" t="inlineStr">
        <is>
          <t>OPEN — requires named owner and evidence</t>
        </is>
      </c>
    </row>
    <row r="23">
      <c r="A23" s="2" t="inlineStr">
        <is>
          <t>P14-B</t>
        </is>
      </c>
      <c r="B23" s="2" t="inlineStr">
        <is>
          <t>Baseline and requirements</t>
        </is>
      </c>
      <c r="C23" s="2" t="inlineStr">
        <is>
          <t>P8–P12; CQ replies; B-4</t>
        </is>
      </c>
      <c r="D23" s="2" t="inlineStr">
        <is>
          <t>Maintain clause-to-deliverable matrix; resolve SCC/GCC precedence using B-4; link revisions and deletions; isolate S&amp;SRP references; freeze controlled scope by bridge and retain open discrepancies.</t>
        </is>
      </c>
      <c r="E23" s="2" t="inlineStr">
        <is>
          <t>Contracts Manager</t>
        </is>
      </c>
      <c r="F23" s="2" t="inlineStr">
        <is>
          <t>Approved requirements and scope baseline; assumption/change log</t>
        </is>
      </c>
      <c r="G23" s="2" t="inlineStr">
        <is>
          <t>OPEN — requires named owner and evidence</t>
        </is>
      </c>
    </row>
    <row r="24">
      <c r="A24" s="2" t="inlineStr">
        <is>
          <t>P14-C</t>
        </is>
      </c>
      <c r="B24" s="2" t="inlineStr">
        <is>
          <t>Contract, qualification and compliance</t>
        </is>
      </c>
      <c r="C24" s="2" t="inlineStr">
        <is>
          <t>Technical BEC5; P9/P11</t>
        </is>
      </c>
      <c r="D24" s="2" t="inlineStr">
        <is>
          <t>Check110MT/marine route and consortium exceptions; retain PM/qualifying main activity; obtain subcontract commitments; verify TPI authentication and valid accreditation; reconcile financial evidence; manage securities and integrity-pact disclosures.</t>
        </is>
      </c>
      <c r="E24" s="2" t="inlineStr">
        <is>
          <t>Contracts Manager</t>
        </is>
      </c>
      <c r="F24" s="2" t="inlineStr">
        <is>
          <t>Qualification/compliance matrix and evidence bundle</t>
        </is>
      </c>
      <c r="G24" s="2" t="inlineStr">
        <is>
          <t>OPEN — requires named owner and evidence</t>
        </is>
      </c>
    </row>
    <row r="25">
      <c r="A25" s="2" t="inlineStr">
        <is>
          <t>P14-D</t>
        </is>
      </c>
      <c r="B25" s="2" t="inlineStr">
        <is>
          <t>Design basis and survey</t>
        </is>
      </c>
      <c r="C25" s="2" t="inlineStr">
        <is>
          <t>CriteriaPartII; Corrigendum3 GCC2.3.6</t>
        </is>
      </c>
      <c r="D25" s="2" t="inlineStr">
        <is>
          <t>Verify coordinates, elevations, spans, clearances, member sizes/thickness/loss, support movement, piping/cable loads and NDT; create controlled datums; close bearing/camber/load discrepancies; record later company instructions under change control.</t>
        </is>
      </c>
      <c r="E25" s="2" t="inlineStr">
        <is>
          <t>Engineering Manager</t>
        </is>
      </c>
      <c r="F25" s="2" t="inlineStr">
        <is>
          <t>Accepted survey dossier and bridge-specific design basis</t>
        </is>
      </c>
      <c r="G25" s="2" t="inlineStr">
        <is>
          <t>OPEN — requires named owner and evidence</t>
        </is>
      </c>
    </row>
    <row r="26">
      <c r="A26" s="2" t="inlineStr">
        <is>
          <t>P14-E</t>
        </is>
      </c>
      <c r="B26" s="2" t="inlineStr">
        <is>
          <t>Engineering and independent checking</t>
        </is>
      </c>
      <c r="C26" s="2" t="inlineStr">
        <is>
          <t>C8; Combined1Annexure1; DesignCriteria</t>
        </is>
      </c>
      <c r="D26" s="2" t="inlineStr">
        <is>
          <t>Analyse bridge and supporting platforms, members/joints, bearings, fatigue/VIV, preservice lifts/transport and temporary stages; iterate piping reactions; detail connections; perform independent check and comment closure; submit through controlled DCI.</t>
        </is>
      </c>
      <c r="E26" s="2" t="inlineStr">
        <is>
          <t>Engineering Manager</t>
        </is>
      </c>
      <c r="F26" s="2" t="inlineStr">
        <is>
          <t>Checked calculations, interface reactions, design reports and accepted drawings</t>
        </is>
      </c>
      <c r="G26" s="2" t="inlineStr">
        <is>
          <t>OPEN — requires named owner and evidence</t>
        </is>
      </c>
    </row>
    <row r="27">
      <c r="A27" s="2" t="inlineStr">
        <is>
          <t>P14-F</t>
        </is>
      </c>
      <c r="B27" s="2" t="inlineStr">
        <is>
          <t>Fabrication drawings and AFC release</t>
        </is>
      </c>
      <c r="C27" s="2" t="inlineStr">
        <is>
          <t>C8 mother documents; Combined1 pp27–41</t>
        </is>
      </c>
      <c r="D27" s="2" t="inlineStr">
        <is>
          <t>Issue source-to-detail mapping, shop GAs, member/cut lists, joint/weld maps, bearing/guides, padeyes/supports and temporary-stability details; apply source revisions and CRS; independent check then company/CA release as applicable.</t>
        </is>
      </c>
      <c r="E27" s="2" t="inlineStr">
        <is>
          <t>Lead Structural Engineer</t>
        </is>
      </c>
      <c r="F27" s="2" t="inlineStr">
        <is>
          <t>Signed bridge-specific release index with matching drawing/MTO/procedure revisions</t>
        </is>
      </c>
      <c r="G27" s="2" t="inlineStr">
        <is>
          <t>OPEN — requires named owner and evidence</t>
        </is>
      </c>
    </row>
    <row r="28">
      <c r="A28" s="2" t="inlineStr">
        <is>
          <t>P14-G</t>
        </is>
      </c>
      <c r="B28" s="2" t="inlineStr">
        <is>
          <t>Geometry, MTO and weight control</t>
        </is>
      </c>
      <c r="C28" s="2" t="inlineStr">
        <is>
          <t>SOW quantity table; MTOIRT; Criteria weight/COG trigger</t>
        </is>
      </c>
      <c r="D28" s="2" t="inlineStr">
        <is>
          <t>Separate new bridge, strengthening, new landing, existing landing, demolition and finish quantities; resolve1MT/2m/1m² discrepancies; calculate member-length/plate/bolt/weld/coating MTO and wastage explicitly; track module dry/wet/rigging weights and COG.</t>
        </is>
      </c>
      <c r="E28" s="2" t="inlineStr">
        <is>
          <t>Quantity/Weight Engineer</t>
        </is>
      </c>
      <c r="F28" s="2" t="inlineStr">
        <is>
          <t>Traceable MTO revisions, reconciliation and verified module weight report</t>
        </is>
      </c>
      <c r="G28" s="2" t="inlineStr">
        <is>
          <t>OPEN — requires named owner and evidence</t>
        </is>
      </c>
    </row>
    <row r="29">
      <c r="A29" s="2" t="inlineStr">
        <is>
          <t>P14-H</t>
        </is>
      </c>
      <c r="B29" s="2" t="inlineStr">
        <is>
          <t>HSE and SIMOPS</t>
        </is>
      </c>
      <c r="C29" s="2" t="inlineStr">
        <is>
          <t>SCC7/8; PPElist; OISD155 applicability</t>
        </is>
      </c>
      <c r="D29" s="2" t="inlineStr">
        <is>
          <t>Complete HIRA/JSA/PTW, isolation/LOTO, hot work, gas testing, work-at-height/rescue, dropped objects, scaffold/access, marine transfers, occupational exposure and emergency interfaces; train staff; issue certified PPE and validate work-start clearance.</t>
        </is>
      </c>
      <c r="E29" s="2" t="inlineStr">
        <is>
          <t>HSE Manager</t>
        </is>
      </c>
      <c r="F29" s="2" t="inlineStr">
        <is>
          <t>Approved HSE/SIMOPS plan, personnel matrix and permit packs</t>
        </is>
      </c>
      <c r="G29" s="2" t="inlineStr">
        <is>
          <t>OPEN — requires named owner and evidence</t>
        </is>
      </c>
    </row>
    <row r="30">
      <c r="A30" s="2" t="inlineStr">
        <is>
          <t>P14-I</t>
        </is>
      </c>
      <c r="B30" s="2" t="inlineStr">
        <is>
          <t>Interface and operations management</t>
        </is>
      </c>
      <c r="C30" s="2" t="inlineStr">
        <is>
          <t>SCC1.7; Combined1/2/3</t>
        </is>
      </c>
      <c r="D30" s="2" t="inlineStr">
        <is>
          <t>Register structural/piping/electrical/instrument/telecom/firewater interfaces; agree outage and transfer sequence; assign tie-in owners; confirm access and emergency routes; track support reactions and dimensional tolerances; resolve NQO/NOQ naming.</t>
        </is>
      </c>
      <c r="E30" s="2" t="inlineStr">
        <is>
          <t>Interface Manager</t>
        </is>
      </c>
      <c r="F30" s="2" t="inlineStr">
        <is>
          <t>Signed interface agreements, outage windows and battery-limit register</t>
        </is>
      </c>
      <c r="G30" s="2" t="inlineStr">
        <is>
          <t>OPEN — requires named owner and evidence</t>
        </is>
      </c>
    </row>
    <row r="31">
      <c r="A31" s="2" t="inlineStr">
        <is>
          <t>P14-J</t>
        </is>
      </c>
      <c r="B31" s="2" t="inlineStr">
        <is>
          <t>Joint inspections and quality assurance</t>
        </is>
      </c>
      <c r="C31" s="2" t="inlineStr">
        <is>
          <t>FS2009F; FS2005Rev9; C8</t>
        </is>
      </c>
      <c r="D31" s="2" t="inlineStr">
        <is>
          <t>Set inspection/hold/witness points; qualify welding and personnel; control heat/consumable traceability; calibrate instruments; inspect fit-up/weld/NDT/coating/dimensions; repair and close NCRs; issue releases and indexed records.</t>
        </is>
      </c>
      <c r="E31" s="2" t="inlineStr">
        <is>
          <t>QA/QC Manager</t>
        </is>
      </c>
      <c r="F31" s="2" t="inlineStr">
        <is>
          <t>ITP, qualification dossiers, inspection releases and NCR closure</t>
        </is>
      </c>
      <c r="G31" s="2" t="inlineStr">
        <is>
          <t>OPEN — requires named owner and evidence</t>
        </is>
      </c>
    </row>
    <row r="32">
      <c r="A32" s="2" t="inlineStr">
        <is>
          <t>P14-K</t>
        </is>
      </c>
      <c r="B32" s="2" t="inlineStr">
        <is>
          <t>Key suppliers and procurement</t>
        </is>
      </c>
      <c r="C32" s="2" t="inlineStr">
        <is>
          <t>SVL12.3 Combined3 pp261–341; Corr3; C8</t>
        </is>
      </c>
      <c r="D32" s="2" t="inlineStr">
        <is>
          <t>Package25 procurement scopes; RFQ and technical/commercial evaluation; verify SVL12.3 status/product/location, steel melt/pour/DVA and traceability; obtain PS approvals, place authorised PO, expedite and inspect; preserve vendor-data dependencies.</t>
        </is>
      </c>
      <c r="E32" s="2" t="inlineStr">
        <is>
          <t>Procurement Manager</t>
        </is>
      </c>
      <c r="F32" s="2" t="inlineStr">
        <is>
          <t>PO/delivery/inspection register with quoted dates and evidence</t>
        </is>
      </c>
      <c r="G32" s="2" t="inlineStr">
        <is>
          <t>OPEN — requires named owner and evidence</t>
        </is>
      </c>
    </row>
    <row r="33">
      <c r="A33" s="2" t="inlineStr">
        <is>
          <t>P14-L</t>
        </is>
      </c>
      <c r="B33" s="2" t="inlineStr">
        <is>
          <t>Logistics, loadout and preservation</t>
        </is>
      </c>
      <c r="C33" s="2" t="inlineStr">
        <is>
          <t>SCC14; C9/C10; applicable marine assurance</t>
        </is>
      </c>
      <c r="D33" s="2" t="inlineStr">
        <is>
          <t>Verify shore-base storage/load capacity, route permits, lifting gear and packing/preservation; produce cargo ID/weight/COG/manifests; sea fasten and inspect loadout; monitor voyage/receipt and backload; segregate quarantine and accepted stock.</t>
        </is>
      </c>
      <c r="E33" s="2" t="inlineStr">
        <is>
          <t>Logistics Manager</t>
        </is>
      </c>
      <c r="F33" s="2" t="inlineStr">
        <is>
          <t>Approved loadout/transport pack, manifests and receipt reports</t>
        </is>
      </c>
      <c r="G33" s="2" t="inlineStr">
        <is>
          <t>OPEN — requires named owner and evidence</t>
        </is>
      </c>
    </row>
    <row r="34">
      <c r="A34" s="2" t="inlineStr">
        <is>
          <t>P14-M</t>
        </is>
      </c>
      <c r="B34" s="2" t="inlineStr">
        <is>
          <t>Marine engineering and assurance</t>
        </is>
      </c>
      <c r="C34" s="2" t="inlineStr">
        <is>
          <t>SCC3/5; C9/C10; C8 starred requirements</t>
        </is>
      </c>
      <c r="D34" s="2" t="inlineStr">
        <is>
          <t>Verify actual-radius crane charts, dynamics/rigging/padeyes, deck strength/stability, seafastening/voyage, positioning/mooring/DP, subsea hazards, access/POB and certificates; obtain applicable MWS/company clearances and predeployment audit.</t>
        </is>
      </c>
      <c r="E34" s="2" t="inlineStr">
        <is>
          <t>Marine Manager</t>
        </is>
      </c>
      <c r="F34" s="2" t="inlineStr">
        <is>
          <t>Accepted vessel/operation assurance pack and go/no-go record</t>
        </is>
      </c>
      <c r="G34" s="2" t="inlineStr">
        <is>
          <t>OPEN — requires named owner and evidence</t>
        </is>
      </c>
    </row>
    <row r="35">
      <c r="A35" s="2" t="inlineStr">
        <is>
          <t>P14-N</t>
        </is>
      </c>
      <c r="B35" s="2" t="inlineStr">
        <is>
          <t>Network schedule and calendars</t>
        </is>
      </c>
      <c r="C35" s="2" t="inlineStr">
        <is>
          <t>SCC2/11; C8; P14 scenario</t>
        </is>
      </c>
      <c r="D35" s="2" t="inlineStr">
        <is>
          <t>Use one logic network with source/assumption status; model office/yard/offshore calendars, approval states and PS stages; link shared resources and completion dossiers; calculate forward/backward paths, target shortfalls and sensitivities; freeze only after validation.</t>
        </is>
      </c>
      <c r="E35" s="2" t="inlineStr">
        <is>
          <t>Planning Manager</t>
        </is>
      </c>
      <c r="F35" s="2" t="inlineStr">
        <is>
          <t>Approved baseline and update narrative with calculation settings</t>
        </is>
      </c>
      <c r="G35" s="2" t="inlineStr">
        <is>
          <t>OPEN — requires named owner and evidence</t>
        </is>
      </c>
    </row>
    <row r="36">
      <c r="A36" s="2" t="inlineStr">
        <is>
          <t>P14-O</t>
        </is>
      </c>
      <c r="B36" s="2" t="inlineStr">
        <is>
          <t>Offshore installation and temporary stability</t>
        </is>
      </c>
      <c r="C36" s="2" t="inlineStr">
        <is>
          <t>StructuralSOW addendum; bridge-specific approved methods</t>
        </is>
      </c>
      <c r="D36" s="2" t="inlineStr">
        <is>
          <t>Complete preconstruction survey/access; strengthen supports before new bridge placement where required; verify temporary load paths and restraint removal order; authorise lifts, landing alignment/bearing travel and permanent connection; inspect before transfer and removal.</t>
        </is>
      </c>
      <c r="E36" s="2" t="inlineStr">
        <is>
          <t>Construction Manager</t>
        </is>
      </c>
      <c r="F36" s="2" t="inlineStr">
        <is>
          <t>Signed workfront release, installation survey and inspection dossier</t>
        </is>
      </c>
      <c r="G36" s="2" t="inlineStr">
        <is>
          <t>OPEN — requires named owner and evidence</t>
        </is>
      </c>
    </row>
    <row r="37">
      <c r="A37" s="2" t="inlineStr">
        <is>
          <t>P14-P</t>
        </is>
      </c>
      <c r="B37" s="2" t="inlineStr">
        <is>
          <t>Production and fabrication control</t>
        </is>
      </c>
      <c r="C37" s="2" t="inlineStr">
        <is>
          <t>MasterPlanV3; FS2009F/2005</t>
        </is>
      </c>
      <c r="D37" s="2" t="inlineStr">
        <is>
          <t>Validate bay dimensions/cranes and shifts; material receipt/heat mapping; cut/form/fit/weld with distortion/camber controls; NDT/repair; dimensional survey/trial fit; coating/curing; preserve and release modules by accepted quantities.</t>
        </is>
      </c>
      <c r="E37" s="2" t="inlineStr">
        <is>
          <t>Fabrication Manager</t>
        </is>
      </c>
      <c r="F37" s="2" t="inlineStr">
        <is>
          <t>Daily accepted output, resource hours and module release</t>
        </is>
      </c>
      <c r="G37" s="2" t="inlineStr">
        <is>
          <t>OPEN — requires named owner and evidence</t>
        </is>
      </c>
    </row>
    <row r="38">
      <c r="A38" s="2" t="inlineStr">
        <is>
          <t>P14-Q</t>
        </is>
      </c>
      <c r="B38" s="2" t="inlineStr">
        <is>
          <t>Quantity, progress and earned value</t>
        </is>
      </c>
      <c r="C38" s="2" t="inlineStr">
        <is>
          <t>SCC12; C8 review/progress rules</t>
        </is>
      </c>
      <c r="D38" s="2" t="inlineStr">
        <is>
          <t>Measure installed and accepted quantities by workpack; distinguish fabrication/install completion, certification, invoice and cash; apply C8 engineering/MCI status weights only to their contractual bases; retain e-MB/SES traceability; do not earn budget twice.</t>
        </is>
      </c>
      <c r="E38" s="2" t="inlineStr">
        <is>
          <t>Project Controls Manager</t>
        </is>
      </c>
      <c r="F38" s="2" t="inlineStr">
        <is>
          <t>Signed measurement, progress-rule and cost-code reconciliation</t>
        </is>
      </c>
      <c r="G38" s="2" t="inlineStr">
        <is>
          <t>OPEN — requires named owner and evidence</t>
        </is>
      </c>
    </row>
    <row r="39">
      <c r="A39" s="2" t="inlineStr">
        <is>
          <t>P14-R</t>
        </is>
      </c>
      <c r="B39" s="2" t="inlineStr">
        <is>
          <t>Risk, contingency and recovery</t>
        </is>
      </c>
      <c r="C39" s="2" t="inlineStr">
        <is>
          <t>SCC11; P14 alternatives</t>
        </is>
      </c>
      <c r="D39" s="2" t="inlineStr">
        <is>
          <t>Identify causes/events/effects; score ownership and early-warning; quantify actual schedule/cost exposures when data exist; test material delays, re-reviews, vessel failure and workability; price recovery options and seek authorised decisions.</t>
        </is>
      </c>
      <c r="E39" s="2" t="inlineStr">
        <is>
          <t>Risk/Planning Manager</t>
        </is>
      </c>
      <c r="F39" s="2" t="inlineStr">
        <is>
          <t>Owned mitigations, contingency and recovery decision log</t>
        </is>
      </c>
      <c r="G39" s="2" t="inlineStr">
        <is>
          <t>OPEN — requires named owner and evidence</t>
        </is>
      </c>
    </row>
    <row r="40">
      <c r="A40" s="2" t="inlineStr">
        <is>
          <t>P14-S</t>
        </is>
      </c>
      <c r="B40" s="2" t="inlineStr">
        <is>
          <t>Subcontracts and retained responsibilities</t>
        </is>
      </c>
      <c r="C40" s="2" t="inlineStr">
        <is>
          <t>A16/A17/B6; TechnicalBEC5</t>
        </is>
      </c>
      <c r="D40" s="2" t="inlineStr">
        <is>
          <t>Define battery limits and deliverables; retain required PM/main activities; obtain capacity/commitment letters and flow down QA/HSE/integrity obligations; manage approved agencies, claims and performance; prohibit unauthorised whole-works pass-through.</t>
        </is>
      </c>
      <c r="E40" s="2" t="inlineStr">
        <is>
          <t>Contracts Manager</t>
        </is>
      </c>
      <c r="F40" s="2" t="inlineStr">
        <is>
          <t>Approved responsibility split and signed subcontract evidence</t>
        </is>
      </c>
      <c r="G40" s="2" t="inlineStr">
        <is>
          <t>OPEN — requires named owner and evidence</t>
        </is>
      </c>
    </row>
    <row r="41">
      <c r="A41" s="2" t="inlineStr">
        <is>
          <t>P14-T</t>
        </is>
      </c>
      <c r="B41" s="2" t="inlineStr">
        <is>
          <t>Treasury, cost and cash flow</t>
        </is>
      </c>
      <c r="C41" s="2" t="inlineStr">
        <is>
          <t>P9/P11 securities; A3/A10; SCC</t>
        </is>
      </c>
      <c r="D41" s="2" t="inlineStr">
        <is>
          <t>Track budget/commitment/accrual/actual/ETC/EAC; schedule taxes, wages, charters, vendor payments, BG margins/fees/releases, certification/payment lags, retention/advance recovery and financing; extend through final account/warranty releases.</t>
        </is>
      </c>
      <c r="E41" s="2" t="inlineStr">
        <is>
          <t>Finance Manager</t>
        </is>
      </c>
      <c r="F41" s="2" t="inlineStr">
        <is>
          <t>Priced control budget and funded cash forecast</t>
        </is>
      </c>
      <c r="G41" s="2" t="inlineStr">
        <is>
          <t>OPEN — requires named owner and evidence</t>
        </is>
      </c>
    </row>
    <row r="42">
      <c r="A42" s="2" t="inlineStr">
        <is>
          <t>P14-U</t>
        </is>
      </c>
      <c r="B42" s="2" t="inlineStr">
        <is>
          <t>Utilities and service reinstatement</t>
        </is>
      </c>
      <c r="C42" s="2" t="inlineStr">
        <is>
          <t>Combined1/2/3 discipline specifications</t>
        </is>
      </c>
      <c r="D42" s="2" t="inlineStr">
        <is>
          <t>List every piping/cable/instrument/lighting/earthing/firewater service; verify temporary bypasses; isolate, transfer, inspect/test and restore under operations control; close pressure/leak, continuity/IR/earthing and functional tests as applicable.</t>
        </is>
      </c>
      <c r="E42" s="2" t="inlineStr">
        <is>
          <t>Commissioning Manager</t>
        </is>
      </c>
      <c r="F42" s="2" t="inlineStr">
        <is>
          <t>System-wise reinstatement/test sheets and operations acceptance</t>
        </is>
      </c>
      <c r="G42" s="2" t="inlineStr">
        <is>
          <t>OPEN — requires named owner and evidence</t>
        </is>
      </c>
    </row>
    <row r="43">
      <c r="A43" s="2" t="inlineStr">
        <is>
          <t>P14-V</t>
        </is>
      </c>
      <c r="B43" s="2" t="inlineStr">
        <is>
          <t>Variations, delay and claims records</t>
        </is>
      </c>
      <c r="C43" s="2" t="inlineStr">
        <is>
          <t>SCC9/11; Corr3 clause2.3.6; GCC8</t>
        </is>
      </c>
      <c r="D43" s="2" t="inlineStr">
        <is>
          <t>Log notices and contractual time bars; maintain monthly joint critical-event logs and quarterly delay reports; substantiate quantities/invoices/man/barge days; apply SCC9 positive/negative valuation and avoid duplicate fees; document relief decisions.</t>
        </is>
      </c>
      <c r="E43" s="2" t="inlineStr">
        <is>
          <t>Contracts Manager</t>
        </is>
      </c>
      <c r="F43" s="2" t="inlineStr">
        <is>
          <t>Notices, joint statements, approved variations and final-account evidence</t>
        </is>
      </c>
      <c r="G43" s="2" t="inlineStr">
        <is>
          <t>OPEN — requires named owner and evidence</t>
        </is>
      </c>
    </row>
    <row r="44">
      <c r="A44" s="2" t="inlineStr">
        <is>
          <t>P14-W</t>
        </is>
      </c>
      <c r="B44" s="2" t="inlineStr">
        <is>
          <t>Weather and workability</t>
        </is>
      </c>
      <c r="C44" s="2" t="inlineStr">
        <is>
          <t>SCC2/4; C9/C10</t>
        </is>
      </c>
      <c r="D44" s="2" t="inlineStr">
        <is>
          <t>Set engineered operating/abort limits by operation; agree forecast/lookback records and weather standby attribution; plan refuge/demob/remob and emergency triggers; preserve contemporaneous proof for qualifying monsoon relief.</t>
        </is>
      </c>
      <c r="E44" s="2" t="inlineStr">
        <is>
          <t>Marine/Planning Manager</t>
        </is>
      </c>
      <c r="F44" s="2" t="inlineStr">
        <is>
          <t>Weather logs, operational decisions and seasonal resource plan</t>
        </is>
      </c>
      <c r="G44" s="2" t="inlineStr">
        <is>
          <t>OPEN — requires named owner and evidence</t>
        </is>
      </c>
    </row>
    <row r="45">
      <c r="A45" s="2" t="inlineStr">
        <is>
          <t>P14-X</t>
        </is>
      </c>
      <c r="B45" s="2" t="inlineStr">
        <is>
          <t>Execution readiness and daily control</t>
        </is>
      </c>
      <c r="C45" s="2" t="inlineStr">
        <is>
          <t>Stages30–35; HSE/QA project controls</t>
        </is>
      </c>
      <c r="D45" s="2" t="inlineStr">
        <is>
          <t>Run6week constraint removal,14day lookahead and daily permit/readiness meetings; verify all gates and evidence IDs; record planned/accepted output and crew-hours; escalate blockers and resource clashes without bypassing safety gates.</t>
        </is>
      </c>
      <c r="E45" s="2" t="inlineStr">
        <is>
          <t>Construction Manager</t>
        </is>
      </c>
      <c r="F45" s="2" t="inlineStr">
        <is>
          <t>Released daily work list, production/constraint records</t>
        </is>
      </c>
      <c r="G45" s="2" t="inlineStr">
        <is>
          <t>OPEN — requires named owner and evidence</t>
        </is>
      </c>
    </row>
    <row r="46">
      <c r="A46" s="2" t="inlineStr">
        <is>
          <t>P14-Y</t>
        </is>
      </c>
      <c r="B46" s="2" t="inlineStr">
        <is>
          <t>Yard-to-field completion and handover</t>
        </is>
      </c>
      <c r="C46" s="2" t="inlineStr">
        <is>
          <t>A10; C8; SCC14; GCC completion clauses</t>
        </is>
      </c>
      <c r="D46" s="2" t="inlineStr">
        <is>
          <t>Create bridge/system turnover boundaries at design stage; collect manufacturing records progressively; inspect structural/bearing alignment and reinstated services; close blocking punch items; deliver as-builts/native files/vendor dossiers and scrap receipts; obtain formal acceptance.</t>
        </is>
      </c>
      <c r="E46" s="2" t="inlineStr">
        <is>
          <t>Completion Manager</t>
        </is>
      </c>
      <c r="F46" s="2" t="inlineStr">
        <is>
          <t>Accepted turnover dossier and handover certificate</t>
        </is>
      </c>
      <c r="G46" s="2" t="inlineStr">
        <is>
          <t>OPEN — requires named owner and evidence</t>
        </is>
      </c>
    </row>
    <row r="47">
      <c r="A47" s="2" t="inlineStr">
        <is>
          <t>P14-Z</t>
        </is>
      </c>
      <c r="B47" s="2" t="inlineStr">
        <is>
          <t>Warranty, final account and lessons</t>
        </is>
      </c>
      <c r="C47" s="2" t="inlineStr">
        <is>
          <t>IntegrityPact9; GCC/SCC governing periods</t>
        </is>
      </c>
      <c r="D47" s="2" t="inlineStr">
        <is>
          <t>Track defect liability/warranty and insurance/security releases; resolve claims and subcontract final accounts; retain integrity-pact/record obligations; archive controlled native/PDF data and access; close lessons and verify promised performance against outcomes.</t>
        </is>
      </c>
      <c r="E47" s="2" t="inlineStr">
        <is>
          <t>Project Director</t>
        </is>
      </c>
      <c r="F47" s="2" t="inlineStr">
        <is>
          <t>Contract closure certificate, release schedule and retained records</t>
        </is>
      </c>
      <c r="G47" s="2" t="inlineStr">
        <is>
          <t>OPEN — requires named owner and evidence</t>
        </is>
      </c>
    </row>
    <row r="48">
      <c r="A48" s="2" t="inlineStr">
        <is>
          <t>P8-F01</t>
        </is>
      </c>
      <c r="B48" s="2" t="inlineStr">
        <is>
          <t>SOURCE GAP CLOSED</t>
        </is>
      </c>
      <c r="C48" s="2" t="inlineStr">
        <is>
          <t>Combined_Addendum_1 (1).pdf PDF page 27</t>
        </is>
      </c>
      <c r="D48" s="2" t="inlineStr">
        <is>
          <t>B774-101-83-43-0001 ICW-ICG lower-deck dimensioned GA/details is supplied.</t>
        </is>
      </c>
      <c r="E48" s="2" t="inlineStr">
        <is>
          <t>Engineering / Document Control</t>
        </is>
      </c>
      <c r="F48" s="2" t="inlineStr">
        <is>
          <t>Replace prior missing-GA status with SOURCE RECEIVED / TENDER / VERIFY; update design-input register.</t>
        </is>
      </c>
      <c r="G48" s="2" t="inlineStr">
        <is>
          <t>Historical finding; later P9/P11 disposition governs</t>
        </is>
      </c>
    </row>
    <row r="49">
      <c r="A49" s="2" t="inlineStr">
        <is>
          <t>P8-F02</t>
        </is>
      </c>
      <c r="B49" s="2" t="inlineStr">
        <is>
          <t>SOURCE GAP CLOSED</t>
        </is>
      </c>
      <c r="C49" s="2" t="inlineStr">
        <is>
          <t>Combined_Addendum_1 (1).pdf PDF page 31-32</t>
        </is>
      </c>
      <c r="D49" s="2" t="inlineStr">
        <is>
          <t>B774-102-83-43-0001 ICP-ICG lower-deck two-sheet GA/details is supplied.</t>
        </is>
      </c>
      <c r="E49" s="2" t="inlineStr">
        <is>
          <t>Engineering</t>
        </is>
      </c>
      <c r="F49" s="2" t="inlineStr">
        <is>
          <t>Register both sheets; develop model/member/connection input from source subject to survey and checking.</t>
        </is>
      </c>
      <c r="G49" s="2" t="inlineStr">
        <is>
          <t>Historical finding; later P9/P11 disposition governs</t>
        </is>
      </c>
    </row>
    <row r="50">
      <c r="A50" s="2" t="inlineStr">
        <is>
          <t>P8-F03</t>
        </is>
      </c>
      <c r="B50" s="2" t="inlineStr">
        <is>
          <t>SOURCE GAP CLOSED</t>
        </is>
      </c>
      <c r="C50" s="2" t="inlineStr">
        <is>
          <t>Combined_Addendum_1 (1).pdf PDF page 36-41</t>
        </is>
      </c>
      <c r="D50" s="2" t="inlineStr">
        <is>
          <t>BHS-SLQ new GA, landing modifications/extensions and demolition drawing are supplied.</t>
        </is>
      </c>
      <c r="E50" s="2" t="inlineStr">
        <is>
          <t>Engineering / Offshore</t>
        </is>
      </c>
      <c r="F50" s="2" t="inlineStr">
        <is>
          <t>Map actual103series to BHS installation/service-transfer/demolition engineering; source is not AFC approval.</t>
        </is>
      </c>
      <c r="G50" s="2" t="inlineStr">
        <is>
          <t>Historical finding; later P9/P11 disposition governs</t>
        </is>
      </c>
    </row>
    <row r="51">
      <c r="A51" s="2" t="inlineStr">
        <is>
          <t>P8-F04</t>
        </is>
      </c>
      <c r="B51" s="2" t="inlineStr">
        <is>
          <t>ENGINEERING SCOPE EXPANDED/CLARIFIED</t>
        </is>
      </c>
      <c r="C51" s="2" t="inlineStr">
        <is>
          <t>Combined_Addendum_1 (1).pdf PDF page 2</t>
        </is>
      </c>
      <c r="D51" s="2" t="inlineStr">
        <is>
          <t>Annexure specifies10bridge analysis scopes;globaldeckinplace forICP/ICG/ICW/BHS/SLQ;localdeckinplace forWIS/NOQ/NQD/WIN/NC/SC1/SCA/SCF.</t>
        </is>
      </c>
      <c r="E51" s="2" t="inlineStr">
        <is>
          <t>Engineering / Planning</t>
        </is>
      </c>
      <c r="F51" s="2" t="inlineStr">
        <is>
          <t>Create explicit calculation/deliverable/predecessor rows; verifyNOQ naming againstNQO; do not treat allplatformchecks as one generic activity.</t>
        </is>
      </c>
      <c r="G51" s="2" t="inlineStr">
        <is>
          <t>Historical finding; later P9/P11 disposition governs</t>
        </is>
      </c>
    </row>
    <row r="52">
      <c r="A52" s="2" t="inlineStr">
        <is>
          <t>P8-F05</t>
        </is>
      </c>
      <c r="B52" s="2" t="inlineStr">
        <is>
          <t>APPROVAL/RECORD CLASSIFICATION</t>
        </is>
      </c>
      <c r="C52" s="2" t="inlineStr">
        <is>
          <t>Combined_Addendum_1 (1).pdf PDF page 2</t>
        </is>
      </c>
      <c r="D52" s="2" t="inlineStr">
        <is>
          <t>Design basis/methods, reports and AFC drawings show approval;fabrication/as-built columns show records; matrix saysnotexhaustive.</t>
        </is>
      </c>
      <c r="E52" s="2" t="inlineStr">
        <is>
          <t>Engineering / QA / Document Control</t>
        </is>
      </c>
      <c r="F52" s="2" t="inlineStr">
        <is>
          <t>Revise101itemdraftregister and authority/evidence fields; separate perbridge/landingmethodology submissions.</t>
        </is>
      </c>
      <c r="G52" s="2" t="inlineStr">
        <is>
          <t>Historical finding; later P9/P11 disposition governs</t>
        </is>
      </c>
    </row>
    <row r="53">
      <c r="A53" s="2" t="inlineStr">
        <is>
          <t>P8-F06</t>
        </is>
      </c>
      <c r="B53" s="2" t="inlineStr">
        <is>
          <t>REVIEW CALENDAR CORRECTION</t>
        </is>
      </c>
      <c r="C53" s="2" t="inlineStr">
        <is>
          <t>Appendix C-8 DCI MCI.pdf PDF page 2-4;14-18</t>
        </is>
      </c>
      <c r="D53" s="2" t="inlineStr">
        <is>
          <t>ProjectDCI/MCI must befinalised/approved;generally10workingdays review,listedcomplexfirstreviews longer,and subsequentreviews10workingdays.</t>
        </is>
      </c>
      <c r="E53" s="2" t="inlineStr">
        <is>
          <t>Planning / Engineering</t>
        </is>
      </c>
      <c r="F53" s="2" t="inlineStr">
        <is>
          <t>Replace4calendardayplaceholder engineering review; build working-day calendars, reviewer capacity, staggered submissions and rework loops; recompute forecasts.</t>
        </is>
      </c>
      <c r="G53" s="2" t="inlineStr">
        <is>
          <t>Historical finding; later P9/P11 disposition governs</t>
        </is>
      </c>
    </row>
    <row r="54">
      <c r="A54" s="2" t="inlineStr">
        <is>
          <t>P8-F07</t>
        </is>
      </c>
      <c r="B54" s="2" t="inlineStr">
        <is>
          <t>PREDECESSOR STATE CONTROL</t>
        </is>
      </c>
      <c r="C54" s="2" t="inlineStr">
        <is>
          <t>Appendix C-8 DCI MCI.pdf PDF page 3;17-18</t>
        </is>
      </c>
      <c r="D54" s="2" t="inlineStr">
        <is>
          <t>DocumentcategoryA/I/R differs from predecessor stateS/R/A; out-of-sequence documents can be returned withoutreview.</t>
        </is>
      </c>
      <c r="E54" s="2" t="inlineStr">
        <is>
          <t>Document Control / Engineering</t>
        </is>
      </c>
      <c r="F54" s="2" t="inlineStr">
        <is>
          <t>Map mother documents and required predecessor status; enforce release conditions and preserve baseline revision history.</t>
        </is>
      </c>
      <c r="G54" s="2" t="inlineStr">
        <is>
          <t>Historical finding; later P9/P11 disposition governs</t>
        </is>
      </c>
    </row>
    <row r="55">
      <c r="A55" s="2" t="inlineStr">
        <is>
          <t>P8-F08</t>
        </is>
      </c>
      <c r="B55" s="2" t="inlineStr">
        <is>
          <t>PROGRESS RULE CORRECTION</t>
        </is>
      </c>
      <c r="C55" s="2" t="inlineStr">
        <is>
          <t>Appendix C-8 DCI MCI.pdf PDF page 4</t>
        </is>
      </c>
      <c r="D55" s="2" t="inlineStr">
        <is>
          <t>ReviewCatC:noengineeringprogress;CatB:60%engineeringprogress onsubmission perwording;CatA:100%. MCI first/secondstage PS approval earns5%+5%of itemprocurementweight.</t>
        </is>
      </c>
      <c r="E55" s="2" t="inlineStr">
        <is>
          <t>Project Controls / Contracts</t>
        </is>
      </c>
      <c r="F55" s="2" t="inlineStr">
        <is>
          <t>Reconcile/supersede earlierproposedinternal engineering/procurementcredit rules for contractual reporting; do not interpret as wholeprojectprogress or duplicate A-10billing.</t>
        </is>
      </c>
      <c r="G55" s="2" t="inlineStr">
        <is>
          <t>Historical finding; later P9/P11 disposition governs</t>
        </is>
      </c>
    </row>
    <row r="56">
      <c r="A56" s="2" t="inlineStr">
        <is>
          <t>P8-F09</t>
        </is>
      </c>
      <c r="B56" s="2" t="inlineStr">
        <is>
          <t>PRE-ACTIVITY SUBMISSION/MWS</t>
        </is>
      </c>
      <c r="C56" s="2" t="inlineStr">
        <is>
          <t>Appendix C-8 DCI MCI.pdf PDF page 17-18;otherapplicablerows</t>
        </is>
      </c>
      <c r="D56" s="2" t="inlineStr">
        <is>
          <t>Starred notes call for30dayadvance submission;double-starred items requireMWS approval whereapplicable.</t>
        </is>
      </c>
      <c r="E56" s="2" t="inlineStr">
        <is>
          <t>Marine / Planning</t>
        </is>
      </c>
      <c r="F56" s="2" t="inlineStr">
        <is>
          <t>Add submission/assurance milestones and review buffers to relevant operation logic; check row applicability,notblanketassumeallitems.</t>
        </is>
      </c>
      <c r="G56" s="2" t="inlineStr">
        <is>
          <t>Historical finding; later P9/P11 disposition governs</t>
        </is>
      </c>
    </row>
    <row r="57">
      <c r="A57" s="2" t="inlineStr">
        <is>
          <t>P8-F10</t>
        </is>
      </c>
      <c r="B57" s="2" t="inlineStr">
        <is>
          <t>MARINE AUDIT GATES</t>
        </is>
      </c>
      <c r="C57" s="2" t="inlineStr">
        <is>
          <t>Appendix C-9.pdf;Appendix C-10.pdf PDF page C9pp1-21 especially20;C10pp1-19</t>
        </is>
      </c>
      <c r="D57" s="2" t="inlineStr">
        <is>
          <t>Vessel particulars, POB, class/statutory/crew/equipment evidence and criticalpre-sail documents are prescribed.</t>
        </is>
      </c>
      <c r="E57" s="2" t="inlineStr">
        <is>
          <t>Marine / HSE / Assurance</t>
        </is>
      </c>
      <c r="F57" s="2" t="inlineStr">
        <is>
          <t>Create candidate-vessel audit dossiers; schedule inspections/observationclosure/clearances before mobilisation or sail-away as applicable.</t>
        </is>
      </c>
      <c r="G57" s="2" t="inlineStr">
        <is>
          <t>Historical finding; later P9/P11 disposition governs</t>
        </is>
      </c>
    </row>
    <row r="58">
      <c r="A58" s="2" t="inlineStr">
        <is>
          <t>P8-F11</t>
        </is>
      </c>
      <c r="B58" s="2" t="inlineStr">
        <is>
          <t>SUBCONTRACTING CONSTRAINT</t>
        </is>
      </c>
      <c r="C58" s="2" t="inlineStr">
        <is>
          <t>Appendix B-6.pdf;Appendix A-9.pdf PDF page B6p1;A9pp4-7</t>
        </is>
      </c>
      <c r="D58" s="2" t="inlineStr">
        <is>
          <t>Work division/locations/commitments and retainedbidderPM/qualifyingmainactivity requirements apply; wholeworksback-to-backsubcontract notallowed.</t>
        </is>
      </c>
      <c r="E58" s="2" t="inlineStr">
        <is>
          <t>Contracts / Project Director</t>
        </is>
      </c>
      <c r="F58" s="2" t="inlineStr">
        <is>
          <t>Map retained and subcontracted scope against actualBEC route; validate bidder/consortium/subcontractor evidence before commitments.</t>
        </is>
      </c>
      <c r="G58" s="2" t="inlineStr">
        <is>
          <t>Historical finding; later P9/P11 disposition governs</t>
        </is>
      </c>
    </row>
    <row r="59">
      <c r="A59" s="2" t="inlineStr">
        <is>
          <t>P8-F12</t>
        </is>
      </c>
      <c r="B59" s="2" t="inlineStr">
        <is>
          <t>VENDOR REVISION CHECK OPEN</t>
        </is>
      </c>
      <c r="C59" s="2" t="inlineStr">
        <is>
          <t>Combined_Addendum_1 (1).pdf;Appendix A-11 Offshore SVL Revision 12.1.pdf PDF page Coverp1;A11pp1-3</t>
        </is>
      </c>
      <c r="D59" s="2" t="inlineStr">
        <is>
          <t>CoverreferencesSVL12.3;separately uploadedlist is12.1. Generaladdendum makeslists reference-only subjecttechnical/tenderrequirements.</t>
        </is>
      </c>
      <c r="E59" s="2" t="inlineStr">
        <is>
          <t>Procurement / Contracts</t>
        </is>
      </c>
      <c r="F59" s="2" t="inlineStr">
        <is>
          <t>Do notlabel12.1latest; confirm12.3/currentapplicability while retainingqualification/exclusion and technical controls.</t>
        </is>
      </c>
      <c r="G59" s="2" t="inlineStr">
        <is>
          <t>Historical finding; later P9/P11 disposition governs</t>
        </is>
      </c>
    </row>
    <row r="60">
      <c r="A60" s="2" t="inlineStr">
        <is>
          <t>P8-F13</t>
        </is>
      </c>
      <c r="B60" s="2" t="inlineStr">
        <is>
          <t>REVISED SCC/A3 ATTACHMENT MATCH OPEN</t>
        </is>
      </c>
      <c r="C60" s="2" t="inlineStr">
        <is>
          <t>Combined_Addendum_1 (1).pdf PDF page Coverp1</t>
        </is>
      </c>
      <c r="D60" s="2" t="inlineStr">
        <is>
          <t>Coverannounces revisedSCC/A3; corresponding full revised attachments are not positivelyidentified inside thetwo combined PDFs.</t>
        </is>
      </c>
      <c r="E60" s="2" t="inlineStr">
        <is>
          <t>Contracts / Document Control</t>
        </is>
      </c>
      <c r="F60" s="2" t="inlineStr">
        <is>
          <t>Match against earlier/later separatelysuppliedfiles and officialrevision evidence; filename/metadataalone is not precedence proof. Do not freeze commercial/date basis from cover alone.</t>
        </is>
      </c>
      <c r="G60" s="2" t="inlineStr">
        <is>
          <t>Historical finding; later P9/P11 disposition governs</t>
        </is>
      </c>
    </row>
    <row r="61">
      <c r="A61" s="2" t="inlineStr">
        <is>
          <t>P8-F14</t>
        </is>
      </c>
      <c r="B61" s="2" t="inlineStr">
        <is>
          <t>DRAWING REGISTER RECONCILIATION</t>
        </is>
      </c>
      <c r="C61" s="2" t="inlineStr">
        <is>
          <t>Combined_Addendum_1 (1).pdf PDF page 3-5;27</t>
        </is>
      </c>
      <c r="D61" s="2" t="inlineStr">
        <is>
          <t>Revisedregister omits some olderstandalone0005references;101GA registershowsRev0 while sheettitleblockshowsA and revisionhistory0.</t>
        </is>
      </c>
      <c r="E61" s="2" t="inlineStr">
        <is>
          <t>Document Control / Engineering</t>
        </is>
      </c>
      <c r="F61" s="2" t="inlineStr">
        <is>
          <t>Resolve sheet/revision identity; mapold/newreferences; do not keep requesting omittedold0005sheets as definite gaps or assume workdeleted.</t>
        </is>
      </c>
      <c r="G61" s="2" t="inlineStr">
        <is>
          <t>Historical finding; later P9/P11 disposition governs</t>
        </is>
      </c>
    </row>
    <row r="62">
      <c r="A62" s="2" t="inlineStr">
        <is>
          <t>P8-F15</t>
        </is>
      </c>
      <c r="B62" s="2" t="inlineStr">
        <is>
          <t>DISCIPLINE COMPLETENESS</t>
        </is>
      </c>
      <c r="C62" s="2" t="inlineStr">
        <is>
          <t>Combined_Addendum_1 (1).pdf;Combined_Addendum_2.pdf PDF page C1pp42-285;C2pp1-250</t>
        </is>
      </c>
      <c r="D62" s="2" t="inlineStr">
        <is>
          <t>Substantial electrical, instrumentation and piping specifications/ITPs/standards are now available.</t>
        </is>
      </c>
      <c r="E62" s="2" t="inlineStr">
        <is>
          <t>Discipline Leads / Procurement / QA</t>
        </is>
      </c>
      <c r="F62" s="2" t="inlineStr">
        <is>
          <t>Build scope-specific specification/MTO/vendor/test matrix; piping stress reactions must feed structure; attached genericstandards do not automatically create additional facilities.</t>
        </is>
      </c>
      <c r="G62" s="2" t="inlineStr">
        <is>
          <t>Historical finding; later P9/P11 disposition governs</t>
        </is>
      </c>
    </row>
    <row r="63">
      <c r="A63" s="2" t="inlineStr">
        <is>
          <t>P8-F16</t>
        </is>
      </c>
      <c r="B63" s="2" t="inlineStr">
        <is>
          <t>FORM/VERSION COMPLIANCE</t>
        </is>
      </c>
      <c r="C63" s="2" t="inlineStr">
        <is>
          <t>Appendix A-9.pdf;Addendum (1).pdf;Appendix B-5.pdf PDF page A9pp4-5;Addendump1;B5p1</t>
        </is>
      </c>
      <c r="D63" s="2" t="inlineStr">
        <is>
          <t>OriginalA9item13 yard-information provision is deleted byaddendum;experienceforms and qualifyingthresholdreferences requireBEC cross-check.</t>
        </is>
      </c>
      <c r="E63" s="2" t="inlineStr">
        <is>
          <t>Contracts / Bid Compliance</t>
        </is>
      </c>
      <c r="F63" s="2" t="inlineStr">
        <is>
          <t>Maintain amendedcompliance matrix; do notapplydeletedclause ordeclareeligibilityfromaformalone.</t>
        </is>
      </c>
      <c r="G63" s="2" t="inlineStr">
        <is>
          <t>Historical finding; later P9/P11 disposition governs</t>
        </is>
      </c>
    </row>
    <row r="64">
      <c r="A64" s="2" t="inlineStr">
        <is>
          <t>P10-01</t>
        </is>
      </c>
      <c r="B64" s="2" t="inlineStr">
        <is>
          <t>Scope applicability</t>
        </is>
      </c>
      <c r="C64" s="2" t="inlineStr">
        <is>
          <t>Section1.pdf pp1,6-8; Section2.pdf p1; Section3.pdf p1</t>
        </is>
      </c>
      <c r="D64" s="2" t="inlineStr">
        <is>
          <t>All three Sections identify S&amp;SRP (Sump Caisson and SWLP Casing Replacement Project). Section1 describes SWLP casings, vent booms, heaters, PBIV, caissons and RS-21 repairs. Shared platform names do not prove BRRP scope.</t>
        </is>
      </c>
      <c r="E64" s="2" t="inlineStr">
        <is>
          <t>Workstream accountable owner</t>
        </is>
      </c>
      <c r="F64" s="2" t="inlineStr">
        <is>
          <t>Prepare an applicability matrix linking any adopted requirement to BRRP incorporation/contract reference. Retain these sources separately until applicability is established.</t>
        </is>
      </c>
      <c r="G64" s="2" t="inlineStr">
        <is>
          <t>Carry-forward action; requires actual evidence</t>
        </is>
      </c>
    </row>
    <row r="65">
      <c r="A65" s="2" t="inlineStr">
        <is>
          <t>P10-02</t>
        </is>
      </c>
      <c r="B65" s="2" t="inlineStr">
        <is>
          <t>New source contents</t>
        </is>
      </c>
      <c r="C65" s="2" t="inlineStr">
        <is>
          <t>inventory.json</t>
        </is>
      </c>
      <c r="D65" s="2" t="inlineStr">
        <is>
          <t>Section1, the CSV, Stage4 and Stage5 are four distinct contents without exact prior local matches. Ten successfully transferred uploads match earlier local files; Stage10 variants are also identical to one another.</t>
        </is>
      </c>
      <c r="E65" s="2" t="inlineStr">
        <is>
          <t>Workstream accountable owner</t>
        </is>
      </c>
      <c r="F65" s="2" t="inlineStr">
        <is>
          <t>Do not assume no prior hash match proves a later revision; reconcile cell-level changes and issuance before superseding earlier plans.</t>
        </is>
      </c>
      <c r="G65" s="2" t="inlineStr">
        <is>
          <t>Carry-forward action; requires actual evidence</t>
        </is>
      </c>
    </row>
    <row r="66">
      <c r="A66" s="2" t="inlineStr">
        <is>
          <t>P10-03</t>
        </is>
      </c>
      <c r="B66" s="2" t="inlineStr">
        <is>
          <t>Network logic</t>
        </is>
      </c>
      <c r="C66" s="2" t="inlineStr">
        <is>
          <t>CSV BR0002, BR0003, BR0005, BR0007, BR0008; complete exceptions sheet</t>
        </is>
      </c>
      <c r="D66" s="2" t="inlineStr">
        <is>
          <t>87 activity records. Screening finds54 FS-linked successors starting on or before their predecessor finish day, using the supplied day numbers and assuming no lag because no lag field is present. BR0002 starts day5 after BR0001 finishing day10; BR0007 starts76 after BR0006 finishing99. Same-day cases depend on timing convention.</t>
        </is>
      </c>
      <c r="E66" s="2" t="inlineStr">
        <is>
          <t>Workstream accountable owner</t>
        </is>
      </c>
      <c r="F66" s="2" t="inlineStr">
        <is>
          <t>Resolve intended FS/SS relations, lags and inclusive-day conventions; validate calendars and import mapping. Do not call these dates a calculated CPM baseline or change relations merely to preserve target dates.</t>
        </is>
      </c>
      <c r="G66" s="2" t="inlineStr">
        <is>
          <t>Carry-forward action; requires actual evidence</t>
        </is>
      </c>
    </row>
    <row r="67">
      <c r="A67" s="2" t="inlineStr">
        <is>
          <t>P10-04</t>
        </is>
      </c>
      <c r="B67" s="2" t="inlineStr">
        <is>
          <t>Resource feasibility</t>
        </is>
      </c>
      <c r="C67" s="2" t="inlineStr">
        <is>
          <t>Stage4 Resource Estimates C2:I11; Stage5 Yard Production C2:J11</t>
        </is>
      </c>
      <c r="D67" s="2" t="inlineStr">
        <is>
          <t>Productivity and crew/vessel inputs are unfilled in the sampled resource tables. Stage5 yard allocations are TBD and release gates pending; Ready for loadout is NO.</t>
        </is>
      </c>
      <c r="E67" s="2" t="inlineStr">
        <is>
          <t>Workstream accountable owner</t>
        </is>
      </c>
      <c r="F67" s="2" t="inlineStr">
        <is>
          <t>Obtain yard outputs, working shifts, named crews, crane charts, vessel availability and shutdown windows; then calculate durations and resource-level the network.</t>
        </is>
      </c>
      <c r="G67" s="2" t="inlineStr">
        <is>
          <t>Carry-forward action; requires actual evidence</t>
        </is>
      </c>
    </row>
    <row r="68">
      <c r="A68" s="2" t="inlineStr">
        <is>
          <t>P10-05</t>
        </is>
      </c>
      <c r="B68" s="2" t="inlineStr">
        <is>
          <t>Spreadsheet calculation state</t>
        </is>
      </c>
      <c r="C68" s="2" t="inlineStr">
        <is>
          <t>Workbook sheet inventory</t>
        </is>
      </c>
      <c r="D68" s="2" t="inlineStr">
        <is>
          <t>Some Stage4/5 formulas have no stored calculated value; many deliberately return blank for missing inputs. Stage25 also has uncached formula outputs. This does not establish an Excel error; Python inspection does not recalculate formulas.</t>
        </is>
      </c>
      <c r="E68" s="2" t="inlineStr">
        <is>
          <t>Workstream accountable owner</t>
        </is>
      </c>
      <c r="F68" s="2" t="inlineStr">
        <is>
          <t>Distinguish missing input, blank formula result and stale/missing cache. Recalculate an editable copy in Excel after verified inputs and perform checks; no recalculation claim is made here.</t>
        </is>
      </c>
      <c r="G68" s="2" t="inlineStr">
        <is>
          <t>Carry-forward action; requires actual evidence</t>
        </is>
      </c>
    </row>
    <row r="69">
      <c r="A69" s="2" t="inlineStr">
        <is>
          <t>P10-06</t>
        </is>
      </c>
      <c r="B69" s="2" t="inlineStr">
        <is>
          <t>Cost estimate completeness</t>
        </is>
      </c>
      <c r="C69" s="2" t="inlineStr">
        <is>
          <t>Stage25 READ ME B2:B9; Stage26 Commercial Inputs B3:B13 and Controls and Caveats</t>
        </is>
      </c>
      <c r="D69" s="2" t="inlineStr">
        <is>
          <t>Financial models explicitly remain illustrative/unpriced. Zero contract value and zero cost inputs mean unknown, not zero exposure. Tonnage allocation is provisional.</t>
        </is>
      </c>
      <c r="E69" s="2" t="inlineStr">
        <is>
          <t>Workstream accountable owner</t>
        </is>
      </c>
      <c r="F69" s="2" t="inlineStr">
        <is>
          <t>Build priced WBS estimates from quotations, quantities, marine spread days, overheads, risk and taxes; reconcile to signed terms and actual commercial status.</t>
        </is>
      </c>
      <c r="G69" s="2" t="inlineStr">
        <is>
          <t>Carry-forward action; requires actual evidence</t>
        </is>
      </c>
    </row>
    <row r="70">
      <c r="A70" s="2" t="inlineStr">
        <is>
          <t>P10-07</t>
        </is>
      </c>
      <c r="B70" s="2" t="inlineStr">
        <is>
          <t>Funding horizon</t>
        </is>
      </c>
      <c r="C70" s="2" t="inlineStr">
        <is>
          <t>Stage26 Controls and Caveats rows5-9; CEO Decision Dashboard C5</t>
        </is>
      </c>
      <c r="D70" s="2" t="inlineStr">
        <is>
          <t>29-week scenario excludes part of contract life. The workbook states retention is withheld but eventual release is not added; advance recovery needs verification; proposed certification/payment lags require confirmation.</t>
        </is>
      </c>
      <c r="E70" s="2" t="inlineStr">
        <is>
          <t>Workstream accountable owner</t>
        </is>
      </c>
      <c r="F70" s="2" t="inlineStr">
        <is>
          <t>Extend cash flow through completion, payment delays, retention/warranty/security release and final account. Add explicit advance recovery, BG margin release, tax and financing events and reconcile against milestones; then recalculate peak funding.</t>
        </is>
      </c>
      <c r="G70" s="2" t="inlineStr">
        <is>
          <t>Carry-forward action; requires actual evidence</t>
        </is>
      </c>
    </row>
    <row r="71">
      <c r="A71" s="2" t="inlineStr">
        <is>
          <t>P10-08</t>
        </is>
      </c>
      <c r="B71" s="2" t="inlineStr">
        <is>
          <t>Contract duration</t>
        </is>
      </c>
      <c r="C71" s="2" t="inlineStr">
        <is>
          <t>Stage25 READ ME B3:B4; earlier Technical SCC completion provision</t>
        </is>
      </c>
      <c r="D71" s="2" t="inlineStr">
        <is>
          <t>1 November2026 and360 days are planning assumptions. Earlier reviewed SCC states12 months from NOA;360 days is not automatically equivalent to12 months.</t>
        </is>
      </c>
      <c r="E71" s="2" t="inlineStr">
        <is>
          <t>Workstream accountable owner</t>
        </is>
      </c>
      <c r="F71" s="2" t="inlineStr">
        <is>
          <t>Use controlled governing SCC/award, actual commencement evidence, monsoon rules and approved extensions; align all workbooks to one date/calendar basis.</t>
        </is>
      </c>
      <c r="G71" s="2" t="inlineStr">
        <is>
          <t>Carry-forward action; requires actual evidence</t>
        </is>
      </c>
    </row>
    <row r="72">
      <c r="A72" s="2" t="inlineStr">
        <is>
          <t>P10-09</t>
        </is>
      </c>
      <c r="B72" s="2" t="inlineStr">
        <is>
          <t>MTO reconciliation</t>
        </is>
      </c>
      <c r="C72" s="2" t="inlineStr">
        <is>
          <t>Stage25 READ ME B5:B7; Stage10 CEO Decisions row3</t>
        </is>
      </c>
      <c r="D72" s="2" t="inlineStr">
        <is>
          <t>Printed structural total1142MT versus detailed rows1141MT remains acknowledged and unresolved. Labels such as Verified MTO are not approval evidence.</t>
        </is>
      </c>
      <c r="E72" s="2" t="inlineStr">
        <is>
          <t>Workstream accountable owner</t>
        </is>
      </c>
      <c r="F72" s="2" t="inlineStr">
        <is>
          <t>Maintain discrepancy register and obtain detailed engineering quantity reconciliation before procurement commitments; retain other prior handrail/grating discrepancies.</t>
        </is>
      </c>
      <c r="G72" s="2" t="inlineStr">
        <is>
          <t>Carry-forward action; requires actual evidence</t>
        </is>
      </c>
    </row>
    <row r="73">
      <c r="A73" s="2" t="inlineStr">
        <is>
          <t>P10-10</t>
        </is>
      </c>
      <c r="B73" s="2" t="inlineStr">
        <is>
          <t>Baseline gates</t>
        </is>
      </c>
      <c r="C73" s="2" t="inlineStr">
        <is>
          <t>Level3 P6 Preparation, Baseline Readiness rows2-13; Stage10 360D Logic</t>
        </is>
      </c>
      <c r="D73" s="2" t="inlineStr">
        <is>
          <t>Workbooks identify award, survey, lift/COG, vessels, shutdowns, productivity, DCI/MCI and CPM as open. Target-day gates are proposals.</t>
        </is>
      </c>
      <c r="E73" s="2" t="inlineStr">
        <is>
          <t>Workstream accountable owner</t>
        </is>
      </c>
      <c r="F73" s="2" t="inlineStr">
        <is>
          <t>Connect each gate to an evidence owner, due date, document and acceptance; do not promote planned day360 completion or dashboard labels to proof of readiness.</t>
        </is>
      </c>
      <c r="G73" s="2" t="inlineStr">
        <is>
          <t>Carry-forward action; requires actual evidence</t>
        </is>
      </c>
    </row>
    <row r="74">
      <c r="A74" s="2" t="inlineStr">
        <is>
          <t>P10-11</t>
        </is>
      </c>
      <c r="B74" s="2" t="inlineStr">
        <is>
          <t>Newer tender amendments</t>
        </is>
      </c>
      <c r="C74" s="2" t="inlineStr">
        <is>
          <t>P9 impact report; C8 DCI/MCI previously reviewed</t>
        </is>
      </c>
      <c r="D74" s="2" t="inlineStr">
        <is>
          <t>This upload does not itself demonstrate integration of revised security, steel-origin, vendor12.3, review-working-day, welding/coating and PPE requirements.</t>
        </is>
      </c>
      <c r="E74" s="2" t="inlineStr">
        <is>
          <t>Workstream accountable owner</t>
        </is>
      </c>
      <c r="F74" s="2" t="inlineStr">
        <is>
          <t>Cross-reference P9 findings into procurement, engineering review, QA, financing and schedule predecessors before the next consolidated baseline issue.</t>
        </is>
      </c>
      <c r="G74" s="2" t="inlineStr">
        <is>
          <t>Carry-forward action; requires actual evidence</t>
        </is>
      </c>
    </row>
    <row r="75">
      <c r="A75" s="2" t="inlineStr">
        <is>
          <t>P10-12</t>
        </is>
      </c>
      <c r="B75" s="2" t="inlineStr">
        <is>
          <t>Unreviewed large PDF</t>
        </is>
      </c>
      <c r="C75" s="2" t="inlineStr">
        <is>
          <t>SHIVANSH ONGC Offshore Bridges - PRELIMINARY.pdf</t>
        </is>
      </c>
      <c r="D75" s="2" t="inlineStr">
        <is>
          <t>Transfer failed: file exceeds the executor32MiB limit. Its content was not opened or reviewed. The similarly named Excel was opened but equivalence cannot be assumed.</t>
        </is>
      </c>
      <c r="E75" s="2" t="inlineStr">
        <is>
          <t>Workstream accountable owner</t>
        </is>
      </c>
      <c r="F75" s="2" t="inlineStr">
        <is>
          <t>Keep PDF explicitly pending. The other14 successfully transferred files have been inventoried without requiring this PDF.</t>
        </is>
      </c>
      <c r="G75" s="2" t="inlineStr">
        <is>
          <t>Carry-forward action; requires actual evidence</t>
        </is>
      </c>
    </row>
    <row r="76">
      <c r="A76" s="2" t="inlineStr">
        <is>
          <t>P11-01</t>
        </is>
      </c>
      <c r="B76" s="2" t="inlineStr">
        <is>
          <t>Tender date sequence</t>
        </is>
      </c>
      <c r="C76" s="2" t="inlineStr">
        <is>
          <t>TBOextension050526.pdf p1;250526 p1;090626 p1</t>
        </is>
      </c>
      <c r="D76" s="2" t="inlineStr">
        <is>
          <t>Submission:6 May→26 May→9 June→23 June2026,15:00IST. Unpriced opening:7 May→27 May→10 June→24 June2026,15:30IST. These notices share Tender ID2026_ONGC_273234_1.</t>
        </is>
      </c>
      <c r="E76" s="2" t="inlineStr">
        <is>
          <t>Workstream accountable owner</t>
        </is>
      </c>
      <c r="F76" s="2" t="inlineStr">
        <is>
          <t>Use23/24June as the latest dates evidenced by these supplied notices only. Actual opening, subsequent extensions and award are not independently confirmed.</t>
        </is>
      </c>
      <c r="G76" s="2" t="inlineStr">
        <is>
          <t>Carry-forward action; requires actual evidence</t>
        </is>
      </c>
    </row>
    <row r="77">
      <c r="A77" s="2" t="inlineStr">
        <is>
          <t>P11-02</t>
        </is>
      </c>
      <c r="B77" s="2" t="inlineStr">
        <is>
          <t>SCC revision remains unresolved</t>
        </is>
      </c>
      <c r="C77" s="2" t="inlineStr">
        <is>
          <t>Four Technical_SCC PDFs; SHA inventory</t>
        </is>
      </c>
      <c r="D77" s="2" t="inlineStr">
        <is>
          <t>All four SCC uploads are byte-identical and match the earlier15-page SCC. No newly distinguishable revised SCC is established by this batch.</t>
        </is>
      </c>
      <c r="E77" s="2" t="inlineStr">
        <is>
          <t>Workstream accountable owner</t>
        </is>
      </c>
      <c r="F77" s="2" t="inlineStr">
        <is>
          <t>Keep the revised-SCC issue open; reconcile the controlled issue/transmittal against the23April addendum announcement. Do not infer revision from filename suffix.</t>
        </is>
      </c>
      <c r="G77" s="2" t="inlineStr">
        <is>
          <t>Carry-forward action; requires actual evidence</t>
        </is>
      </c>
    </row>
    <row r="78">
      <c r="A78" s="2" t="inlineStr">
        <is>
          <t>P11-03</t>
        </is>
      </c>
      <c r="B78" s="2" t="inlineStr">
        <is>
          <t>A-3 revision remains unresolved</t>
        </is>
      </c>
      <c r="C78" s="2" t="inlineStr">
        <is>
          <t>A-3 PRICE SCHEDULE sheet; SHA inventory</t>
        </is>
      </c>
      <c r="D78" s="2" t="inlineStr">
        <is>
          <t>A-3 is byte-identical to the earlier supplied workbook. It is not proof of the announced revised A-3 version.</t>
        </is>
      </c>
      <c r="E78" s="2" t="inlineStr">
        <is>
          <t>Workstream accountable owner</t>
        </is>
      </c>
      <c r="F78" s="2" t="inlineStr">
        <is>
          <t>Maintain base workbook plus amendment overlays, including AddendumtoA3. Require positive version/issue mapping before final pricing and cash-flow approval.</t>
        </is>
      </c>
      <c r="G78" s="2" t="inlineStr">
        <is>
          <t>Carry-forward action; requires actual evidence</t>
        </is>
      </c>
    </row>
    <row r="79">
      <c r="A79" s="2" t="inlineStr">
        <is>
          <t>P11-04</t>
        </is>
      </c>
      <c r="B79" s="2" t="inlineStr">
        <is>
          <t>A-10 obsolete lines require overlay</t>
        </is>
      </c>
      <c r="C79" s="2" t="inlineStr">
        <is>
          <t>A-10 Milestone Payment Formula rows30-35,53-54; previous general Addendum</t>
        </is>
      </c>
      <c r="D79" s="2" t="inlineStr">
        <is>
          <t>Uploaded A-10 still contains3% Mob and3% Demob lines. Previous general amendment deletes items12/13 and changes the repair-material-arrival milestone20%→25%.</t>
        </is>
      </c>
      <c r="E79" s="2" t="inlineStr">
        <is>
          <t>Workstream accountable owner</t>
        </is>
      </c>
      <c r="F79" s="2" t="inlineStr">
        <is>
          <t>Do not count those deleted separate payments in forecast receipts. Reconcile the entire amended milestone allocation and governing price base; do not assume rental/marine schedule lines are also deleted.</t>
        </is>
      </c>
      <c r="G79" s="2" t="inlineStr">
        <is>
          <t>Carry-forward action; requires actual evidence</t>
        </is>
      </c>
    </row>
    <row r="80">
      <c r="A80" s="2" t="inlineStr">
        <is>
          <t>P11-05</t>
        </is>
      </c>
      <c r="B80" s="2" t="inlineStr">
        <is>
          <t>Completion and marine criteria</t>
        </is>
      </c>
      <c r="C80" s="2" t="inlineStr">
        <is>
          <t>SCC p2 clauses2,3</t>
        </is>
      </c>
      <c r="D80" s="2" t="inlineStr">
        <is>
          <t>12months from NOA. Monsoon16May–15October inclusive: conditional time relief for inability to work due to adverse weather, without extra mob/demob cost. Minimum60 special-personnel accommodation; minimum5tonne crane is for transfers, not proof of bridge lifting capability.</t>
        </is>
      </c>
      <c r="E80" s="2" t="inlineStr">
        <is>
          <t>Workstream accountable owner</t>
        </is>
      </c>
      <c r="F80" s="2" t="inlineStr">
        <is>
          <t>Use actual award, approved weather records and extension decisions. Engineer lift capacity at working radius using verified module/rigging weight, COG and marine conditions.</t>
        </is>
      </c>
      <c r="G80" s="2" t="inlineStr">
        <is>
          <t>Carry-forward action; requires actual evidence</t>
        </is>
      </c>
    </row>
    <row r="81">
      <c r="A81" s="2" t="inlineStr">
        <is>
          <t>P11-06</t>
        </is>
      </c>
      <c r="B81" s="2" t="inlineStr">
        <is>
          <t>Marine compliance timing</t>
        </is>
      </c>
      <c r="C81" s="2" t="inlineStr">
        <is>
          <t>SCC p3 clauses5.1–5.5</t>
        </is>
      </c>
      <c r="D81" s="2" t="inlineStr">
        <is>
          <t>Company predeployment and periodic audits apply. DGS phased lifeboat compliance in this source lists70% through15May2027 and100% beyond, with prior ONGC approval of phased compliance and additional provisions.</t>
        </is>
      </c>
      <c r="E81" s="2" t="inlineStr">
        <is>
          <t>Workstream accountable owner</t>
        </is>
      </c>
      <c r="F81" s="2" t="inlineStr">
        <is>
          <t>Check applicable current statutory requirements and company approvals at mobilisation; do not treat historical table as unconditional permission for a noncompliant vessel.</t>
        </is>
      </c>
      <c r="G81" s="2" t="inlineStr">
        <is>
          <t>Carry-forward action; requires actual evidence</t>
        </is>
      </c>
    </row>
    <row r="82">
      <c r="A82" s="2" t="inlineStr">
        <is>
          <t>P11-07</t>
        </is>
      </c>
      <c r="B82" s="2" t="inlineStr">
        <is>
          <t>Painting and PPE acceptance</t>
        </is>
      </c>
      <c r="C82" s="2" t="inlineStr">
        <is>
          <t>SCC p3 clause6; p9 clause8.5.3</t>
        </is>
      </c>
      <c r="D82" s="2" t="inlineStr">
        <is>
          <t>Paint applicator/manufacturer MOU and continuous manufacturer representative during platform maintenance painting are specified. PPE issue evidence is a work-start gate; non-use can cause stoppage and penalties as stated.</t>
        </is>
      </c>
      <c r="E82" s="2" t="inlineStr">
        <is>
          <t>Workstream accountable owner</t>
        </is>
      </c>
      <c r="F82" s="2" t="inlineStr">
        <is>
          <t>Include manufacturer attendance, joint-guarantee documentation, PPE issue/verification and replacement records in readiness and cost plans; reconcile P9 PPE list.</t>
        </is>
      </c>
      <c r="G82" s="2" t="inlineStr">
        <is>
          <t>Carry-forward action; requires actual evidence</t>
        </is>
      </c>
    </row>
    <row r="83">
      <c r="A83" s="2" t="inlineStr">
        <is>
          <t>P11-08</t>
        </is>
      </c>
      <c r="B83" s="2" t="inlineStr">
        <is>
          <t>Delay records and e-measurement</t>
        </is>
      </c>
      <c r="C83" s="2" t="inlineStr">
        <is>
          <t>SCC p13 clauses11,12</t>
        </is>
      </c>
      <c r="D83" s="2" t="inlineStr">
        <is>
          <t>Quarterly joint delay/progress analysis and monthly critical/near-critical activity logs are required. Daily measurements must enter digital e-MB; billing is linked to e-MB validation and approvals.</t>
        </is>
      </c>
      <c r="E83" s="2" t="inlineStr">
        <is>
          <t>Workstream accountable owner</t>
        </is>
      </c>
      <c r="F83" s="2" t="inlineStr">
        <is>
          <t>Add monthly signed logs, quarterly delay-review deliverables and e-MB/SES billing predecessors. Offline spreadsheets do not replace the required portal record; no portal entries were made.</t>
        </is>
      </c>
      <c r="G83" s="2" t="inlineStr">
        <is>
          <t>Carry-forward action; requires actual evidence</t>
        </is>
      </c>
    </row>
    <row r="84">
      <c r="A84" s="2" t="inlineStr">
        <is>
          <t>P11-09</t>
        </is>
      </c>
      <c r="B84" s="2" t="inlineStr">
        <is>
          <t>LD and scrap disposal</t>
        </is>
      </c>
      <c r="C84" s="2" t="inlineStr">
        <is>
          <t>SCC pp14-15 clauses13,14</t>
        </is>
      </c>
      <c r="D84" s="2" t="inlineStr">
        <is>
          <t>Progressive weekly LD slabs0.1/0.2/0.3/0.4%, capped as stated, include monsoon-rate provisions distinct from clause2 relief. Scrap handling, sea fastening, transport and handover at Nhava/Pipavav are contractor scope.</t>
        </is>
      </c>
      <c r="E84" s="2" t="inlineStr">
        <is>
          <t>Workstream accountable owner</t>
        </is>
      </c>
      <c r="F84" s="2" t="inlineStr">
        <is>
          <t>Model LD only against governing dates, scope bases and approved relief. Include scrap manifests, cargo capacity, port handling and handover evidence; reconcile A-10 named-port condition before claiming payment.</t>
        </is>
      </c>
      <c r="G84" s="2" t="inlineStr">
        <is>
          <t>Carry-forward action; requires actual evidence</t>
        </is>
      </c>
    </row>
    <row r="85">
      <c r="A85" s="2" t="inlineStr">
        <is>
          <t>P11-10</t>
        </is>
      </c>
      <c r="B85" s="2" t="inlineStr">
        <is>
          <t>Technical qualification route</t>
        </is>
      </c>
      <c r="C85" s="2" t="inlineStr">
        <is>
          <t>Technical BEC pp3-8 clauses5.1–5.4; original scanned11pages OCRed</t>
        </is>
      </c>
      <c r="D85" s="2" t="inlineStr">
        <is>
          <t>Steel experience route explicitly states110MT in one project; marine route requires1000GT/GRT and6months/one construction season. Clauses5.3A/B specify consortium requirements unless the bidder also establishes the complementary experience. PM and qualifying main activities must be retained as specified.</t>
        </is>
      </c>
      <c r="E85" s="2" t="inlineStr">
        <is>
          <t>Workstream accountable owner</t>
        </is>
      </c>
      <c r="F85" s="2" t="inlineStr">
        <is>
          <t>Reconcile A-9 legacy350MT wording against these specific BEC clauses and amendments; record discrepancy formally. Qualification needs the full route and evidence, not110MT alone. No Shivansh eligibility determination made.</t>
        </is>
      </c>
      <c r="G85" s="2" t="inlineStr">
        <is>
          <t>Carry-forward action; requires actual evidence</t>
        </is>
      </c>
    </row>
    <row r="86">
      <c r="A86" s="2" t="inlineStr">
        <is>
          <t>P11-11</t>
        </is>
      </c>
      <c r="B86" s="2" t="inlineStr">
        <is>
          <t>Deleted yard criterion versus execution capacity</t>
        </is>
      </c>
      <c r="C86" s="2" t="inlineStr">
        <is>
          <t>Technical BEC p8 clause5.5; previous general Addendum</t>
        </is>
      </c>
      <c r="D86" s="2" t="inlineStr">
        <is>
          <t>The original scanned BEC still contains yard-adequacy clause5.5; earlier general amendment deletes it.</t>
        </is>
      </c>
      <c r="E86" s="2" t="inlineStr">
        <is>
          <t>Workstream accountable owner</t>
        </is>
      </c>
      <c r="F86" s="2" t="inlineStr">
        <is>
          <t>Apply the deletion in bid evaluation. Continue execution-stage yard/resource capacity checks without presenting the deleted criterion as mandatory tender qualification.</t>
        </is>
      </c>
      <c r="G86" s="2" t="inlineStr">
        <is>
          <t>Carry-forward action; requires actual evidence</t>
        </is>
      </c>
    </row>
    <row r="87">
      <c r="A87" s="2" t="inlineStr">
        <is>
          <t>P11-12</t>
        </is>
      </c>
      <c r="B87" s="2" t="inlineStr">
        <is>
          <t>TPI authentication</t>
        </is>
      </c>
      <c r="C87" s="2" t="inlineStr">
        <is>
          <t>Technical BEC pp8,10-11 clause5.6</t>
        </is>
      </c>
      <c r="D87" s="2" t="inlineStr">
        <is>
          <t>Specified technical-BEC documents require empanelled TPI verification, original-authenticity wording and certificate; ONGC-issued experience documents and bidder self-undertakings have specified exclusions. Accreditation must be valid at verification date.</t>
        </is>
      </c>
      <c r="E87" s="2" t="inlineStr">
        <is>
          <t>Workstream accountable owner</t>
        </is>
      </c>
      <c r="F87" s="2" t="inlineStr">
        <is>
          <t>Check actual NABCB TypeA ISO/IEC17020 status and empanelment when appointing. Printed list includes expired dates; listing alone is not proof of current validity. Source is OCR; verify decisive wording against scans.</t>
        </is>
      </c>
      <c r="G87" s="2" t="inlineStr">
        <is>
          <t>Carry-forward action; requires actual evidence</t>
        </is>
      </c>
    </row>
    <row r="88">
      <c r="A88" s="2" t="inlineStr">
        <is>
          <t>P11-13</t>
        </is>
      </c>
      <c r="B88" s="2" t="inlineStr">
        <is>
          <t>Financial qualification</t>
        </is>
      </c>
      <c r="C88" s="2" t="inlineStr">
        <is>
          <t>General BEC DOCX paragraphs99,106 and surrounding financial section</t>
        </is>
      </c>
      <c r="D88" s="2" t="inlineStr">
        <is>
          <t>Base financial section states turnover INR3,65,38,82,460 (365.388246crore) and working capital INR1,09,61,64,738 (109.6164738crore), with net-worth and evidence provisions.</t>
        </is>
      </c>
      <c r="E88" s="2" t="inlineStr">
        <is>
          <t>Workstream accountable owner</t>
        </is>
      </c>
      <c r="F88" s="2" t="inlineStr">
        <is>
          <t>Confirm amended applicability, financial-year rules, support/JV route and auditor certification using the complete financial section. These thresholds are eligibility criteria, not project budget or available funding.</t>
        </is>
      </c>
      <c r="G88" s="2" t="inlineStr">
        <is>
          <t>Carry-forward action; requires actual evidence</t>
        </is>
      </c>
    </row>
    <row r="89">
      <c r="A89" s="2" t="inlineStr">
        <is>
          <t>P11-14</t>
        </is>
      </c>
      <c r="B89" s="2" t="inlineStr">
        <is>
          <t>Response forms and amendments</t>
        </is>
      </c>
      <c r="C89" s="2" t="inlineStr">
        <is>
          <t>BRS workbook; BidderGTE workbook; ITB/GCC; P9 corrigenda</t>
        </is>
      </c>
      <c r="D89" s="2" t="inlineStr">
        <is>
          <t>BRS and BidderGTE contents have no exact prior local hash match in this audit; this does not establish a new issued revision. Base forms must be read with corrigenda on45-day bid security, validity anchor, performance security and steel-origin evidence.</t>
        </is>
      </c>
      <c r="E89" s="2" t="inlineStr">
        <is>
          <t>Workstream accountable owner</t>
        </is>
      </c>
      <c r="F89" s="2" t="inlineStr">
        <is>
          <t>Complete clause-to-form matrix without fabricating confirmations. Cross-check BRS versus A-3 and actual priced/unpriced cover requirements; preserve base documents and amendment precedence.</t>
        </is>
      </c>
      <c r="G89" s="2" t="inlineStr">
        <is>
          <t>Carry-forward action; requires actual evidence</t>
        </is>
      </c>
    </row>
    <row r="90">
      <c r="A90" s="2" t="inlineStr">
        <is>
          <t>P11-15</t>
        </is>
      </c>
      <c r="B90" s="2" t="inlineStr">
        <is>
          <t>Scope and source reuse</t>
        </is>
      </c>
      <c r="C90" s="2" t="inlineStr">
        <is>
          <t>Specification Combined257pages; SOW/Bridge Report506pages; inventory</t>
        </is>
      </c>
      <c r="D90" s="2" t="inlineStr">
        <is>
          <t>These are exact matches to prior local sources. Two SOW filenames are identical. Prior bridge geometry, source MTO discrepancies and design issues are not closed by re-upload.</t>
        </is>
      </c>
      <c r="E90" s="2" t="inlineStr">
        <is>
          <t>Workstream accountable owner</t>
        </is>
      </c>
      <c r="F90" s="2" t="inlineStr">
        <is>
          <t>Reuse prior analyses and retain references. Do not relabel tender GAs AFC or claim member/joint checks completed because the source set is repeated.</t>
        </is>
      </c>
      <c r="G90" s="2" t="inlineStr">
        <is>
          <t>Carry-forward action; requires actual evidence</t>
        </is>
      </c>
    </row>
    <row r="91">
      <c r="A91" s="2" t="inlineStr">
        <is>
          <t>P13-01</t>
        </is>
      </c>
      <c r="B91" s="2" t="inlineStr">
        <is>
          <t>Master-plan status</t>
        </is>
      </c>
      <c r="C91" s="2" t="inlineStr">
        <is>
          <t>Volumes4–6 document status and source-basis paragraphs</t>
        </is>
      </c>
      <c r="D91" s="2" t="inlineStr">
        <is>
          <t>Volumes describe pre-award management planning, not construction release. Repeated copies are not proof of implementation or approval.</t>
        </is>
      </c>
      <c r="E91" s="2" t="inlineStr">
        <is>
          <t>Workstream accountable owner</t>
        </is>
      </c>
      <c r="F91" s="2" t="inlineStr">
        <is>
          <t>Use these as management frameworks; link every bridge-specific deliverable to a controlled drawing/calculation, owner, due date and acceptance record.</t>
        </is>
      </c>
      <c r="G91" s="2" t="inlineStr">
        <is>
          <t>Carry-forward action; requires actual evidence</t>
        </is>
      </c>
    </row>
    <row r="92">
      <c r="A92" s="2" t="inlineStr">
        <is>
          <t>P13-02</t>
        </is>
      </c>
      <c r="B92" s="2" t="inlineStr">
        <is>
          <t>Marine plan</t>
        </is>
      </c>
      <c r="C92" s="2" t="inlineStr">
        <is>
          <t>Volume4 clauses4.1–4.10</t>
        </is>
      </c>
      <c r="D92" s="2" t="inlineStr">
        <is>
          <t>Four proposed campaigns are management groupings, not four proven charters. Vessel selection, engineered module weights/COG, transport/lift/removal checks, permits and go/no-go gates remain evidence requirements.</t>
        </is>
      </c>
      <c r="E92" s="2" t="inlineStr">
        <is>
          <t>Workstream accountable owner</t>
        </is>
      </c>
      <c r="F92" s="2" t="inlineStr">
        <is>
          <t>Close module-by-module geometry/weight/COG and rigging; crane radius/configuration, deck strength/stability, positioning, weather workability, assurance and charter availability. Never treat282MT BHS package quantity as a single lift weight.</t>
        </is>
      </c>
      <c r="G92" s="2" t="inlineStr">
        <is>
          <t>Carry-forward action; requires actual evidence</t>
        </is>
      </c>
    </row>
    <row r="93">
      <c r="A93" s="2" t="inlineStr">
        <is>
          <t>P13-03</t>
        </is>
      </c>
      <c r="B93" s="2" t="inlineStr">
        <is>
          <t>Internal logistics targets</t>
        </is>
      </c>
      <c r="C93" s="2" t="inlineStr">
        <is>
          <t>Volume4 clause4.6</t>
        </is>
      </c>
      <c r="D93" s="2" t="inlineStr">
        <is>
          <t>14-day cargo readiness and72-hour manifest are proposed management controls. They are not established here as ONGC contractual notice periods.</t>
        </is>
      </c>
      <c r="E93" s="2" t="inlineStr">
        <is>
          <t>Workstream accountable owner</t>
        </is>
      </c>
      <c r="F93" s="2" t="inlineStr">
        <is>
          <t>Mark proposed internal targets separately from mandatory contractual notices; coordinate actual shore-base and vessel booking requirements.</t>
        </is>
      </c>
      <c r="G93" s="2" t="inlineStr">
        <is>
          <t>Carry-forward action; requires actual evidence</t>
        </is>
      </c>
    </row>
    <row r="94">
      <c r="A94" s="2" t="inlineStr">
        <is>
          <t>P13-04</t>
        </is>
      </c>
      <c r="B94" s="2" t="inlineStr">
        <is>
          <t>Schedule planning windows</t>
        </is>
      </c>
      <c r="C94" s="2" t="inlineStr">
        <is>
          <t>Volume5 clauses5.1,5.3,5.5,5.10</t>
        </is>
      </c>
      <c r="D94" s="2" t="inlineStr">
        <is>
          <t>Provisional day-number windows and360-day target are expressly unvalidated. Volume5 states feasibility is not demonstrated.</t>
        </is>
      </c>
      <c r="E94" s="2" t="inlineStr">
        <is>
          <t>Workstream accountable owner</t>
        </is>
      </c>
      <c r="F94" s="2" t="inlineStr">
        <is>
          <t>Reconcile12months-from-NOA SCC against the360-day planning target; use actual commencement evidence, review-working-day calendars, monsoon conditions and resource capacity before approving baseline.</t>
        </is>
      </c>
      <c r="G94" s="2" t="inlineStr">
        <is>
          <t>Carry-forward action; requires actual evidence</t>
        </is>
      </c>
    </row>
    <row r="95">
      <c r="A95" s="2" t="inlineStr">
        <is>
          <t>P13-05</t>
        </is>
      </c>
      <c r="B95" s="2" t="inlineStr">
        <is>
          <t>XML structural checks</t>
        </is>
      </c>
      <c r="C95" s="2" t="inlineStr">
        <is>
          <t>ProjectLibre XML Tasks/PredecessorLink; XML_schedule_audit.json</t>
        </is>
      </c>
      <c r="D95" s="2" t="inlineStr">
        <is>
          <t>207 non-summary tasks,124 predecessor links. No duplicate task UIDs, missing referenced predecessor IDs or directed cycles found by structural screening. All links have Type1 (FS in Microsoft Project XML).</t>
        </is>
      </c>
      <c r="E95" s="2" t="inlineStr">
        <is>
          <t>Workstream accountable owner</t>
        </is>
      </c>
      <c r="F95" s="2" t="inlineStr">
        <is>
          <t>These checks establish parseable link structure only. Import compatibility and scheduling-engine calculations were not tested in ProjectLibre/P6.</t>
        </is>
      </c>
      <c r="G95" s="2" t="inlineStr">
        <is>
          <t>Carry-forward action; requires actual evidence</t>
        </is>
      </c>
    </row>
    <row r="96">
      <c r="A96" s="2" t="inlineStr">
        <is>
          <t>P13-06</t>
        </is>
      </c>
      <c r="B96" s="2" t="inlineStr">
        <is>
          <t>Open network ends</t>
        </is>
      </c>
      <c r="C96" s="2" t="inlineStr">
        <is>
          <t>XML link audit</t>
        </is>
      </c>
      <c r="D96" s="2" t="inlineStr">
        <is>
          <t>83 tasks have no predecessor;83 have no successor;17 are isolated. Multiple package starts/finishes can be intentional, but no integrated completion-path proof follows.</t>
        </is>
      </c>
      <c r="E96" s="2" t="inlineStr">
        <is>
          <t>Workstream accountable owner</t>
        </is>
      </c>
      <c r="F96" s="2" t="inlineStr">
        <is>
          <t>Review every open end and connect required engineering, procurement, inspection, fabrication, logistics, marine, installation and turnover gates. Add genuine project start/completion logic; do not add arbitrary links merely to reduce counts.</t>
        </is>
      </c>
      <c r="G96" s="2" t="inlineStr">
        <is>
          <t>Carry-forward action; requires actual evidence</t>
        </is>
      </c>
    </row>
    <row r="97">
      <c r="A97" s="2" t="inlineStr">
        <is>
          <t>P13-07</t>
        </is>
      </c>
      <c r="B97" s="2" t="inlineStr">
        <is>
          <t>XML calendar and duration semantics</t>
        </is>
      </c>
      <c r="C97" s="2" t="inlineStr">
        <is>
          <t>XML StartDate/Calendars/MinutesPerDay; task Notes</t>
        </is>
      </c>
      <c r="D97" s="2" t="inlineStr">
        <is>
          <t>Start is assumed1November2026 at08:00; calendar is Standard5-day Placeholder with8hours/day and no calendar exceptions. Example first survey duration224hours corresponds28workingdays; provisional day windows in Notes are not calculated dates.</t>
        </is>
      </c>
      <c r="E97" s="2" t="inlineStr">
        <is>
          <t>Workstream accountable owner</t>
        </is>
      </c>
      <c r="F97" s="2" t="inlineStr">
        <is>
          <t>Establish calendar meaning for each task. Separate working-day engineering review, yard shifts, marine offshore calendars, weather/season restrictions and approved relief; re-evaluate durations from quantities/productivity.</t>
        </is>
      </c>
      <c r="G97" s="2" t="inlineStr">
        <is>
          <t>Carry-forward action; requires actual evidence</t>
        </is>
      </c>
    </row>
    <row r="98">
      <c r="A98" s="2" t="inlineStr">
        <is>
          <t>P13-08</t>
        </is>
      </c>
      <c r="B98" s="2" t="inlineStr">
        <is>
          <t>Missing resource and CPM evidence</t>
        </is>
      </c>
      <c r="C98" s="2" t="inlineStr">
        <is>
          <t>XML Resources/Assignments and task fields</t>
        </is>
      </c>
      <c r="D98" s="2" t="inlineStr">
        <is>
          <t>No resources or assignments are present. Examined task fields do not establish calculated start/finish, total float or an accepted critical path.</t>
        </is>
      </c>
      <c r="E98" s="2" t="inlineStr">
        <is>
          <t>Workstream accountable owner</t>
        </is>
      </c>
      <c r="F98" s="2" t="inlineStr">
        <is>
          <t>Assign named capacity/units, work shifts, vessels, crews and workfront constraints. Run CPM then resource feasibility and sensitivity checks; retain scheduler settings and calculation logs. No revalidated finish date is claimed by this review.</t>
        </is>
      </c>
      <c r="G98" s="2" t="inlineStr">
        <is>
          <t>Carry-forward action; requires actual evidence</t>
        </is>
      </c>
    </row>
    <row r="99">
      <c r="A99" s="2" t="inlineStr">
        <is>
          <t>P13-09</t>
        </is>
      </c>
      <c r="B99" s="2" t="inlineStr">
        <is>
          <t>Commercial and progress controls</t>
        </is>
      </c>
      <c r="C99" s="2" t="inlineStr">
        <is>
          <t>Volume6 clauses6.1–6.4,6.9</t>
        </is>
      </c>
      <c r="D99" s="2" t="inlineStr">
        <is>
          <t>Cost/commitment/accrual/actual, earned value, certified progress and cash receipts are distinct controls. Generic framework text does not populate project budgets or demonstrate bank funding.</t>
        </is>
      </c>
      <c r="E99" s="2" t="inlineStr">
        <is>
          <t>Workstream accountable owner</t>
        </is>
      </c>
      <c r="F99" s="2" t="inlineStr">
        <is>
          <t>Link approved WBS quantities/rates and cost accounts to activity progress rules, amended A-10 milestones, invoicing/e-MB and full-life cash flow. Apply P9/P11 security, tax and amendment findings.</t>
        </is>
      </c>
      <c r="G99" s="2" t="inlineStr">
        <is>
          <t>Carry-forward action; requires actual evidence</t>
        </is>
      </c>
    </row>
    <row r="100">
      <c r="A100" s="2" t="inlineStr">
        <is>
          <t>P13-10</t>
        </is>
      </c>
      <c r="B100" s="2" t="inlineStr">
        <is>
          <t>Quality, HSE and turnover</t>
        </is>
      </c>
      <c r="C100" s="2" t="inlineStr">
        <is>
          <t>Volume6 clauses6.5–6.10</t>
        </is>
      </c>
      <c r="D100" s="2" t="inlineStr">
        <is>
          <t>QA/HSE/emergency/risk/turnover provisions specify required systems and evidence; tables and narrative do not establish that tests, drills, inspections or handovers occurred.</t>
        </is>
      </c>
      <c r="E100" s="2" t="inlineStr">
        <is>
          <t>Workstream accountable owner</t>
        </is>
      </c>
      <c r="F100" s="2" t="inlineStr">
        <is>
          <t>Issue scoped ITP/WPS/PQR/NDT/coating matrices; competent personnel and equipment records; HIRA/JSA/PTW/SIMOPS and emergency interfaces; bridge-wise completion, service reinstatement, scrap and acceptance dossiers.</t>
        </is>
      </c>
      <c r="G100" s="2" t="inlineStr">
        <is>
          <t>Carry-forward action; requires actual evidence</t>
        </is>
      </c>
    </row>
    <row r="101">
      <c r="A101" s="2" t="inlineStr">
        <is>
          <t>P13-11</t>
        </is>
      </c>
      <c r="B101" s="2" t="inlineStr">
        <is>
          <t>Benchmark claims</t>
        </is>
      </c>
      <c r="C101" s="2" t="inlineStr">
        <is>
          <t>Volumes4–6 external EPC benchmark statement</t>
        </is>
      </c>
      <c r="D101" s="2" t="inlineStr">
        <is>
          <t>References to Saipem and McDermott are general benchmarks. This batch supplies no independent comparative performance evidence or verified internal company manuals.</t>
        </is>
      </c>
      <c r="E101" s="2" t="inlineStr">
        <is>
          <t>Workstream accountable owner</t>
        </is>
      </c>
      <c r="F101" s="2" t="inlineStr">
        <is>
          <t>Describe adopted practices and measurable controls without claiming superiority to either EPC contractor.</t>
        </is>
      </c>
      <c r="G101" s="2" t="inlineStr">
        <is>
          <t>Carry-forward action; requires actual evidence</t>
        </is>
      </c>
    </row>
    <row r="102">
      <c r="A102" s="2" t="inlineStr">
        <is>
          <t>P13-12</t>
        </is>
      </c>
      <c r="B102" s="2" t="inlineStr">
        <is>
          <t>Reconciliation carry-forward</t>
        </is>
      </c>
      <c r="C102" s="2" t="inlineStr">
        <is>
          <t>Volumes4–6 quantity basis; P8–P12 reviews</t>
        </is>
      </c>
      <c r="D102" s="2" t="inlineStr">
        <is>
          <t>Repeated SOW/specification/tender material does not close MTO discrepancies, design questions, revised SCC/A-3 issue identity or engineering approvals.</t>
        </is>
      </c>
      <c r="E102" s="2" t="inlineStr">
        <is>
          <t>Workstream accountable owner</t>
        </is>
      </c>
      <c r="F102" s="2" t="inlineStr">
        <is>
          <t>Maintain open-item history, source precedence and amendment overlays; do not mark rows closed because a file was re-uploaded.</t>
        </is>
      </c>
      <c r="G102" s="2" t="inlineStr">
        <is>
          <t>Carry-forward action; requires actual evidence</t>
        </is>
      </c>
    </row>
    <row r="103">
      <c r="A103" s="2" t="inlineStr">
        <is>
          <t>P13-13</t>
        </is>
      </c>
      <c r="B103" s="2" t="inlineStr">
        <is>
          <t>Unclassified file</t>
        </is>
      </c>
      <c r="C103" s="2" t="inlineStr">
        <is>
          <t>ticket.pdf; unique-content extract</t>
        </is>
      </c>
      <c r="D103" s="2" t="inlineStr">
        <is>
          <t>Classify separately based on actual content. A personal/travel document does not change project technical or commercial scope merely because uploaded with tender documents.</t>
        </is>
      </c>
      <c r="E103" s="2" t="inlineStr">
        <is>
          <t>Workstream accountable owner</t>
        </is>
      </c>
      <c r="F103" s="2" t="inlineStr">
        <is>
          <t>Exclude unrelated personal information from shared project deliverables; do not treat a ticket as project award, approval or mobilisation evidence without a relevant explicit reference.</t>
        </is>
      </c>
      <c r="G103" s="2" t="inlineStr">
        <is>
          <t>Carry-forward action; requires actual evidence</t>
        </is>
      </c>
    </row>
  </sheetData>
  <autoFilter ref="A1:G1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
  <sheetViews>
    <sheetView zoomScale="80"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 width="27" customWidth="1" min="11" max="11"/>
    <col width="27" customWidth="1" min="12" max="12"/>
  </cols>
  <sheetData>
    <row r="1">
      <c r="A1" s="1" t="inlineStr">
        <is>
          <t>Bridge</t>
        </is>
      </c>
      <c r="B1" s="1" t="inlineStr">
        <is>
          <t>Work type</t>
        </is>
      </c>
      <c r="C1" s="1" t="inlineStr">
        <is>
          <t>New bridge MT</t>
        </is>
      </c>
      <c r="D1" s="1" t="inlineStr">
        <is>
          <t>Bridge strengthen MT</t>
        </is>
      </c>
      <c r="E1" s="1" t="inlineStr">
        <is>
          <t>New landing MT</t>
        </is>
      </c>
      <c r="F1" s="1" t="inlineStr">
        <is>
          <t>Landing strengthen MT</t>
        </is>
      </c>
      <c r="G1" s="1" t="inlineStr">
        <is>
          <t>Demolition MT</t>
        </is>
      </c>
      <c r="H1" s="1" t="inlineStr">
        <is>
          <t>Handrail m</t>
        </is>
      </c>
      <c r="I1" s="1" t="inlineStr">
        <is>
          <t>Grating m2</t>
        </is>
      </c>
      <c r="J1" s="1" t="inlineStr">
        <is>
          <t>GI sheet m2</t>
        </is>
      </c>
      <c r="K1" s="1" t="inlineStr">
        <is>
          <t>Construction MT</t>
        </is>
      </c>
      <c r="L1" s="1" t="inlineStr">
        <is>
          <t>Status</t>
        </is>
      </c>
    </row>
    <row r="2">
      <c r="A2" s="2" t="inlineStr">
        <is>
          <t>ICW-ICG UD</t>
        </is>
      </c>
      <c r="B2" s="2" t="inlineStr">
        <is>
          <t>Strengthening</t>
        </is>
      </c>
      <c r="C2" s="2" t="n">
        <v>0</v>
      </c>
      <c r="D2" s="2" t="n">
        <v>19</v>
      </c>
      <c r="E2" s="2" t="n">
        <v>0</v>
      </c>
      <c r="F2" s="2" t="n">
        <v>30</v>
      </c>
      <c r="G2" s="2" t="n">
        <v>25</v>
      </c>
      <c r="H2" s="2" t="n">
        <v>110</v>
      </c>
      <c r="I2" s="2" t="n">
        <v>58</v>
      </c>
      <c r="J2" s="2" t="n">
        <v>273</v>
      </c>
      <c r="K2" s="2" t="n">
        <v>49</v>
      </c>
      <c r="L2" s="2" t="inlineStr">
        <is>
          <t>SOURCE TRANSCRIPTION; NOT PROCUREMENT BOM</t>
        </is>
      </c>
    </row>
    <row r="3">
      <c r="A3" s="2" t="inlineStr">
        <is>
          <t>ICW-ICG LD</t>
        </is>
      </c>
      <c r="B3" s="2" t="inlineStr">
        <is>
          <t>New/replacement</t>
        </is>
      </c>
      <c r="C3" s="2" t="n">
        <v>57</v>
      </c>
      <c r="D3" s="2" t="n">
        <v>0</v>
      </c>
      <c r="E3" s="2" t="n">
        <v>65</v>
      </c>
      <c r="F3" s="2" t="n">
        <v>0</v>
      </c>
      <c r="G3" s="2" t="n">
        <v>1</v>
      </c>
      <c r="H3" s="2" t="n">
        <v>118</v>
      </c>
      <c r="I3" s="2" t="n">
        <v>88</v>
      </c>
      <c r="J3" s="2" t="n">
        <v>0</v>
      </c>
      <c r="K3" s="2" t="n">
        <v>122</v>
      </c>
      <c r="L3" s="2" t="inlineStr">
        <is>
          <t>SOURCE TRANSCRIPTION; NOT PROCUREMENT BOM</t>
        </is>
      </c>
    </row>
    <row r="4">
      <c r="A4" s="2" t="inlineStr">
        <is>
          <t>ICG-ICP UD</t>
        </is>
      </c>
      <c r="B4" s="2" t="inlineStr">
        <is>
          <t>Strengthening</t>
        </is>
      </c>
      <c r="C4" s="2" t="n">
        <v>0</v>
      </c>
      <c r="D4" s="2" t="n">
        <v>86</v>
      </c>
      <c r="E4" s="2" t="n">
        <v>0</v>
      </c>
      <c r="F4" s="2" t="n">
        <v>30</v>
      </c>
      <c r="G4" s="2" t="n">
        <v>25</v>
      </c>
      <c r="H4" s="2" t="n">
        <v>93</v>
      </c>
      <c r="I4" s="2" t="n">
        <v>49</v>
      </c>
      <c r="J4" s="2" t="n">
        <v>419</v>
      </c>
      <c r="K4" s="2" t="n">
        <v>116</v>
      </c>
      <c r="L4" s="2" t="inlineStr">
        <is>
          <t>SOURCE TRANSCRIPTION; NOT PROCUREMENT BOM</t>
        </is>
      </c>
    </row>
    <row r="5">
      <c r="A5" s="2" t="inlineStr">
        <is>
          <t>ICG-ICP LD</t>
        </is>
      </c>
      <c r="B5" s="2" t="inlineStr">
        <is>
          <t>New/replacement</t>
        </is>
      </c>
      <c r="C5" s="2" t="n">
        <v>115</v>
      </c>
      <c r="D5" s="2" t="n">
        <v>0</v>
      </c>
      <c r="E5" s="2" t="n">
        <v>45</v>
      </c>
      <c r="F5" s="2" t="n">
        <v>0</v>
      </c>
      <c r="G5" s="2" t="n">
        <v>1</v>
      </c>
      <c r="H5" s="2" t="n">
        <v>176</v>
      </c>
      <c r="I5" s="2" t="n">
        <v>132</v>
      </c>
      <c r="J5" s="2" t="n">
        <v>0</v>
      </c>
      <c r="K5" s="2" t="n">
        <v>160</v>
      </c>
      <c r="L5" s="2" t="inlineStr">
        <is>
          <t>SOURCE TRANSCRIPTION; NOT PROCUREMENT BOM</t>
        </is>
      </c>
    </row>
    <row r="6">
      <c r="A6" s="2" t="inlineStr">
        <is>
          <t>BHS-SLQ</t>
        </is>
      </c>
      <c r="B6" s="2" t="inlineStr">
        <is>
          <t>Replacement/services</t>
        </is>
      </c>
      <c r="C6" s="2" t="n">
        <v>195</v>
      </c>
      <c r="D6" s="2" t="n">
        <v>0</v>
      </c>
      <c r="E6" s="2" t="n">
        <v>87</v>
      </c>
      <c r="F6" s="2" t="n">
        <v>0</v>
      </c>
      <c r="G6" s="2" t="n">
        <v>210</v>
      </c>
      <c r="H6" s="2" t="n">
        <v>88</v>
      </c>
      <c r="I6" s="2" t="n">
        <v>82</v>
      </c>
      <c r="J6" s="2" t="n">
        <v>332</v>
      </c>
      <c r="K6" s="2" t="n">
        <v>282</v>
      </c>
      <c r="L6" s="2" t="inlineStr">
        <is>
          <t>SOURCE TRANSCRIPTION; NOT PROCUREMENT BOM</t>
        </is>
      </c>
    </row>
    <row r="7">
      <c r="A7" s="2" t="inlineStr">
        <is>
          <t>SLQ-WIS</t>
        </is>
      </c>
      <c r="B7" s="2" t="inlineStr">
        <is>
          <t>Strengthening</t>
        </is>
      </c>
      <c r="C7" s="2" t="n">
        <v>0</v>
      </c>
      <c r="D7" s="2" t="n">
        <v>61</v>
      </c>
      <c r="E7" s="2" t="n">
        <v>0</v>
      </c>
      <c r="F7" s="2" t="n">
        <v>30</v>
      </c>
      <c r="G7" s="2" t="n">
        <v>15</v>
      </c>
      <c r="H7" s="2" t="n">
        <v>98</v>
      </c>
      <c r="I7" s="2" t="n">
        <v>51</v>
      </c>
      <c r="J7" s="2" t="n">
        <v>0</v>
      </c>
      <c r="K7" s="2" t="n">
        <v>91</v>
      </c>
      <c r="L7" s="2" t="inlineStr">
        <is>
          <t>SOURCE TRANSCRIPTION; NOT PROCUREMENT BOM</t>
        </is>
      </c>
    </row>
    <row r="8">
      <c r="A8" s="2" t="inlineStr">
        <is>
          <t>NQO-NQD</t>
        </is>
      </c>
      <c r="B8" s="2" t="inlineStr">
        <is>
          <t>Strengthening</t>
        </is>
      </c>
      <c r="C8" s="2" t="n">
        <v>0</v>
      </c>
      <c r="D8" s="2" t="n">
        <v>63</v>
      </c>
      <c r="E8" s="2" t="n">
        <v>0</v>
      </c>
      <c r="F8" s="2" t="n">
        <v>30</v>
      </c>
      <c r="G8" s="2" t="n">
        <v>25</v>
      </c>
      <c r="H8" s="2" t="n">
        <v>93</v>
      </c>
      <c r="I8" s="2" t="n">
        <v>58</v>
      </c>
      <c r="J8" s="2" t="n">
        <v>250</v>
      </c>
      <c r="K8" s="2" t="n">
        <v>93</v>
      </c>
      <c r="L8" s="2" t="inlineStr">
        <is>
          <t>SOURCE TRANSCRIPTION; NOT PROCUREMENT BOM</t>
        </is>
      </c>
    </row>
    <row r="9">
      <c r="A9" s="2" t="inlineStr">
        <is>
          <t>WIN-NC</t>
        </is>
      </c>
      <c r="B9" s="2" t="inlineStr">
        <is>
          <t>Strengthening</t>
        </is>
      </c>
      <c r="C9" s="2" t="n">
        <v>0</v>
      </c>
      <c r="D9" s="2" t="n">
        <v>6</v>
      </c>
      <c r="E9" s="2" t="n">
        <v>0</v>
      </c>
      <c r="F9" s="2" t="n">
        <v>40</v>
      </c>
      <c r="G9" s="2" t="n">
        <v>10</v>
      </c>
      <c r="H9" s="2" t="n">
        <v>45</v>
      </c>
      <c r="I9" s="2" t="n">
        <v>29</v>
      </c>
      <c r="J9" s="2" t="n">
        <v>0</v>
      </c>
      <c r="K9" s="2" t="n">
        <v>46</v>
      </c>
      <c r="L9" s="2" t="inlineStr">
        <is>
          <t>SOURCE TRANSCRIPTION; NOT PROCUREMENT BOM</t>
        </is>
      </c>
    </row>
    <row r="10">
      <c r="A10" s="2" t="inlineStr">
        <is>
          <t>SCA-SC1</t>
        </is>
      </c>
      <c r="B10" s="2" t="inlineStr">
        <is>
          <t>Strengthening</t>
        </is>
      </c>
      <c r="C10" s="2" t="n">
        <v>0</v>
      </c>
      <c r="D10" s="2" t="n">
        <v>35</v>
      </c>
      <c r="E10" s="2" t="n">
        <v>0</v>
      </c>
      <c r="F10" s="2" t="n">
        <v>28</v>
      </c>
      <c r="G10" s="2" t="n">
        <v>15</v>
      </c>
      <c r="H10" s="2" t="n">
        <v>88</v>
      </c>
      <c r="I10" s="2" t="n">
        <v>55</v>
      </c>
      <c r="J10" s="2" t="n">
        <v>0</v>
      </c>
      <c r="K10" s="2" t="n">
        <v>63</v>
      </c>
      <c r="L10" s="2" t="inlineStr">
        <is>
          <t>SOURCE TRANSCRIPTION; NOT PROCUREMENT BOM</t>
        </is>
      </c>
    </row>
    <row r="11">
      <c r="A11" s="2" t="inlineStr">
        <is>
          <t>SCA-SCF</t>
        </is>
      </c>
      <c r="B11" s="2" t="inlineStr">
        <is>
          <t>Strengthening</t>
        </is>
      </c>
      <c r="C11" s="2" t="n">
        <v>0</v>
      </c>
      <c r="D11" s="2" t="n">
        <v>91</v>
      </c>
      <c r="E11" s="2" t="n">
        <v>0</v>
      </c>
      <c r="F11" s="2" t="n">
        <v>28</v>
      </c>
      <c r="G11" s="2" t="n">
        <v>30</v>
      </c>
      <c r="H11" s="2" t="n">
        <v>257</v>
      </c>
      <c r="I11" s="2" t="n">
        <v>116</v>
      </c>
      <c r="J11" s="2" t="n">
        <v>0</v>
      </c>
      <c r="K11" s="2" t="n">
        <v>119</v>
      </c>
      <c r="L11" s="2" t="inlineStr">
        <is>
          <t>SOURCE TRANSCRIPTION; NOT PROCUREMENT BOM</t>
        </is>
      </c>
    </row>
  </sheetData>
  <autoFilter ref="A1:L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s>
  <sheetData>
    <row r="1">
      <c r="A1" s="1" t="inlineStr">
        <is>
          <t>Item</t>
        </is>
      </c>
      <c r="B1" s="1" t="inlineStr">
        <is>
          <t>Printed total</t>
        </is>
      </c>
      <c r="C1" s="1" t="inlineStr">
        <is>
          <t>Sum source rows</t>
        </is>
      </c>
      <c r="D1" s="1" t="inlineStr">
        <is>
          <t>Difference</t>
        </is>
      </c>
      <c r="E1" s="1" t="inlineStr">
        <is>
          <t>Action</t>
        </is>
      </c>
    </row>
    <row r="2">
      <c r="A2" s="2" t="inlineStr">
        <is>
          <t>New bridge MT</t>
        </is>
      </c>
      <c r="B2" s="2" t="n">
        <v>367</v>
      </c>
      <c r="C2" s="2" t="n">
        <v>367</v>
      </c>
      <c r="D2" s="2" t="n">
        <v>0</v>
      </c>
      <c r="E2" s="2" t="inlineStr">
        <is>
          <t>Verify released design</t>
        </is>
      </c>
    </row>
    <row r="3">
      <c r="A3" s="2" t="inlineStr">
        <is>
          <t>Bridge strengthen MT</t>
        </is>
      </c>
      <c r="B3" s="2" t="n">
        <v>361</v>
      </c>
      <c r="C3" s="2" t="n">
        <v>361</v>
      </c>
      <c r="D3" s="2" t="n">
        <v>0</v>
      </c>
      <c r="E3" s="2" t="inlineStr">
        <is>
          <t>Verify released design</t>
        </is>
      </c>
    </row>
    <row r="4">
      <c r="A4" s="2" t="inlineStr">
        <is>
          <t>New landing MT</t>
        </is>
      </c>
      <c r="B4" s="2" t="n">
        <v>197</v>
      </c>
      <c r="C4" s="2" t="n">
        <v>197</v>
      </c>
      <c r="D4" s="2" t="n">
        <v>0</v>
      </c>
      <c r="E4" s="2" t="inlineStr">
        <is>
          <t>Verify released design</t>
        </is>
      </c>
    </row>
    <row r="5">
      <c r="A5" s="2" t="inlineStr">
        <is>
          <t>Landing strengthen MT</t>
        </is>
      </c>
      <c r="B5" s="2" t="n">
        <v>217</v>
      </c>
      <c r="C5" s="2" t="n">
        <v>216</v>
      </c>
      <c r="D5" s="2" t="n">
        <v>1</v>
      </c>
      <c r="E5" s="2" t="inlineStr">
        <is>
          <t>Resolve source discrepancy</t>
        </is>
      </c>
    </row>
    <row r="6">
      <c r="A6" s="2" t="inlineStr">
        <is>
          <t>Structural MT</t>
        </is>
      </c>
      <c r="B6" s="2" t="n">
        <v>1142</v>
      </c>
      <c r="C6" s="2" t="n">
        <v>1141</v>
      </c>
      <c r="D6" s="2" t="n">
        <v>1</v>
      </c>
      <c r="E6" s="2" t="inlineStr">
        <is>
          <t>Resolve before purchase baseline</t>
        </is>
      </c>
    </row>
    <row r="7">
      <c r="A7" s="2" t="inlineStr">
        <is>
          <t>Demolition MT</t>
        </is>
      </c>
      <c r="B7" s="2" t="n">
        <v>357</v>
      </c>
      <c r="C7" s="2" t="n">
        <v>357</v>
      </c>
      <c r="D7" s="2" t="n">
        <v>0</v>
      </c>
      <c r="E7" s="2" t="inlineStr">
        <is>
          <t>Verify removal allocations</t>
        </is>
      </c>
    </row>
    <row r="8">
      <c r="A8" s="2" t="inlineStr">
        <is>
          <t>Handrail m</t>
        </is>
      </c>
      <c r="B8" s="2" t="n">
        <v>1168</v>
      </c>
      <c r="C8" s="2" t="n">
        <v>1166</v>
      </c>
      <c r="D8" s="2" t="n">
        <v>2</v>
      </c>
      <c r="E8" s="2" t="inlineStr">
        <is>
          <t>Resolve source discrepancy</t>
        </is>
      </c>
    </row>
    <row r="9">
      <c r="A9" s="2" t="inlineStr">
        <is>
          <t>Grating m2</t>
        </is>
      </c>
      <c r="B9" s="2" t="n">
        <v>719</v>
      </c>
      <c r="C9" s="2" t="n">
        <v>718</v>
      </c>
      <c r="D9" s="2" t="n">
        <v>1</v>
      </c>
      <c r="E9" s="2" t="inlineStr">
        <is>
          <t>Resolve source discrepancy</t>
        </is>
      </c>
    </row>
    <row r="10">
      <c r="A10" s="2" t="inlineStr">
        <is>
          <t>GI sheeting m2</t>
        </is>
      </c>
      <c r="B10" s="2" t="n">
        <v>1274</v>
      </c>
      <c r="C10" s="2" t="n">
        <v>1274</v>
      </c>
      <c r="D10" s="2" t="n">
        <v>0</v>
      </c>
      <c r="E10" s="2" t="inlineStr">
        <is>
          <t>Verify design areas</t>
        </is>
      </c>
    </row>
  </sheetData>
  <autoFilter ref="A1:E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s>
  <sheetData>
    <row r="1">
      <c r="A1" s="1" t="inlineStr">
        <is>
          <t>Parameter</t>
        </is>
      </c>
      <c r="B1" s="1" t="inlineStr">
        <is>
          <t>Source criterion / query</t>
        </is>
      </c>
      <c r="C1" s="1" t="inlineStr">
        <is>
          <t>Reference</t>
        </is>
      </c>
      <c r="D1" s="1" t="inlineStr">
        <is>
          <t>Required resolution</t>
        </is>
      </c>
    </row>
    <row r="2">
      <c r="A2" s="2" t="inlineStr">
        <is>
          <t>Design life</t>
        </is>
      </c>
      <c r="B2" s="2" t="inlineStr">
        <is>
          <t>New bridges25years</t>
        </is>
      </c>
      <c r="C2" s="2" t="inlineStr">
        <is>
          <t>CriteriaPartII p119</t>
        </is>
      </c>
      <c r="D2" s="2" t="inlineStr">
        <is>
          <t>Confirm remaining/new component applicability</t>
        </is>
      </c>
    </row>
    <row r="3">
      <c r="A3" s="2" t="inlineStr">
        <is>
          <t>Elastic modulus</t>
        </is>
      </c>
      <c r="B3" s="2" t="inlineStr">
        <is>
          <t>210000MPa</t>
        </is>
      </c>
      <c r="C3" s="2" t="inlineStr">
        <is>
          <t>Criteria p66</t>
        </is>
      </c>
      <c r="D3" s="2" t="inlineStr">
        <is>
          <t>Use approved material model</t>
        </is>
      </c>
    </row>
    <row r="4">
      <c r="A4" s="2" t="inlineStr">
        <is>
          <t>Density</t>
        </is>
      </c>
      <c r="B4" s="2" t="inlineStr">
        <is>
          <t>7850kg/m3</t>
        </is>
      </c>
      <c r="C4" s="2" t="inlineStr">
        <is>
          <t>Criteria p66</t>
        </is>
      </c>
      <c r="D4" s="2" t="inlineStr">
        <is>
          <t>Coatings/attachments/rigging separate</t>
        </is>
      </c>
    </row>
    <row r="5">
      <c r="A5" s="2" t="inlineStr">
        <is>
          <t>Global walkway live load</t>
        </is>
      </c>
      <c r="B5" s="2" t="inlineStr">
        <is>
          <t>250kg/m2</t>
        </is>
      </c>
      <c r="C5" s="2" t="inlineStr">
        <is>
          <t>Criteria pp42–43</t>
        </is>
      </c>
      <c r="D5" s="2" t="inlineStr">
        <is>
          <t>Do not replace local grating criteria</t>
        </is>
      </c>
    </row>
    <row r="6">
      <c r="A6" s="2" t="inlineStr">
        <is>
          <t>Local grating load</t>
        </is>
      </c>
      <c r="B6" s="2" t="inlineStr">
        <is>
          <t>500kg/m2</t>
        </is>
      </c>
      <c r="C6" s="2" t="inlineStr">
        <is>
          <t>Criteria p70</t>
        </is>
      </c>
      <c r="D6" s="2" t="inlineStr">
        <is>
          <t>Apply local design/approved combinations</t>
        </is>
      </c>
    </row>
    <row r="7">
      <c r="A7" s="2" t="inlineStr">
        <is>
          <t>Clear walkway</t>
        </is>
      </c>
      <c r="B7" s="2" t="inlineStr">
        <is>
          <t>At least1.2m plus services allowance</t>
        </is>
      </c>
      <c r="C7" s="2" t="inlineStr">
        <is>
          <t>Criteria pp42–43</t>
        </is>
      </c>
      <c r="D7" s="2" t="inlineStr">
        <is>
          <t>Verify actual service envelope</t>
        </is>
      </c>
    </row>
    <row r="8">
      <c r="A8" s="2" t="inlineStr">
        <is>
          <t>Piping load allowance</t>
        </is>
      </c>
      <c r="B8" s="2" t="inlineStr">
        <is>
          <t>Operating/planned future plus20% as stated</t>
        </is>
      </c>
      <c r="C8" s="2" t="inlineStr">
        <is>
          <t>Criteria pp42–43</t>
        </is>
      </c>
      <c r="D8" s="2" t="inlineStr">
        <is>
          <t>Resolve double-counting of future services</t>
        </is>
      </c>
    </row>
    <row r="9">
      <c r="A9" s="2" t="inlineStr">
        <is>
          <t>Bearing system</t>
        </is>
      </c>
      <c r="B9" s="2" t="inlineStr">
        <is>
          <t>Pinned/hinged and sliding/PTFE-equivalent with guides</t>
        </is>
      </c>
      <c r="C9" s="2" t="inlineStr">
        <is>
          <t>Criteria pp42–43</t>
        </is>
      </c>
      <c r="D9" s="2" t="inlineStr">
        <is>
          <t>Resolve BHS fixed/sliding source conflict</t>
        </is>
      </c>
    </row>
    <row r="10">
      <c r="A10" s="2" t="inlineStr">
        <is>
          <t>Movement/thrust</t>
        </is>
      </c>
      <c r="B10" s="2" t="inlineStr">
        <is>
          <t>150% specified platform translations/thrust basis</t>
        </is>
      </c>
      <c r="C10" s="2" t="inlineStr">
        <is>
          <t>Criteria pp42–43</t>
        </is>
      </c>
      <c r="D10" s="2" t="inlineStr">
        <is>
          <t>Use verified platform movements and reactions</t>
        </is>
      </c>
    </row>
    <row r="11">
      <c r="A11" s="2" t="inlineStr">
        <is>
          <t>Deflection</t>
        </is>
      </c>
      <c r="B11" s="2" t="inlineStr">
        <is>
          <t>Vertical L/400;lateral wind L/500</t>
        </is>
      </c>
      <c r="C11" s="2" t="inlineStr">
        <is>
          <t>Criteria p86</t>
        </is>
      </c>
      <c r="D11" s="2" t="inlineStr">
        <is>
          <t>Verify governing span and load case</t>
        </is>
      </c>
    </row>
    <row r="12">
      <c r="A12" s="2" t="inlineStr">
        <is>
          <t>Camber</t>
        </is>
      </c>
      <c r="B12" s="2" t="inlineStr">
        <is>
          <t>Compensate DL; studies and generic L/200 conflict</t>
        </is>
      </c>
      <c r="C12" s="2" t="inlineStr">
        <is>
          <t>Criteria/source bridge studies</t>
        </is>
      </c>
      <c r="D12" s="2" t="inlineStr">
        <is>
          <t>Resolve profile rather than assume L/200</t>
        </is>
      </c>
    </row>
    <row r="13">
      <c r="A13" s="2" t="inlineStr">
        <is>
          <t>Weight/COG reanalysis</t>
        </is>
      </c>
      <c r="B13" s="2" t="inlineStr">
        <is>
          <t>Weight&gt;5%;COG&gt;2% corresponding dimension</t>
        </is>
      </c>
      <c r="C13" s="2" t="inlineStr">
        <is>
          <t>Criteria p20</t>
        </is>
      </c>
      <c r="D13" s="2" t="inlineStr">
        <is>
          <t>Track engineered thresholds and actual modules</t>
        </is>
      </c>
    </row>
    <row r="14">
      <c r="A14" s="2" t="inlineStr">
        <is>
          <t>Strengthening sequence</t>
        </is>
      </c>
      <c r="B14" s="2" t="inlineStr">
        <is>
          <t>ICG/ICP/BHS wrap additions before new placement</t>
        </is>
      </c>
      <c r="C14" s="2" t="inlineStr">
        <is>
          <t>Structural SOW addendum p1</t>
        </is>
      </c>
      <c r="D14" s="2" t="inlineStr">
        <is>
          <t>Engineer connection/stability; raw shell mass not capacity proof</t>
        </is>
      </c>
    </row>
    <row r="15">
      <c r="A15" s="2" t="inlineStr">
        <is>
          <t>Piping movement</t>
        </is>
      </c>
      <c r="B15" s="2" t="inlineStr">
        <is>
          <t>Differential platform movement/extreme storm flexibility</t>
        </is>
      </c>
      <c r="C15" s="2" t="inlineStr">
        <is>
          <t>Combined3 p260 clause5.3</t>
        </is>
      </c>
      <c r="D15" s="2" t="inlineStr">
        <is>
          <t>Iterate stress/support/bearing reactions</t>
        </is>
      </c>
    </row>
    <row r="16">
      <c r="A16" s="2" t="inlineStr">
        <is>
          <t>Geometry reference</t>
        </is>
      </c>
      <c r="B16" s="2" t="inlineStr">
        <is>
          <t>Tender dimensions indicative; survey required</t>
        </is>
      </c>
      <c r="C16" s="2" t="inlineStr">
        <is>
          <t>Combined1 GA notes; A9</t>
        </is>
      </c>
      <c r="D16" s="2" t="inlineStr">
        <is>
          <t>Do not adopt study span as surveyed geometry</t>
        </is>
      </c>
    </row>
  </sheetData>
  <autoFilter ref="A1:D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4"/>
  <sheetViews>
    <sheetView zoomScale="80"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s>
  <sheetData>
    <row r="1">
      <c r="A1" s="1" t="inlineStr">
        <is>
          <t>Proposed document ID</t>
        </is>
      </c>
      <c r="B1" s="1" t="inlineStr">
        <is>
          <t>Bridge/platform</t>
        </is>
      </c>
      <c r="C1" s="1" t="inlineStr">
        <is>
          <t>Deliverable</t>
        </is>
      </c>
      <c r="D1" s="1" t="inlineStr">
        <is>
          <t>Mother/input dependency</t>
        </is>
      </c>
      <c r="E1" s="1" t="inlineStr">
        <is>
          <t>Document category A/I/R</t>
        </is>
      </c>
      <c r="F1" s="1" t="inlineStr">
        <is>
          <t>Review disposition A/B/C</t>
        </is>
      </c>
      <c r="G1" s="1" t="inlineStr">
        <is>
          <t>Status</t>
        </is>
      </c>
      <c r="H1" s="1" t="inlineStr">
        <is>
          <t>Source/evidence</t>
        </is>
      </c>
      <c r="I1" s="1" t="inlineStr">
        <is>
          <t>Owner</t>
        </is>
      </c>
    </row>
    <row r="2">
      <c r="A2" s="2" t="inlineStr">
        <is>
          <t>SHV-B01-DB-R0</t>
        </is>
      </c>
      <c r="B2" s="2" t="inlineStr">
        <is>
          <t>ICW-ICG UD</t>
        </is>
      </c>
      <c r="C2" s="2" t="inlineStr">
        <is>
          <t>Bridge-specific design basis</t>
        </is>
      </c>
      <c r="D2" s="2" t="inlineStr">
        <is>
          <t>Survey and controlling criteria</t>
        </is>
      </c>
      <c r="E2" s="2" t="inlineStr">
        <is>
          <t>TBC in project DCI/MCI</t>
        </is>
      </c>
      <c r="F2" s="2" t="inlineStr">
        <is>
          <t>TBC</t>
        </is>
      </c>
      <c r="G2" s="2" t="inlineStr">
        <is>
          <t>NOT SUBMITTED</t>
        </is>
      </c>
      <c r="H2" s="2" t="inlineStr">
        <is>
          <t>No signed approval evidence</t>
        </is>
      </c>
      <c r="I2" s="2" t="inlineStr">
        <is>
          <t>Engineering</t>
        </is>
      </c>
    </row>
    <row r="3">
      <c r="A3" s="2" t="inlineStr">
        <is>
          <t>SHV-B01-SUR-R0</t>
        </is>
      </c>
      <c r="B3" s="2" t="inlineStr">
        <is>
          <t>ICW-ICG UD</t>
        </is>
      </c>
      <c r="C3" s="2" t="inlineStr">
        <is>
          <t>Pre-engineering/condition survey dossier</t>
        </is>
      </c>
      <c r="D3" s="2" t="inlineStr">
        <is>
          <t>Access, survey and NDT</t>
        </is>
      </c>
      <c r="E3" s="2" t="inlineStr">
        <is>
          <t>TBC in project DCI/MCI</t>
        </is>
      </c>
      <c r="F3" s="2" t="inlineStr">
        <is>
          <t>TBC</t>
        </is>
      </c>
      <c r="G3" s="2" t="inlineStr">
        <is>
          <t>NOT SUBMITTED</t>
        </is>
      </c>
      <c r="H3" s="2" t="inlineStr">
        <is>
          <t>No signed approval evidence</t>
        </is>
      </c>
      <c r="I3" s="2" t="inlineStr">
        <is>
          <t>Engineering</t>
        </is>
      </c>
    </row>
    <row r="4">
      <c r="A4" s="2" t="inlineStr">
        <is>
          <t>SHV-B01-ANA-R0</t>
        </is>
      </c>
      <c r="B4" s="2" t="inlineStr">
        <is>
          <t>ICW-ICG UD</t>
        </is>
      </c>
      <c r="C4" s="2" t="inlineStr">
        <is>
          <t>Global bridge/serviceability/fatigue/VIV analysis</t>
        </is>
      </c>
      <c r="D4" s="2" t="inlineStr">
        <is>
          <t>DB/SUR accepted</t>
        </is>
      </c>
      <c r="E4" s="2" t="inlineStr">
        <is>
          <t>TBC in project DCI/MCI</t>
        </is>
      </c>
      <c r="F4" s="2" t="inlineStr">
        <is>
          <t>TBC</t>
        </is>
      </c>
      <c r="G4" s="2" t="inlineStr">
        <is>
          <t>NOT SUBMITTED</t>
        </is>
      </c>
      <c r="H4" s="2" t="inlineStr">
        <is>
          <t>No signed approval evidence</t>
        </is>
      </c>
      <c r="I4" s="2" t="inlineStr">
        <is>
          <t>Engineering</t>
        </is>
      </c>
    </row>
    <row r="5">
      <c r="A5" s="2" t="inlineStr">
        <is>
          <t>SHV-B01-PRE-R0</t>
        </is>
      </c>
      <c r="B5" s="2" t="inlineStr">
        <is>
          <t>ICW-ICG UD</t>
        </is>
      </c>
      <c r="C5" s="2" t="inlineStr">
        <is>
          <t>Preservice lift/transport/temporary-stage analysis</t>
        </is>
      </c>
      <c r="D5" s="2" t="inlineStr">
        <is>
          <t>Module envelope and vessel inputs</t>
        </is>
      </c>
      <c r="E5" s="2" t="inlineStr">
        <is>
          <t>TBC in project DCI/MCI</t>
        </is>
      </c>
      <c r="F5" s="2" t="inlineStr">
        <is>
          <t>TBC</t>
        </is>
      </c>
      <c r="G5" s="2" t="inlineStr">
        <is>
          <t>NOT SUBMITTED</t>
        </is>
      </c>
      <c r="H5" s="2" t="inlineStr">
        <is>
          <t>No signed approval evidence</t>
        </is>
      </c>
      <c r="I5" s="2" t="inlineStr">
        <is>
          <t>Engineering</t>
        </is>
      </c>
    </row>
    <row r="6">
      <c r="A6" s="2" t="inlineStr">
        <is>
          <t>SHV-B01-SUP-R0</t>
        </is>
      </c>
      <c r="B6" s="2" t="inlineStr">
        <is>
          <t>ICW-ICG UD</t>
        </is>
      </c>
      <c r="C6" s="2" t="inlineStr">
        <is>
          <t>Landing/deck/support and interface reaction report</t>
        </is>
      </c>
      <c r="D6" s="2" t="inlineStr">
        <is>
          <t>Bridge/piping reactions</t>
        </is>
      </c>
      <c r="E6" s="2" t="inlineStr">
        <is>
          <t>TBC in project DCI/MCI</t>
        </is>
      </c>
      <c r="F6" s="2" t="inlineStr">
        <is>
          <t>TBC</t>
        </is>
      </c>
      <c r="G6" s="2" t="inlineStr">
        <is>
          <t>NOT SUBMITTED</t>
        </is>
      </c>
      <c r="H6" s="2" t="inlineStr">
        <is>
          <t>No signed approval evidence</t>
        </is>
      </c>
      <c r="I6" s="2" t="inlineStr">
        <is>
          <t>Engineering</t>
        </is>
      </c>
    </row>
    <row r="7">
      <c r="A7" s="2" t="inlineStr">
        <is>
          <t>SHV-B01-JNT-R0</t>
        </is>
      </c>
      <c r="B7" s="2" t="inlineStr">
        <is>
          <t>ICW-ICG UD</t>
        </is>
      </c>
      <c r="C7" s="2" t="inlineStr">
        <is>
          <t>Connection/member/bearing check report</t>
        </is>
      </c>
      <c r="D7" s="2" t="inlineStr">
        <is>
          <t>Global forces and verified materials</t>
        </is>
      </c>
      <c r="E7" s="2" t="inlineStr">
        <is>
          <t>TBC in project DCI/MCI</t>
        </is>
      </c>
      <c r="F7" s="2" t="inlineStr">
        <is>
          <t>TBC</t>
        </is>
      </c>
      <c r="G7" s="2" t="inlineStr">
        <is>
          <t>NOT SUBMITTED</t>
        </is>
      </c>
      <c r="H7" s="2" t="inlineStr">
        <is>
          <t>No signed approval evidence</t>
        </is>
      </c>
      <c r="I7" s="2" t="inlineStr">
        <is>
          <t>Engineering</t>
        </is>
      </c>
    </row>
    <row r="8">
      <c r="A8" s="2" t="inlineStr">
        <is>
          <t>SHV-B01-GA-R0</t>
        </is>
      </c>
      <c r="B8" s="2" t="inlineStr">
        <is>
          <t>ICW-ICG UD</t>
        </is>
      </c>
      <c r="C8" s="2" t="inlineStr">
        <is>
          <t>General arrangement and geometry details</t>
        </is>
      </c>
      <c r="D8" s="2" t="inlineStr">
        <is>
          <t>Accepted mother analysis</t>
        </is>
      </c>
      <c r="E8" s="2" t="inlineStr">
        <is>
          <t>TBC in project DCI/MCI</t>
        </is>
      </c>
      <c r="F8" s="2" t="inlineStr">
        <is>
          <t>TBC</t>
        </is>
      </c>
      <c r="G8" s="2" t="inlineStr">
        <is>
          <t>NOT SUBMITTED</t>
        </is>
      </c>
      <c r="H8" s="2" t="inlineStr">
        <is>
          <t>No signed approval evidence</t>
        </is>
      </c>
      <c r="I8" s="2" t="inlineStr">
        <is>
          <t>Engineering</t>
        </is>
      </c>
    </row>
    <row r="9">
      <c r="A9" s="2" t="inlineStr">
        <is>
          <t>SHV-B01-SHOP-R0</t>
        </is>
      </c>
      <c r="B9" s="2" t="inlineStr">
        <is>
          <t>ICW-ICG UD</t>
        </is>
      </c>
      <c r="C9" s="2" t="inlineStr">
        <is>
          <t>Shop member, weld, joint and erection details</t>
        </is>
      </c>
      <c r="D9" s="2" t="inlineStr">
        <is>
          <t>GA and checked connection calculations</t>
        </is>
      </c>
      <c r="E9" s="2" t="inlineStr">
        <is>
          <t>TBC in project DCI/MCI</t>
        </is>
      </c>
      <c r="F9" s="2" t="inlineStr">
        <is>
          <t>TBC</t>
        </is>
      </c>
      <c r="G9" s="2" t="inlineStr">
        <is>
          <t>NOT SUBMITTED</t>
        </is>
      </c>
      <c r="H9" s="2" t="inlineStr">
        <is>
          <t>No signed approval evidence</t>
        </is>
      </c>
      <c r="I9" s="2" t="inlineStr">
        <is>
          <t>Engineering</t>
        </is>
      </c>
    </row>
    <row r="10">
      <c r="A10" s="2" t="inlineStr">
        <is>
          <t>SHV-B01-BRG-R0</t>
        </is>
      </c>
      <c r="B10" s="2" t="inlineStr">
        <is>
          <t>ICW-ICG UD</t>
        </is>
      </c>
      <c r="C10" s="2" t="inlineStr">
        <is>
          <t>Bearing, guides, setting and restraints</t>
        </is>
      </c>
      <c r="D10" s="2" t="inlineStr">
        <is>
          <t>Movement/thrust and temperature envelope</t>
        </is>
      </c>
      <c r="E10" s="2" t="inlineStr">
        <is>
          <t>TBC in project DCI/MCI</t>
        </is>
      </c>
      <c r="F10" s="2" t="inlineStr">
        <is>
          <t>TBC</t>
        </is>
      </c>
      <c r="G10" s="2" t="inlineStr">
        <is>
          <t>NOT SUBMITTED</t>
        </is>
      </c>
      <c r="H10" s="2" t="inlineStr">
        <is>
          <t>No signed approval evidence</t>
        </is>
      </c>
      <c r="I10" s="2" t="inlineStr">
        <is>
          <t>Engineering</t>
        </is>
      </c>
    </row>
    <row r="11">
      <c r="A11" s="2" t="inlineStr">
        <is>
          <t>SHV-B01-TMP-R0</t>
        </is>
      </c>
      <c r="B11" s="2" t="inlineStr">
        <is>
          <t>ICW-ICG UD</t>
        </is>
      </c>
      <c r="C11" s="2" t="inlineStr">
        <is>
          <t>Temporary supports/stability and strengthening details</t>
        </is>
      </c>
      <c r="D11" s="2" t="inlineStr">
        <is>
          <t>Stage analyses and surveyed condition</t>
        </is>
      </c>
      <c r="E11" s="2" t="inlineStr">
        <is>
          <t>TBC in project DCI/MCI</t>
        </is>
      </c>
      <c r="F11" s="2" t="inlineStr">
        <is>
          <t>TBC</t>
        </is>
      </c>
      <c r="G11" s="2" t="inlineStr">
        <is>
          <t>NOT SUBMITTED</t>
        </is>
      </c>
      <c r="H11" s="2" t="inlineStr">
        <is>
          <t>No signed approval evidence</t>
        </is>
      </c>
      <c r="I11" s="2" t="inlineStr">
        <is>
          <t>Engineering</t>
        </is>
      </c>
    </row>
    <row r="12">
      <c r="A12" s="2" t="inlineStr">
        <is>
          <t>SHV-B01-LFT-R0</t>
        </is>
      </c>
      <c r="B12" s="2" t="inlineStr">
        <is>
          <t>ICW-ICG UD</t>
        </is>
      </c>
      <c r="C12" s="2" t="inlineStr">
        <is>
          <t>Lift/rigging/padeye/loadout procedure and drawings</t>
        </is>
      </c>
      <c r="D12" s="2" t="inlineStr">
        <is>
          <t>PRE/vessel/weight/COG</t>
        </is>
      </c>
      <c r="E12" s="2" t="inlineStr">
        <is>
          <t>TBC in project DCI/MCI</t>
        </is>
      </c>
      <c r="F12" s="2" t="inlineStr">
        <is>
          <t>TBC</t>
        </is>
      </c>
      <c r="G12" s="2" t="inlineStr">
        <is>
          <t>NOT SUBMITTED</t>
        </is>
      </c>
      <c r="H12" s="2" t="inlineStr">
        <is>
          <t>No signed approval evidence</t>
        </is>
      </c>
      <c r="I12" s="2" t="inlineStr">
        <is>
          <t>Engineering</t>
        </is>
      </c>
    </row>
    <row r="13">
      <c r="A13" s="2" t="inlineStr">
        <is>
          <t>SHV-B01-MTO-R0</t>
        </is>
      </c>
      <c r="B13" s="2" t="inlineStr">
        <is>
          <t>ICW-ICG UD</t>
        </is>
      </c>
      <c r="C13" s="2" t="inlineStr">
        <is>
          <t>Detailed structural and services MTO</t>
        </is>
      </c>
      <c r="D13" s="2" t="inlineStr">
        <is>
          <t>Released details and class specifications</t>
        </is>
      </c>
      <c r="E13" s="2" t="inlineStr">
        <is>
          <t>TBC in project DCI/MCI</t>
        </is>
      </c>
      <c r="F13" s="2" t="inlineStr">
        <is>
          <t>TBC</t>
        </is>
      </c>
      <c r="G13" s="2" t="inlineStr">
        <is>
          <t>NOT SUBMITTED</t>
        </is>
      </c>
      <c r="H13" s="2" t="inlineStr">
        <is>
          <t>No signed approval evidence</t>
        </is>
      </c>
      <c r="I13" s="2" t="inlineStr">
        <is>
          <t>Engineering</t>
        </is>
      </c>
    </row>
    <row r="14">
      <c r="A14" s="2" t="inlineStr">
        <is>
          <t>SHV-B01-IWP-R0</t>
        </is>
      </c>
      <c r="B14" s="2" t="inlineStr">
        <is>
          <t>ICW-ICG UD</t>
        </is>
      </c>
      <c r="C14" s="2" t="inlineStr">
        <is>
          <t>Installation/service-transfer/demolition work pack</t>
        </is>
      </c>
      <c r="D14" s="2" t="inlineStr">
        <is>
          <t>Design, material, access and approved sequence</t>
        </is>
      </c>
      <c r="E14" s="2" t="inlineStr">
        <is>
          <t>TBC in project DCI/MCI</t>
        </is>
      </c>
      <c r="F14" s="2" t="inlineStr">
        <is>
          <t>TBC</t>
        </is>
      </c>
      <c r="G14" s="2" t="inlineStr">
        <is>
          <t>NOT SUBMITTED</t>
        </is>
      </c>
      <c r="H14" s="2" t="inlineStr">
        <is>
          <t>No signed approval evidence</t>
        </is>
      </c>
      <c r="I14" s="2" t="inlineStr">
        <is>
          <t>Engineering</t>
        </is>
      </c>
    </row>
    <row r="15">
      <c r="A15" s="2" t="inlineStr">
        <is>
          <t>SHV-B01-ITP-R0</t>
        </is>
      </c>
      <c r="B15" s="2" t="inlineStr">
        <is>
          <t>ICW-ICG UD</t>
        </is>
      </c>
      <c r="C15" s="2" t="inlineStr">
        <is>
          <t>Inspection and test plan/records index</t>
        </is>
      </c>
      <c r="D15" s="2" t="inlineStr">
        <is>
          <t>Applicable QA specifications</t>
        </is>
      </c>
      <c r="E15" s="2" t="inlineStr">
        <is>
          <t>TBC in project DCI/MCI</t>
        </is>
      </c>
      <c r="F15" s="2" t="inlineStr">
        <is>
          <t>TBC</t>
        </is>
      </c>
      <c r="G15" s="2" t="inlineStr">
        <is>
          <t>NOT SUBMITTED</t>
        </is>
      </c>
      <c r="H15" s="2" t="inlineStr">
        <is>
          <t>No signed approval evidence</t>
        </is>
      </c>
      <c r="I15" s="2" t="inlineStr">
        <is>
          <t>QA/Completions</t>
        </is>
      </c>
    </row>
    <row r="16">
      <c r="A16" s="2" t="inlineStr">
        <is>
          <t>SHV-B01-TEST-R0</t>
        </is>
      </c>
      <c r="B16" s="2" t="inlineStr">
        <is>
          <t>ICW-ICG UD</t>
        </is>
      </c>
      <c r="C16" s="2" t="inlineStr">
        <is>
          <t>Service reinstatement and acceptance procedures</t>
        </is>
      </c>
      <c r="D16" s="2" t="inlineStr">
        <is>
          <t>Approved system boundaries</t>
        </is>
      </c>
      <c r="E16" s="2" t="inlineStr">
        <is>
          <t>TBC in project DCI/MCI</t>
        </is>
      </c>
      <c r="F16" s="2" t="inlineStr">
        <is>
          <t>TBC</t>
        </is>
      </c>
      <c r="G16" s="2" t="inlineStr">
        <is>
          <t>NOT SUBMITTED</t>
        </is>
      </c>
      <c r="H16" s="2" t="inlineStr">
        <is>
          <t>No signed approval evidence</t>
        </is>
      </c>
      <c r="I16" s="2" t="inlineStr">
        <is>
          <t>Engineering</t>
        </is>
      </c>
    </row>
    <row r="17">
      <c r="A17" s="2" t="inlineStr">
        <is>
          <t>SHV-B01-ASB-R0</t>
        </is>
      </c>
      <c r="B17" s="2" t="inlineStr">
        <is>
          <t>ICW-ICG UD</t>
        </is>
      </c>
      <c r="C17" s="2" t="inlineStr">
        <is>
          <t>As-built/native model/vendor dossier</t>
        </is>
      </c>
      <c r="D17" s="2" t="inlineStr">
        <is>
          <t>Verified final configuration</t>
        </is>
      </c>
      <c r="E17" s="2" t="inlineStr">
        <is>
          <t>TBC in project DCI/MCI</t>
        </is>
      </c>
      <c r="F17" s="2" t="inlineStr">
        <is>
          <t>TBC</t>
        </is>
      </c>
      <c r="G17" s="2" t="inlineStr">
        <is>
          <t>NOT SUBMITTED</t>
        </is>
      </c>
      <c r="H17" s="2" t="inlineStr">
        <is>
          <t>No signed approval evidence</t>
        </is>
      </c>
      <c r="I17" s="2" t="inlineStr">
        <is>
          <t>Engineering</t>
        </is>
      </c>
    </row>
    <row r="18">
      <c r="A18" s="2" t="inlineStr">
        <is>
          <t>SHV-B01-TO-R0</t>
        </is>
      </c>
      <c r="B18" s="2" t="inlineStr">
        <is>
          <t>ICW-ICG UD</t>
        </is>
      </c>
      <c r="C18" s="2" t="inlineStr">
        <is>
          <t>Turnover and acceptance dossier</t>
        </is>
      </c>
      <c r="D18" s="2" t="inlineStr">
        <is>
          <t>Completed records/punch closure</t>
        </is>
      </c>
      <c r="E18" s="2" t="inlineStr">
        <is>
          <t>TBC in project DCI/MCI</t>
        </is>
      </c>
      <c r="F18" s="2" t="inlineStr">
        <is>
          <t>TBC</t>
        </is>
      </c>
      <c r="G18" s="2" t="inlineStr">
        <is>
          <t>NOT SUBMITTED</t>
        </is>
      </c>
      <c r="H18" s="2" t="inlineStr">
        <is>
          <t>No signed approval evidence</t>
        </is>
      </c>
      <c r="I18" s="2" t="inlineStr">
        <is>
          <t>QA/Completions</t>
        </is>
      </c>
    </row>
    <row r="19">
      <c r="A19" s="2" t="inlineStr">
        <is>
          <t>SHV-B02-DB-R0</t>
        </is>
      </c>
      <c r="B19" s="2" t="inlineStr">
        <is>
          <t>ICW-ICG LD</t>
        </is>
      </c>
      <c r="C19" s="2" t="inlineStr">
        <is>
          <t>Bridge-specific design basis</t>
        </is>
      </c>
      <c r="D19" s="2" t="inlineStr">
        <is>
          <t>Survey and controlling criteria</t>
        </is>
      </c>
      <c r="E19" s="2" t="inlineStr">
        <is>
          <t>TBC in project DCI/MCI</t>
        </is>
      </c>
      <c r="F19" s="2" t="inlineStr">
        <is>
          <t>TBC</t>
        </is>
      </c>
      <c r="G19" s="2" t="inlineStr">
        <is>
          <t>NOT SUBMITTED</t>
        </is>
      </c>
      <c r="H19" s="2" t="inlineStr">
        <is>
          <t>No signed approval evidence</t>
        </is>
      </c>
      <c r="I19" s="2" t="inlineStr">
        <is>
          <t>Engineering</t>
        </is>
      </c>
    </row>
    <row r="20">
      <c r="A20" s="2" t="inlineStr">
        <is>
          <t>SHV-B02-SUR-R0</t>
        </is>
      </c>
      <c r="B20" s="2" t="inlineStr">
        <is>
          <t>ICW-ICG LD</t>
        </is>
      </c>
      <c r="C20" s="2" t="inlineStr">
        <is>
          <t>Pre-engineering/condition survey dossier</t>
        </is>
      </c>
      <c r="D20" s="2" t="inlineStr">
        <is>
          <t>Access, survey and NDT</t>
        </is>
      </c>
      <c r="E20" s="2" t="inlineStr">
        <is>
          <t>TBC in project DCI/MCI</t>
        </is>
      </c>
      <c r="F20" s="2" t="inlineStr">
        <is>
          <t>TBC</t>
        </is>
      </c>
      <c r="G20" s="2" t="inlineStr">
        <is>
          <t>NOT SUBMITTED</t>
        </is>
      </c>
      <c r="H20" s="2" t="inlineStr">
        <is>
          <t>No signed approval evidence</t>
        </is>
      </c>
      <c r="I20" s="2" t="inlineStr">
        <is>
          <t>Engineering</t>
        </is>
      </c>
    </row>
    <row r="21">
      <c r="A21" s="2" t="inlineStr">
        <is>
          <t>SHV-B02-ANA-R0</t>
        </is>
      </c>
      <c r="B21" s="2" t="inlineStr">
        <is>
          <t>ICW-ICG LD</t>
        </is>
      </c>
      <c r="C21" s="2" t="inlineStr">
        <is>
          <t>Global bridge/serviceability/fatigue/VIV analysis</t>
        </is>
      </c>
      <c r="D21" s="2" t="inlineStr">
        <is>
          <t>DB/SUR accepted</t>
        </is>
      </c>
      <c r="E21" s="2" t="inlineStr">
        <is>
          <t>TBC in project DCI/MCI</t>
        </is>
      </c>
      <c r="F21" s="2" t="inlineStr">
        <is>
          <t>TBC</t>
        </is>
      </c>
      <c r="G21" s="2" t="inlineStr">
        <is>
          <t>NOT SUBMITTED</t>
        </is>
      </c>
      <c r="H21" s="2" t="inlineStr">
        <is>
          <t>No signed approval evidence</t>
        </is>
      </c>
      <c r="I21" s="2" t="inlineStr">
        <is>
          <t>Engineering</t>
        </is>
      </c>
    </row>
    <row r="22">
      <c r="A22" s="2" t="inlineStr">
        <is>
          <t>SHV-B02-PRE-R0</t>
        </is>
      </c>
      <c r="B22" s="2" t="inlineStr">
        <is>
          <t>ICW-ICG LD</t>
        </is>
      </c>
      <c r="C22" s="2" t="inlineStr">
        <is>
          <t>Preservice lift/transport/temporary-stage analysis</t>
        </is>
      </c>
      <c r="D22" s="2" t="inlineStr">
        <is>
          <t>Module envelope and vessel inputs</t>
        </is>
      </c>
      <c r="E22" s="2" t="inlineStr">
        <is>
          <t>TBC in project DCI/MCI</t>
        </is>
      </c>
      <c r="F22" s="2" t="inlineStr">
        <is>
          <t>TBC</t>
        </is>
      </c>
      <c r="G22" s="2" t="inlineStr">
        <is>
          <t>NOT SUBMITTED</t>
        </is>
      </c>
      <c r="H22" s="2" t="inlineStr">
        <is>
          <t>No signed approval evidence</t>
        </is>
      </c>
      <c r="I22" s="2" t="inlineStr">
        <is>
          <t>Engineering</t>
        </is>
      </c>
    </row>
    <row r="23">
      <c r="A23" s="2" t="inlineStr">
        <is>
          <t>SHV-B02-SUP-R0</t>
        </is>
      </c>
      <c r="B23" s="2" t="inlineStr">
        <is>
          <t>ICW-ICG LD</t>
        </is>
      </c>
      <c r="C23" s="2" t="inlineStr">
        <is>
          <t>Landing/deck/support and interface reaction report</t>
        </is>
      </c>
      <c r="D23" s="2" t="inlineStr">
        <is>
          <t>Bridge/piping reactions</t>
        </is>
      </c>
      <c r="E23" s="2" t="inlineStr">
        <is>
          <t>TBC in project DCI/MCI</t>
        </is>
      </c>
      <c r="F23" s="2" t="inlineStr">
        <is>
          <t>TBC</t>
        </is>
      </c>
      <c r="G23" s="2" t="inlineStr">
        <is>
          <t>NOT SUBMITTED</t>
        </is>
      </c>
      <c r="H23" s="2" t="inlineStr">
        <is>
          <t>No signed approval evidence</t>
        </is>
      </c>
      <c r="I23" s="2" t="inlineStr">
        <is>
          <t>Engineering</t>
        </is>
      </c>
    </row>
    <row r="24">
      <c r="A24" s="2" t="inlineStr">
        <is>
          <t>SHV-B02-JNT-R0</t>
        </is>
      </c>
      <c r="B24" s="2" t="inlineStr">
        <is>
          <t>ICW-ICG LD</t>
        </is>
      </c>
      <c r="C24" s="2" t="inlineStr">
        <is>
          <t>Connection/member/bearing check report</t>
        </is>
      </c>
      <c r="D24" s="2" t="inlineStr">
        <is>
          <t>Global forces and verified materials</t>
        </is>
      </c>
      <c r="E24" s="2" t="inlineStr">
        <is>
          <t>TBC in project DCI/MCI</t>
        </is>
      </c>
      <c r="F24" s="2" t="inlineStr">
        <is>
          <t>TBC</t>
        </is>
      </c>
      <c r="G24" s="2" t="inlineStr">
        <is>
          <t>NOT SUBMITTED</t>
        </is>
      </c>
      <c r="H24" s="2" t="inlineStr">
        <is>
          <t>No signed approval evidence</t>
        </is>
      </c>
      <c r="I24" s="2" t="inlineStr">
        <is>
          <t>Engineering</t>
        </is>
      </c>
    </row>
    <row r="25">
      <c r="A25" s="2" t="inlineStr">
        <is>
          <t>SHV-B02-GA-R0</t>
        </is>
      </c>
      <c r="B25" s="2" t="inlineStr">
        <is>
          <t>ICW-ICG LD</t>
        </is>
      </c>
      <c r="C25" s="2" t="inlineStr">
        <is>
          <t>General arrangement and geometry details</t>
        </is>
      </c>
      <c r="D25" s="2" t="inlineStr">
        <is>
          <t>Accepted mother analysis</t>
        </is>
      </c>
      <c r="E25" s="2" t="inlineStr">
        <is>
          <t>TBC in project DCI/MCI</t>
        </is>
      </c>
      <c r="F25" s="2" t="inlineStr">
        <is>
          <t>TBC</t>
        </is>
      </c>
      <c r="G25" s="2" t="inlineStr">
        <is>
          <t>NOT SUBMITTED</t>
        </is>
      </c>
      <c r="H25" s="2" t="inlineStr">
        <is>
          <t>No signed approval evidence</t>
        </is>
      </c>
      <c r="I25" s="2" t="inlineStr">
        <is>
          <t>Engineering</t>
        </is>
      </c>
    </row>
    <row r="26">
      <c r="A26" s="2" t="inlineStr">
        <is>
          <t>SHV-B02-SHOP-R0</t>
        </is>
      </c>
      <c r="B26" s="2" t="inlineStr">
        <is>
          <t>ICW-ICG LD</t>
        </is>
      </c>
      <c r="C26" s="2" t="inlineStr">
        <is>
          <t>Shop member, weld, joint and erection details</t>
        </is>
      </c>
      <c r="D26" s="2" t="inlineStr">
        <is>
          <t>GA and checked connection calculations</t>
        </is>
      </c>
      <c r="E26" s="2" t="inlineStr">
        <is>
          <t>TBC in project DCI/MCI</t>
        </is>
      </c>
      <c r="F26" s="2" t="inlineStr">
        <is>
          <t>TBC</t>
        </is>
      </c>
      <c r="G26" s="2" t="inlineStr">
        <is>
          <t>NOT SUBMITTED</t>
        </is>
      </c>
      <c r="H26" s="2" t="inlineStr">
        <is>
          <t>No signed approval evidence</t>
        </is>
      </c>
      <c r="I26" s="2" t="inlineStr">
        <is>
          <t>Engineering</t>
        </is>
      </c>
    </row>
    <row r="27">
      <c r="A27" s="2" t="inlineStr">
        <is>
          <t>SHV-B02-BRG-R0</t>
        </is>
      </c>
      <c r="B27" s="2" t="inlineStr">
        <is>
          <t>ICW-ICG LD</t>
        </is>
      </c>
      <c r="C27" s="2" t="inlineStr">
        <is>
          <t>Bearing, guides, setting and restraints</t>
        </is>
      </c>
      <c r="D27" s="2" t="inlineStr">
        <is>
          <t>Movement/thrust and temperature envelope</t>
        </is>
      </c>
      <c r="E27" s="2" t="inlineStr">
        <is>
          <t>TBC in project DCI/MCI</t>
        </is>
      </c>
      <c r="F27" s="2" t="inlineStr">
        <is>
          <t>TBC</t>
        </is>
      </c>
      <c r="G27" s="2" t="inlineStr">
        <is>
          <t>NOT SUBMITTED</t>
        </is>
      </c>
      <c r="H27" s="2" t="inlineStr">
        <is>
          <t>No signed approval evidence</t>
        </is>
      </c>
      <c r="I27" s="2" t="inlineStr">
        <is>
          <t>Engineering</t>
        </is>
      </c>
    </row>
    <row r="28">
      <c r="A28" s="2" t="inlineStr">
        <is>
          <t>SHV-B02-TMP-R0</t>
        </is>
      </c>
      <c r="B28" s="2" t="inlineStr">
        <is>
          <t>ICW-ICG LD</t>
        </is>
      </c>
      <c r="C28" s="2" t="inlineStr">
        <is>
          <t>Temporary supports/stability and strengthening details</t>
        </is>
      </c>
      <c r="D28" s="2" t="inlineStr">
        <is>
          <t>Stage analyses and surveyed condition</t>
        </is>
      </c>
      <c r="E28" s="2" t="inlineStr">
        <is>
          <t>TBC in project DCI/MCI</t>
        </is>
      </c>
      <c r="F28" s="2" t="inlineStr">
        <is>
          <t>TBC</t>
        </is>
      </c>
      <c r="G28" s="2" t="inlineStr">
        <is>
          <t>NOT SUBMITTED</t>
        </is>
      </c>
      <c r="H28" s="2" t="inlineStr">
        <is>
          <t>No signed approval evidence</t>
        </is>
      </c>
      <c r="I28" s="2" t="inlineStr">
        <is>
          <t>Engineering</t>
        </is>
      </c>
    </row>
    <row r="29">
      <c r="A29" s="2" t="inlineStr">
        <is>
          <t>SHV-B02-LFT-R0</t>
        </is>
      </c>
      <c r="B29" s="2" t="inlineStr">
        <is>
          <t>ICW-ICG LD</t>
        </is>
      </c>
      <c r="C29" s="2" t="inlineStr">
        <is>
          <t>Lift/rigging/padeye/loadout procedure and drawings</t>
        </is>
      </c>
      <c r="D29" s="2" t="inlineStr">
        <is>
          <t>PRE/vessel/weight/COG</t>
        </is>
      </c>
      <c r="E29" s="2" t="inlineStr">
        <is>
          <t>TBC in project DCI/MCI</t>
        </is>
      </c>
      <c r="F29" s="2" t="inlineStr">
        <is>
          <t>TBC</t>
        </is>
      </c>
      <c r="G29" s="2" t="inlineStr">
        <is>
          <t>NOT SUBMITTED</t>
        </is>
      </c>
      <c r="H29" s="2" t="inlineStr">
        <is>
          <t>No signed approval evidence</t>
        </is>
      </c>
      <c r="I29" s="2" t="inlineStr">
        <is>
          <t>Engineering</t>
        </is>
      </c>
    </row>
    <row r="30">
      <c r="A30" s="2" t="inlineStr">
        <is>
          <t>SHV-B02-MTO-R0</t>
        </is>
      </c>
      <c r="B30" s="2" t="inlineStr">
        <is>
          <t>ICW-ICG LD</t>
        </is>
      </c>
      <c r="C30" s="2" t="inlineStr">
        <is>
          <t>Detailed structural and services MTO</t>
        </is>
      </c>
      <c r="D30" s="2" t="inlineStr">
        <is>
          <t>Released details and class specifications</t>
        </is>
      </c>
      <c r="E30" s="2" t="inlineStr">
        <is>
          <t>TBC in project DCI/MCI</t>
        </is>
      </c>
      <c r="F30" s="2" t="inlineStr">
        <is>
          <t>TBC</t>
        </is>
      </c>
      <c r="G30" s="2" t="inlineStr">
        <is>
          <t>NOT SUBMITTED</t>
        </is>
      </c>
      <c r="H30" s="2" t="inlineStr">
        <is>
          <t>No signed approval evidence</t>
        </is>
      </c>
      <c r="I30" s="2" t="inlineStr">
        <is>
          <t>Engineering</t>
        </is>
      </c>
    </row>
    <row r="31">
      <c r="A31" s="2" t="inlineStr">
        <is>
          <t>SHV-B02-IWP-R0</t>
        </is>
      </c>
      <c r="B31" s="2" t="inlineStr">
        <is>
          <t>ICW-ICG LD</t>
        </is>
      </c>
      <c r="C31" s="2" t="inlineStr">
        <is>
          <t>Installation/service-transfer/demolition work pack</t>
        </is>
      </c>
      <c r="D31" s="2" t="inlineStr">
        <is>
          <t>Design, material, access and approved sequence</t>
        </is>
      </c>
      <c r="E31" s="2" t="inlineStr">
        <is>
          <t>TBC in project DCI/MCI</t>
        </is>
      </c>
      <c r="F31" s="2" t="inlineStr">
        <is>
          <t>TBC</t>
        </is>
      </c>
      <c r="G31" s="2" t="inlineStr">
        <is>
          <t>NOT SUBMITTED</t>
        </is>
      </c>
      <c r="H31" s="2" t="inlineStr">
        <is>
          <t>No signed approval evidence</t>
        </is>
      </c>
      <c r="I31" s="2" t="inlineStr">
        <is>
          <t>Engineering</t>
        </is>
      </c>
    </row>
    <row r="32">
      <c r="A32" s="2" t="inlineStr">
        <is>
          <t>SHV-B02-ITP-R0</t>
        </is>
      </c>
      <c r="B32" s="2" t="inlineStr">
        <is>
          <t>ICW-ICG LD</t>
        </is>
      </c>
      <c r="C32" s="2" t="inlineStr">
        <is>
          <t>Inspection and test plan/records index</t>
        </is>
      </c>
      <c r="D32" s="2" t="inlineStr">
        <is>
          <t>Applicable QA specifications</t>
        </is>
      </c>
      <c r="E32" s="2" t="inlineStr">
        <is>
          <t>TBC in project DCI/MCI</t>
        </is>
      </c>
      <c r="F32" s="2" t="inlineStr">
        <is>
          <t>TBC</t>
        </is>
      </c>
      <c r="G32" s="2" t="inlineStr">
        <is>
          <t>NOT SUBMITTED</t>
        </is>
      </c>
      <c r="H32" s="2" t="inlineStr">
        <is>
          <t>No signed approval evidence</t>
        </is>
      </c>
      <c r="I32" s="2" t="inlineStr">
        <is>
          <t>QA/Completions</t>
        </is>
      </c>
    </row>
    <row r="33">
      <c r="A33" s="2" t="inlineStr">
        <is>
          <t>SHV-B02-TEST-R0</t>
        </is>
      </c>
      <c r="B33" s="2" t="inlineStr">
        <is>
          <t>ICW-ICG LD</t>
        </is>
      </c>
      <c r="C33" s="2" t="inlineStr">
        <is>
          <t>Service reinstatement and acceptance procedures</t>
        </is>
      </c>
      <c r="D33" s="2" t="inlineStr">
        <is>
          <t>Approved system boundaries</t>
        </is>
      </c>
      <c r="E33" s="2" t="inlineStr">
        <is>
          <t>TBC in project DCI/MCI</t>
        </is>
      </c>
      <c r="F33" s="2" t="inlineStr">
        <is>
          <t>TBC</t>
        </is>
      </c>
      <c r="G33" s="2" t="inlineStr">
        <is>
          <t>NOT SUBMITTED</t>
        </is>
      </c>
      <c r="H33" s="2" t="inlineStr">
        <is>
          <t>No signed approval evidence</t>
        </is>
      </c>
      <c r="I33" s="2" t="inlineStr">
        <is>
          <t>Engineering</t>
        </is>
      </c>
    </row>
    <row r="34">
      <c r="A34" s="2" t="inlineStr">
        <is>
          <t>SHV-B02-ASB-R0</t>
        </is>
      </c>
      <c r="B34" s="2" t="inlineStr">
        <is>
          <t>ICW-ICG LD</t>
        </is>
      </c>
      <c r="C34" s="2" t="inlineStr">
        <is>
          <t>As-built/native model/vendor dossier</t>
        </is>
      </c>
      <c r="D34" s="2" t="inlineStr">
        <is>
          <t>Verified final configuration</t>
        </is>
      </c>
      <c r="E34" s="2" t="inlineStr">
        <is>
          <t>TBC in project DCI/MCI</t>
        </is>
      </c>
      <c r="F34" s="2" t="inlineStr">
        <is>
          <t>TBC</t>
        </is>
      </c>
      <c r="G34" s="2" t="inlineStr">
        <is>
          <t>NOT SUBMITTED</t>
        </is>
      </c>
      <c r="H34" s="2" t="inlineStr">
        <is>
          <t>No signed approval evidence</t>
        </is>
      </c>
      <c r="I34" s="2" t="inlineStr">
        <is>
          <t>Engineering</t>
        </is>
      </c>
    </row>
    <row r="35">
      <c r="A35" s="2" t="inlineStr">
        <is>
          <t>SHV-B02-TO-R0</t>
        </is>
      </c>
      <c r="B35" s="2" t="inlineStr">
        <is>
          <t>ICW-ICG LD</t>
        </is>
      </c>
      <c r="C35" s="2" t="inlineStr">
        <is>
          <t>Turnover and acceptance dossier</t>
        </is>
      </c>
      <c r="D35" s="2" t="inlineStr">
        <is>
          <t>Completed records/punch closure</t>
        </is>
      </c>
      <c r="E35" s="2" t="inlineStr">
        <is>
          <t>TBC in project DCI/MCI</t>
        </is>
      </c>
      <c r="F35" s="2" t="inlineStr">
        <is>
          <t>TBC</t>
        </is>
      </c>
      <c r="G35" s="2" t="inlineStr">
        <is>
          <t>NOT SUBMITTED</t>
        </is>
      </c>
      <c r="H35" s="2" t="inlineStr">
        <is>
          <t>No signed approval evidence</t>
        </is>
      </c>
      <c r="I35" s="2" t="inlineStr">
        <is>
          <t>QA/Completions</t>
        </is>
      </c>
    </row>
    <row r="36">
      <c r="A36" s="2" t="inlineStr">
        <is>
          <t>SHV-B03-DB-R0</t>
        </is>
      </c>
      <c r="B36" s="2" t="inlineStr">
        <is>
          <t>ICG-ICP UD</t>
        </is>
      </c>
      <c r="C36" s="2" t="inlineStr">
        <is>
          <t>Bridge-specific design basis</t>
        </is>
      </c>
      <c r="D36" s="2" t="inlineStr">
        <is>
          <t>Survey and controlling criteria</t>
        </is>
      </c>
      <c r="E36" s="2" t="inlineStr">
        <is>
          <t>TBC in project DCI/MCI</t>
        </is>
      </c>
      <c r="F36" s="2" t="inlineStr">
        <is>
          <t>TBC</t>
        </is>
      </c>
      <c r="G36" s="2" t="inlineStr">
        <is>
          <t>NOT SUBMITTED</t>
        </is>
      </c>
      <c r="H36" s="2" t="inlineStr">
        <is>
          <t>No signed approval evidence</t>
        </is>
      </c>
      <c r="I36" s="2" t="inlineStr">
        <is>
          <t>Engineering</t>
        </is>
      </c>
    </row>
    <row r="37">
      <c r="A37" s="2" t="inlineStr">
        <is>
          <t>SHV-B03-SUR-R0</t>
        </is>
      </c>
      <c r="B37" s="2" t="inlineStr">
        <is>
          <t>ICG-ICP UD</t>
        </is>
      </c>
      <c r="C37" s="2" t="inlineStr">
        <is>
          <t>Pre-engineering/condition survey dossier</t>
        </is>
      </c>
      <c r="D37" s="2" t="inlineStr">
        <is>
          <t>Access, survey and NDT</t>
        </is>
      </c>
      <c r="E37" s="2" t="inlineStr">
        <is>
          <t>TBC in project DCI/MCI</t>
        </is>
      </c>
      <c r="F37" s="2" t="inlineStr">
        <is>
          <t>TBC</t>
        </is>
      </c>
      <c r="G37" s="2" t="inlineStr">
        <is>
          <t>NOT SUBMITTED</t>
        </is>
      </c>
      <c r="H37" s="2" t="inlineStr">
        <is>
          <t>No signed approval evidence</t>
        </is>
      </c>
      <c r="I37" s="2" t="inlineStr">
        <is>
          <t>Engineering</t>
        </is>
      </c>
    </row>
    <row r="38">
      <c r="A38" s="2" t="inlineStr">
        <is>
          <t>SHV-B03-ANA-R0</t>
        </is>
      </c>
      <c r="B38" s="2" t="inlineStr">
        <is>
          <t>ICG-ICP UD</t>
        </is>
      </c>
      <c r="C38" s="2" t="inlineStr">
        <is>
          <t>Global bridge/serviceability/fatigue/VIV analysis</t>
        </is>
      </c>
      <c r="D38" s="2" t="inlineStr">
        <is>
          <t>DB/SUR accepted</t>
        </is>
      </c>
      <c r="E38" s="2" t="inlineStr">
        <is>
          <t>TBC in project DCI/MCI</t>
        </is>
      </c>
      <c r="F38" s="2" t="inlineStr">
        <is>
          <t>TBC</t>
        </is>
      </c>
      <c r="G38" s="2" t="inlineStr">
        <is>
          <t>NOT SUBMITTED</t>
        </is>
      </c>
      <c r="H38" s="2" t="inlineStr">
        <is>
          <t>No signed approval evidence</t>
        </is>
      </c>
      <c r="I38" s="2" t="inlineStr">
        <is>
          <t>Engineering</t>
        </is>
      </c>
    </row>
    <row r="39">
      <c r="A39" s="2" t="inlineStr">
        <is>
          <t>SHV-B03-PRE-R0</t>
        </is>
      </c>
      <c r="B39" s="2" t="inlineStr">
        <is>
          <t>ICG-ICP UD</t>
        </is>
      </c>
      <c r="C39" s="2" t="inlineStr">
        <is>
          <t>Preservice lift/transport/temporary-stage analysis</t>
        </is>
      </c>
      <c r="D39" s="2" t="inlineStr">
        <is>
          <t>Module envelope and vessel inputs</t>
        </is>
      </c>
      <c r="E39" s="2" t="inlineStr">
        <is>
          <t>TBC in project DCI/MCI</t>
        </is>
      </c>
      <c r="F39" s="2" t="inlineStr">
        <is>
          <t>TBC</t>
        </is>
      </c>
      <c r="G39" s="2" t="inlineStr">
        <is>
          <t>NOT SUBMITTED</t>
        </is>
      </c>
      <c r="H39" s="2" t="inlineStr">
        <is>
          <t>No signed approval evidence</t>
        </is>
      </c>
      <c r="I39" s="2" t="inlineStr">
        <is>
          <t>Engineering</t>
        </is>
      </c>
    </row>
    <row r="40">
      <c r="A40" s="2" t="inlineStr">
        <is>
          <t>SHV-B03-SUP-R0</t>
        </is>
      </c>
      <c r="B40" s="2" t="inlineStr">
        <is>
          <t>ICG-ICP UD</t>
        </is>
      </c>
      <c r="C40" s="2" t="inlineStr">
        <is>
          <t>Landing/deck/support and interface reaction report</t>
        </is>
      </c>
      <c r="D40" s="2" t="inlineStr">
        <is>
          <t>Bridge/piping reactions</t>
        </is>
      </c>
      <c r="E40" s="2" t="inlineStr">
        <is>
          <t>TBC in project DCI/MCI</t>
        </is>
      </c>
      <c r="F40" s="2" t="inlineStr">
        <is>
          <t>TBC</t>
        </is>
      </c>
      <c r="G40" s="2" t="inlineStr">
        <is>
          <t>NOT SUBMITTED</t>
        </is>
      </c>
      <c r="H40" s="2" t="inlineStr">
        <is>
          <t>No signed approval evidence</t>
        </is>
      </c>
      <c r="I40" s="2" t="inlineStr">
        <is>
          <t>Engineering</t>
        </is>
      </c>
    </row>
    <row r="41">
      <c r="A41" s="2" t="inlineStr">
        <is>
          <t>SHV-B03-JNT-R0</t>
        </is>
      </c>
      <c r="B41" s="2" t="inlineStr">
        <is>
          <t>ICG-ICP UD</t>
        </is>
      </c>
      <c r="C41" s="2" t="inlineStr">
        <is>
          <t>Connection/member/bearing check report</t>
        </is>
      </c>
      <c r="D41" s="2" t="inlineStr">
        <is>
          <t>Global forces and verified materials</t>
        </is>
      </c>
      <c r="E41" s="2" t="inlineStr">
        <is>
          <t>TBC in project DCI/MCI</t>
        </is>
      </c>
      <c r="F41" s="2" t="inlineStr">
        <is>
          <t>TBC</t>
        </is>
      </c>
      <c r="G41" s="2" t="inlineStr">
        <is>
          <t>NOT SUBMITTED</t>
        </is>
      </c>
      <c r="H41" s="2" t="inlineStr">
        <is>
          <t>No signed approval evidence</t>
        </is>
      </c>
      <c r="I41" s="2" t="inlineStr">
        <is>
          <t>Engineering</t>
        </is>
      </c>
    </row>
    <row r="42">
      <c r="A42" s="2" t="inlineStr">
        <is>
          <t>SHV-B03-GA-R0</t>
        </is>
      </c>
      <c r="B42" s="2" t="inlineStr">
        <is>
          <t>ICG-ICP UD</t>
        </is>
      </c>
      <c r="C42" s="2" t="inlineStr">
        <is>
          <t>General arrangement and geometry details</t>
        </is>
      </c>
      <c r="D42" s="2" t="inlineStr">
        <is>
          <t>Accepted mother analysis</t>
        </is>
      </c>
      <c r="E42" s="2" t="inlineStr">
        <is>
          <t>TBC in project DCI/MCI</t>
        </is>
      </c>
      <c r="F42" s="2" t="inlineStr">
        <is>
          <t>TBC</t>
        </is>
      </c>
      <c r="G42" s="2" t="inlineStr">
        <is>
          <t>NOT SUBMITTED</t>
        </is>
      </c>
      <c r="H42" s="2" t="inlineStr">
        <is>
          <t>No signed approval evidence</t>
        </is>
      </c>
      <c r="I42" s="2" t="inlineStr">
        <is>
          <t>Engineering</t>
        </is>
      </c>
    </row>
    <row r="43">
      <c r="A43" s="2" t="inlineStr">
        <is>
          <t>SHV-B03-SHOP-R0</t>
        </is>
      </c>
      <c r="B43" s="2" t="inlineStr">
        <is>
          <t>ICG-ICP UD</t>
        </is>
      </c>
      <c r="C43" s="2" t="inlineStr">
        <is>
          <t>Shop member, weld, joint and erection details</t>
        </is>
      </c>
      <c r="D43" s="2" t="inlineStr">
        <is>
          <t>GA and checked connection calculations</t>
        </is>
      </c>
      <c r="E43" s="2" t="inlineStr">
        <is>
          <t>TBC in project DCI/MCI</t>
        </is>
      </c>
      <c r="F43" s="2" t="inlineStr">
        <is>
          <t>TBC</t>
        </is>
      </c>
      <c r="G43" s="2" t="inlineStr">
        <is>
          <t>NOT SUBMITTED</t>
        </is>
      </c>
      <c r="H43" s="2" t="inlineStr">
        <is>
          <t>No signed approval evidence</t>
        </is>
      </c>
      <c r="I43" s="2" t="inlineStr">
        <is>
          <t>Engineering</t>
        </is>
      </c>
    </row>
    <row r="44">
      <c r="A44" s="2" t="inlineStr">
        <is>
          <t>SHV-B03-BRG-R0</t>
        </is>
      </c>
      <c r="B44" s="2" t="inlineStr">
        <is>
          <t>ICG-ICP UD</t>
        </is>
      </c>
      <c r="C44" s="2" t="inlineStr">
        <is>
          <t>Bearing, guides, setting and restraints</t>
        </is>
      </c>
      <c r="D44" s="2" t="inlineStr">
        <is>
          <t>Movement/thrust and temperature envelope</t>
        </is>
      </c>
      <c r="E44" s="2" t="inlineStr">
        <is>
          <t>TBC in project DCI/MCI</t>
        </is>
      </c>
      <c r="F44" s="2" t="inlineStr">
        <is>
          <t>TBC</t>
        </is>
      </c>
      <c r="G44" s="2" t="inlineStr">
        <is>
          <t>NOT SUBMITTED</t>
        </is>
      </c>
      <c r="H44" s="2" t="inlineStr">
        <is>
          <t>No signed approval evidence</t>
        </is>
      </c>
      <c r="I44" s="2" t="inlineStr">
        <is>
          <t>Engineering</t>
        </is>
      </c>
    </row>
    <row r="45">
      <c r="A45" s="2" t="inlineStr">
        <is>
          <t>SHV-B03-TMP-R0</t>
        </is>
      </c>
      <c r="B45" s="2" t="inlineStr">
        <is>
          <t>ICG-ICP UD</t>
        </is>
      </c>
      <c r="C45" s="2" t="inlineStr">
        <is>
          <t>Temporary supports/stability and strengthening details</t>
        </is>
      </c>
      <c r="D45" s="2" t="inlineStr">
        <is>
          <t>Stage analyses and surveyed condition</t>
        </is>
      </c>
      <c r="E45" s="2" t="inlineStr">
        <is>
          <t>TBC in project DCI/MCI</t>
        </is>
      </c>
      <c r="F45" s="2" t="inlineStr">
        <is>
          <t>TBC</t>
        </is>
      </c>
      <c r="G45" s="2" t="inlineStr">
        <is>
          <t>NOT SUBMITTED</t>
        </is>
      </c>
      <c r="H45" s="2" t="inlineStr">
        <is>
          <t>No signed approval evidence</t>
        </is>
      </c>
      <c r="I45" s="2" t="inlineStr">
        <is>
          <t>Engineering</t>
        </is>
      </c>
    </row>
    <row r="46">
      <c r="A46" s="2" t="inlineStr">
        <is>
          <t>SHV-B03-LFT-R0</t>
        </is>
      </c>
      <c r="B46" s="2" t="inlineStr">
        <is>
          <t>ICG-ICP UD</t>
        </is>
      </c>
      <c r="C46" s="2" t="inlineStr">
        <is>
          <t>Lift/rigging/padeye/loadout procedure and drawings</t>
        </is>
      </c>
      <c r="D46" s="2" t="inlineStr">
        <is>
          <t>PRE/vessel/weight/COG</t>
        </is>
      </c>
      <c r="E46" s="2" t="inlineStr">
        <is>
          <t>TBC in project DCI/MCI</t>
        </is>
      </c>
      <c r="F46" s="2" t="inlineStr">
        <is>
          <t>TBC</t>
        </is>
      </c>
      <c r="G46" s="2" t="inlineStr">
        <is>
          <t>NOT SUBMITTED</t>
        </is>
      </c>
      <c r="H46" s="2" t="inlineStr">
        <is>
          <t>No signed approval evidence</t>
        </is>
      </c>
      <c r="I46" s="2" t="inlineStr">
        <is>
          <t>Engineering</t>
        </is>
      </c>
    </row>
    <row r="47">
      <c r="A47" s="2" t="inlineStr">
        <is>
          <t>SHV-B03-MTO-R0</t>
        </is>
      </c>
      <c r="B47" s="2" t="inlineStr">
        <is>
          <t>ICG-ICP UD</t>
        </is>
      </c>
      <c r="C47" s="2" t="inlineStr">
        <is>
          <t>Detailed structural and services MTO</t>
        </is>
      </c>
      <c r="D47" s="2" t="inlineStr">
        <is>
          <t>Released details and class specifications</t>
        </is>
      </c>
      <c r="E47" s="2" t="inlineStr">
        <is>
          <t>TBC in project DCI/MCI</t>
        </is>
      </c>
      <c r="F47" s="2" t="inlineStr">
        <is>
          <t>TBC</t>
        </is>
      </c>
      <c r="G47" s="2" t="inlineStr">
        <is>
          <t>NOT SUBMITTED</t>
        </is>
      </c>
      <c r="H47" s="2" t="inlineStr">
        <is>
          <t>No signed approval evidence</t>
        </is>
      </c>
      <c r="I47" s="2" t="inlineStr">
        <is>
          <t>Engineering</t>
        </is>
      </c>
    </row>
    <row r="48">
      <c r="A48" s="2" t="inlineStr">
        <is>
          <t>SHV-B03-IWP-R0</t>
        </is>
      </c>
      <c r="B48" s="2" t="inlineStr">
        <is>
          <t>ICG-ICP UD</t>
        </is>
      </c>
      <c r="C48" s="2" t="inlineStr">
        <is>
          <t>Installation/service-transfer/demolition work pack</t>
        </is>
      </c>
      <c r="D48" s="2" t="inlineStr">
        <is>
          <t>Design, material, access and approved sequence</t>
        </is>
      </c>
      <c r="E48" s="2" t="inlineStr">
        <is>
          <t>TBC in project DCI/MCI</t>
        </is>
      </c>
      <c r="F48" s="2" t="inlineStr">
        <is>
          <t>TBC</t>
        </is>
      </c>
      <c r="G48" s="2" t="inlineStr">
        <is>
          <t>NOT SUBMITTED</t>
        </is>
      </c>
      <c r="H48" s="2" t="inlineStr">
        <is>
          <t>No signed approval evidence</t>
        </is>
      </c>
      <c r="I48" s="2" t="inlineStr">
        <is>
          <t>Engineering</t>
        </is>
      </c>
    </row>
    <row r="49">
      <c r="A49" s="2" t="inlineStr">
        <is>
          <t>SHV-B03-ITP-R0</t>
        </is>
      </c>
      <c r="B49" s="2" t="inlineStr">
        <is>
          <t>ICG-ICP UD</t>
        </is>
      </c>
      <c r="C49" s="2" t="inlineStr">
        <is>
          <t>Inspection and test plan/records index</t>
        </is>
      </c>
      <c r="D49" s="2" t="inlineStr">
        <is>
          <t>Applicable QA specifications</t>
        </is>
      </c>
      <c r="E49" s="2" t="inlineStr">
        <is>
          <t>TBC in project DCI/MCI</t>
        </is>
      </c>
      <c r="F49" s="2" t="inlineStr">
        <is>
          <t>TBC</t>
        </is>
      </c>
      <c r="G49" s="2" t="inlineStr">
        <is>
          <t>NOT SUBMITTED</t>
        </is>
      </c>
      <c r="H49" s="2" t="inlineStr">
        <is>
          <t>No signed approval evidence</t>
        </is>
      </c>
      <c r="I49" s="2" t="inlineStr">
        <is>
          <t>QA/Completions</t>
        </is>
      </c>
    </row>
    <row r="50">
      <c r="A50" s="2" t="inlineStr">
        <is>
          <t>SHV-B03-TEST-R0</t>
        </is>
      </c>
      <c r="B50" s="2" t="inlineStr">
        <is>
          <t>ICG-ICP UD</t>
        </is>
      </c>
      <c r="C50" s="2" t="inlineStr">
        <is>
          <t>Service reinstatement and acceptance procedures</t>
        </is>
      </c>
      <c r="D50" s="2" t="inlineStr">
        <is>
          <t>Approved system boundaries</t>
        </is>
      </c>
      <c r="E50" s="2" t="inlineStr">
        <is>
          <t>TBC in project DCI/MCI</t>
        </is>
      </c>
      <c r="F50" s="2" t="inlineStr">
        <is>
          <t>TBC</t>
        </is>
      </c>
      <c r="G50" s="2" t="inlineStr">
        <is>
          <t>NOT SUBMITTED</t>
        </is>
      </c>
      <c r="H50" s="2" t="inlineStr">
        <is>
          <t>No signed approval evidence</t>
        </is>
      </c>
      <c r="I50" s="2" t="inlineStr">
        <is>
          <t>Engineering</t>
        </is>
      </c>
    </row>
    <row r="51">
      <c r="A51" s="2" t="inlineStr">
        <is>
          <t>SHV-B03-ASB-R0</t>
        </is>
      </c>
      <c r="B51" s="2" t="inlineStr">
        <is>
          <t>ICG-ICP UD</t>
        </is>
      </c>
      <c r="C51" s="2" t="inlineStr">
        <is>
          <t>As-built/native model/vendor dossier</t>
        </is>
      </c>
      <c r="D51" s="2" t="inlineStr">
        <is>
          <t>Verified final configuration</t>
        </is>
      </c>
      <c r="E51" s="2" t="inlineStr">
        <is>
          <t>TBC in project DCI/MCI</t>
        </is>
      </c>
      <c r="F51" s="2" t="inlineStr">
        <is>
          <t>TBC</t>
        </is>
      </c>
      <c r="G51" s="2" t="inlineStr">
        <is>
          <t>NOT SUBMITTED</t>
        </is>
      </c>
      <c r="H51" s="2" t="inlineStr">
        <is>
          <t>No signed approval evidence</t>
        </is>
      </c>
      <c r="I51" s="2" t="inlineStr">
        <is>
          <t>Engineering</t>
        </is>
      </c>
    </row>
    <row r="52">
      <c r="A52" s="2" t="inlineStr">
        <is>
          <t>SHV-B03-TO-R0</t>
        </is>
      </c>
      <c r="B52" s="2" t="inlineStr">
        <is>
          <t>ICG-ICP UD</t>
        </is>
      </c>
      <c r="C52" s="2" t="inlineStr">
        <is>
          <t>Turnover and acceptance dossier</t>
        </is>
      </c>
      <c r="D52" s="2" t="inlineStr">
        <is>
          <t>Completed records/punch closure</t>
        </is>
      </c>
      <c r="E52" s="2" t="inlineStr">
        <is>
          <t>TBC in project DCI/MCI</t>
        </is>
      </c>
      <c r="F52" s="2" t="inlineStr">
        <is>
          <t>TBC</t>
        </is>
      </c>
      <c r="G52" s="2" t="inlineStr">
        <is>
          <t>NOT SUBMITTED</t>
        </is>
      </c>
      <c r="H52" s="2" t="inlineStr">
        <is>
          <t>No signed approval evidence</t>
        </is>
      </c>
      <c r="I52" s="2" t="inlineStr">
        <is>
          <t>QA/Completions</t>
        </is>
      </c>
    </row>
    <row r="53">
      <c r="A53" s="2" t="inlineStr">
        <is>
          <t>SHV-B04-DB-R0</t>
        </is>
      </c>
      <c r="B53" s="2" t="inlineStr">
        <is>
          <t>ICG-ICP LD</t>
        </is>
      </c>
      <c r="C53" s="2" t="inlineStr">
        <is>
          <t>Bridge-specific design basis</t>
        </is>
      </c>
      <c r="D53" s="2" t="inlineStr">
        <is>
          <t>Survey and controlling criteria</t>
        </is>
      </c>
      <c r="E53" s="2" t="inlineStr">
        <is>
          <t>TBC in project DCI/MCI</t>
        </is>
      </c>
      <c r="F53" s="2" t="inlineStr">
        <is>
          <t>TBC</t>
        </is>
      </c>
      <c r="G53" s="2" t="inlineStr">
        <is>
          <t>NOT SUBMITTED</t>
        </is>
      </c>
      <c r="H53" s="2" t="inlineStr">
        <is>
          <t>No signed approval evidence</t>
        </is>
      </c>
      <c r="I53" s="2" t="inlineStr">
        <is>
          <t>Engineering</t>
        </is>
      </c>
    </row>
    <row r="54">
      <c r="A54" s="2" t="inlineStr">
        <is>
          <t>SHV-B04-SUR-R0</t>
        </is>
      </c>
      <c r="B54" s="2" t="inlineStr">
        <is>
          <t>ICG-ICP LD</t>
        </is>
      </c>
      <c r="C54" s="2" t="inlineStr">
        <is>
          <t>Pre-engineering/condition survey dossier</t>
        </is>
      </c>
      <c r="D54" s="2" t="inlineStr">
        <is>
          <t>Access, survey and NDT</t>
        </is>
      </c>
      <c r="E54" s="2" t="inlineStr">
        <is>
          <t>TBC in project DCI/MCI</t>
        </is>
      </c>
      <c r="F54" s="2" t="inlineStr">
        <is>
          <t>TBC</t>
        </is>
      </c>
      <c r="G54" s="2" t="inlineStr">
        <is>
          <t>NOT SUBMITTED</t>
        </is>
      </c>
      <c r="H54" s="2" t="inlineStr">
        <is>
          <t>No signed approval evidence</t>
        </is>
      </c>
      <c r="I54" s="2" t="inlineStr">
        <is>
          <t>Engineering</t>
        </is>
      </c>
    </row>
    <row r="55">
      <c r="A55" s="2" t="inlineStr">
        <is>
          <t>SHV-B04-ANA-R0</t>
        </is>
      </c>
      <c r="B55" s="2" t="inlineStr">
        <is>
          <t>ICG-ICP LD</t>
        </is>
      </c>
      <c r="C55" s="2" t="inlineStr">
        <is>
          <t>Global bridge/serviceability/fatigue/VIV analysis</t>
        </is>
      </c>
      <c r="D55" s="2" t="inlineStr">
        <is>
          <t>DB/SUR accepted</t>
        </is>
      </c>
      <c r="E55" s="2" t="inlineStr">
        <is>
          <t>TBC in project DCI/MCI</t>
        </is>
      </c>
      <c r="F55" s="2" t="inlineStr">
        <is>
          <t>TBC</t>
        </is>
      </c>
      <c r="G55" s="2" t="inlineStr">
        <is>
          <t>NOT SUBMITTED</t>
        </is>
      </c>
      <c r="H55" s="2" t="inlineStr">
        <is>
          <t>No signed approval evidence</t>
        </is>
      </c>
      <c r="I55" s="2" t="inlineStr">
        <is>
          <t>Engineering</t>
        </is>
      </c>
    </row>
    <row r="56">
      <c r="A56" s="2" t="inlineStr">
        <is>
          <t>SHV-B04-PRE-R0</t>
        </is>
      </c>
      <c r="B56" s="2" t="inlineStr">
        <is>
          <t>ICG-ICP LD</t>
        </is>
      </c>
      <c r="C56" s="2" t="inlineStr">
        <is>
          <t>Preservice lift/transport/temporary-stage analysis</t>
        </is>
      </c>
      <c r="D56" s="2" t="inlineStr">
        <is>
          <t>Module envelope and vessel inputs</t>
        </is>
      </c>
      <c r="E56" s="2" t="inlineStr">
        <is>
          <t>TBC in project DCI/MCI</t>
        </is>
      </c>
      <c r="F56" s="2" t="inlineStr">
        <is>
          <t>TBC</t>
        </is>
      </c>
      <c r="G56" s="2" t="inlineStr">
        <is>
          <t>NOT SUBMITTED</t>
        </is>
      </c>
      <c r="H56" s="2" t="inlineStr">
        <is>
          <t>No signed approval evidence</t>
        </is>
      </c>
      <c r="I56" s="2" t="inlineStr">
        <is>
          <t>Engineering</t>
        </is>
      </c>
    </row>
    <row r="57">
      <c r="A57" s="2" t="inlineStr">
        <is>
          <t>SHV-B04-SUP-R0</t>
        </is>
      </c>
      <c r="B57" s="2" t="inlineStr">
        <is>
          <t>ICG-ICP LD</t>
        </is>
      </c>
      <c r="C57" s="2" t="inlineStr">
        <is>
          <t>Landing/deck/support and interface reaction report</t>
        </is>
      </c>
      <c r="D57" s="2" t="inlineStr">
        <is>
          <t>Bridge/piping reactions</t>
        </is>
      </c>
      <c r="E57" s="2" t="inlineStr">
        <is>
          <t>TBC in project DCI/MCI</t>
        </is>
      </c>
      <c r="F57" s="2" t="inlineStr">
        <is>
          <t>TBC</t>
        </is>
      </c>
      <c r="G57" s="2" t="inlineStr">
        <is>
          <t>NOT SUBMITTED</t>
        </is>
      </c>
      <c r="H57" s="2" t="inlineStr">
        <is>
          <t>No signed approval evidence</t>
        </is>
      </c>
      <c r="I57" s="2" t="inlineStr">
        <is>
          <t>Engineering</t>
        </is>
      </c>
    </row>
    <row r="58">
      <c r="A58" s="2" t="inlineStr">
        <is>
          <t>SHV-B04-JNT-R0</t>
        </is>
      </c>
      <c r="B58" s="2" t="inlineStr">
        <is>
          <t>ICG-ICP LD</t>
        </is>
      </c>
      <c r="C58" s="2" t="inlineStr">
        <is>
          <t>Connection/member/bearing check report</t>
        </is>
      </c>
      <c r="D58" s="2" t="inlineStr">
        <is>
          <t>Global forces and verified materials</t>
        </is>
      </c>
      <c r="E58" s="2" t="inlineStr">
        <is>
          <t>TBC in project DCI/MCI</t>
        </is>
      </c>
      <c r="F58" s="2" t="inlineStr">
        <is>
          <t>TBC</t>
        </is>
      </c>
      <c r="G58" s="2" t="inlineStr">
        <is>
          <t>NOT SUBMITTED</t>
        </is>
      </c>
      <c r="H58" s="2" t="inlineStr">
        <is>
          <t>No signed approval evidence</t>
        </is>
      </c>
      <c r="I58" s="2" t="inlineStr">
        <is>
          <t>Engineering</t>
        </is>
      </c>
    </row>
    <row r="59">
      <c r="A59" s="2" t="inlineStr">
        <is>
          <t>SHV-B04-GA-R0</t>
        </is>
      </c>
      <c r="B59" s="2" t="inlineStr">
        <is>
          <t>ICG-ICP LD</t>
        </is>
      </c>
      <c r="C59" s="2" t="inlineStr">
        <is>
          <t>General arrangement and geometry details</t>
        </is>
      </c>
      <c r="D59" s="2" t="inlineStr">
        <is>
          <t>Accepted mother analysis</t>
        </is>
      </c>
      <c r="E59" s="2" t="inlineStr">
        <is>
          <t>TBC in project DCI/MCI</t>
        </is>
      </c>
      <c r="F59" s="2" t="inlineStr">
        <is>
          <t>TBC</t>
        </is>
      </c>
      <c r="G59" s="2" t="inlineStr">
        <is>
          <t>NOT SUBMITTED</t>
        </is>
      </c>
      <c r="H59" s="2" t="inlineStr">
        <is>
          <t>No signed approval evidence</t>
        </is>
      </c>
      <c r="I59" s="2" t="inlineStr">
        <is>
          <t>Engineering</t>
        </is>
      </c>
    </row>
    <row r="60">
      <c r="A60" s="2" t="inlineStr">
        <is>
          <t>SHV-B04-SHOP-R0</t>
        </is>
      </c>
      <c r="B60" s="2" t="inlineStr">
        <is>
          <t>ICG-ICP LD</t>
        </is>
      </c>
      <c r="C60" s="2" t="inlineStr">
        <is>
          <t>Shop member, weld, joint and erection details</t>
        </is>
      </c>
      <c r="D60" s="2" t="inlineStr">
        <is>
          <t>GA and checked connection calculations</t>
        </is>
      </c>
      <c r="E60" s="2" t="inlineStr">
        <is>
          <t>TBC in project DCI/MCI</t>
        </is>
      </c>
      <c r="F60" s="2" t="inlineStr">
        <is>
          <t>TBC</t>
        </is>
      </c>
      <c r="G60" s="2" t="inlineStr">
        <is>
          <t>NOT SUBMITTED</t>
        </is>
      </c>
      <c r="H60" s="2" t="inlineStr">
        <is>
          <t>No signed approval evidence</t>
        </is>
      </c>
      <c r="I60" s="2" t="inlineStr">
        <is>
          <t>Engineering</t>
        </is>
      </c>
    </row>
    <row r="61">
      <c r="A61" s="2" t="inlineStr">
        <is>
          <t>SHV-B04-BRG-R0</t>
        </is>
      </c>
      <c r="B61" s="2" t="inlineStr">
        <is>
          <t>ICG-ICP LD</t>
        </is>
      </c>
      <c r="C61" s="2" t="inlineStr">
        <is>
          <t>Bearing, guides, setting and restraints</t>
        </is>
      </c>
      <c r="D61" s="2" t="inlineStr">
        <is>
          <t>Movement/thrust and temperature envelope</t>
        </is>
      </c>
      <c r="E61" s="2" t="inlineStr">
        <is>
          <t>TBC in project DCI/MCI</t>
        </is>
      </c>
      <c r="F61" s="2" t="inlineStr">
        <is>
          <t>TBC</t>
        </is>
      </c>
      <c r="G61" s="2" t="inlineStr">
        <is>
          <t>NOT SUBMITTED</t>
        </is>
      </c>
      <c r="H61" s="2" t="inlineStr">
        <is>
          <t>No signed approval evidence</t>
        </is>
      </c>
      <c r="I61" s="2" t="inlineStr">
        <is>
          <t>Engineering</t>
        </is>
      </c>
    </row>
    <row r="62">
      <c r="A62" s="2" t="inlineStr">
        <is>
          <t>SHV-B04-TMP-R0</t>
        </is>
      </c>
      <c r="B62" s="2" t="inlineStr">
        <is>
          <t>ICG-ICP LD</t>
        </is>
      </c>
      <c r="C62" s="2" t="inlineStr">
        <is>
          <t>Temporary supports/stability and strengthening details</t>
        </is>
      </c>
      <c r="D62" s="2" t="inlineStr">
        <is>
          <t>Stage analyses and surveyed condition</t>
        </is>
      </c>
      <c r="E62" s="2" t="inlineStr">
        <is>
          <t>TBC in project DCI/MCI</t>
        </is>
      </c>
      <c r="F62" s="2" t="inlineStr">
        <is>
          <t>TBC</t>
        </is>
      </c>
      <c r="G62" s="2" t="inlineStr">
        <is>
          <t>NOT SUBMITTED</t>
        </is>
      </c>
      <c r="H62" s="2" t="inlineStr">
        <is>
          <t>No signed approval evidence</t>
        </is>
      </c>
      <c r="I62" s="2" t="inlineStr">
        <is>
          <t>Engineering</t>
        </is>
      </c>
    </row>
    <row r="63">
      <c r="A63" s="2" t="inlineStr">
        <is>
          <t>SHV-B04-LFT-R0</t>
        </is>
      </c>
      <c r="B63" s="2" t="inlineStr">
        <is>
          <t>ICG-ICP LD</t>
        </is>
      </c>
      <c r="C63" s="2" t="inlineStr">
        <is>
          <t>Lift/rigging/padeye/loadout procedure and drawings</t>
        </is>
      </c>
      <c r="D63" s="2" t="inlineStr">
        <is>
          <t>PRE/vessel/weight/COG</t>
        </is>
      </c>
      <c r="E63" s="2" t="inlineStr">
        <is>
          <t>TBC in project DCI/MCI</t>
        </is>
      </c>
      <c r="F63" s="2" t="inlineStr">
        <is>
          <t>TBC</t>
        </is>
      </c>
      <c r="G63" s="2" t="inlineStr">
        <is>
          <t>NOT SUBMITTED</t>
        </is>
      </c>
      <c r="H63" s="2" t="inlineStr">
        <is>
          <t>No signed approval evidence</t>
        </is>
      </c>
      <c r="I63" s="2" t="inlineStr">
        <is>
          <t>Engineering</t>
        </is>
      </c>
    </row>
    <row r="64">
      <c r="A64" s="2" t="inlineStr">
        <is>
          <t>SHV-B04-MTO-R0</t>
        </is>
      </c>
      <c r="B64" s="2" t="inlineStr">
        <is>
          <t>ICG-ICP LD</t>
        </is>
      </c>
      <c r="C64" s="2" t="inlineStr">
        <is>
          <t>Detailed structural and services MTO</t>
        </is>
      </c>
      <c r="D64" s="2" t="inlineStr">
        <is>
          <t>Released details and class specifications</t>
        </is>
      </c>
      <c r="E64" s="2" t="inlineStr">
        <is>
          <t>TBC in project DCI/MCI</t>
        </is>
      </c>
      <c r="F64" s="2" t="inlineStr">
        <is>
          <t>TBC</t>
        </is>
      </c>
      <c r="G64" s="2" t="inlineStr">
        <is>
          <t>NOT SUBMITTED</t>
        </is>
      </c>
      <c r="H64" s="2" t="inlineStr">
        <is>
          <t>No signed approval evidence</t>
        </is>
      </c>
      <c r="I64" s="2" t="inlineStr">
        <is>
          <t>Engineering</t>
        </is>
      </c>
    </row>
    <row r="65">
      <c r="A65" s="2" t="inlineStr">
        <is>
          <t>SHV-B04-IWP-R0</t>
        </is>
      </c>
      <c r="B65" s="2" t="inlineStr">
        <is>
          <t>ICG-ICP LD</t>
        </is>
      </c>
      <c r="C65" s="2" t="inlineStr">
        <is>
          <t>Installation/service-transfer/demolition work pack</t>
        </is>
      </c>
      <c r="D65" s="2" t="inlineStr">
        <is>
          <t>Design, material, access and approved sequence</t>
        </is>
      </c>
      <c r="E65" s="2" t="inlineStr">
        <is>
          <t>TBC in project DCI/MCI</t>
        </is>
      </c>
      <c r="F65" s="2" t="inlineStr">
        <is>
          <t>TBC</t>
        </is>
      </c>
      <c r="G65" s="2" t="inlineStr">
        <is>
          <t>NOT SUBMITTED</t>
        </is>
      </c>
      <c r="H65" s="2" t="inlineStr">
        <is>
          <t>No signed approval evidence</t>
        </is>
      </c>
      <c r="I65" s="2" t="inlineStr">
        <is>
          <t>Engineering</t>
        </is>
      </c>
    </row>
    <row r="66">
      <c r="A66" s="2" t="inlineStr">
        <is>
          <t>SHV-B04-ITP-R0</t>
        </is>
      </c>
      <c r="B66" s="2" t="inlineStr">
        <is>
          <t>ICG-ICP LD</t>
        </is>
      </c>
      <c r="C66" s="2" t="inlineStr">
        <is>
          <t>Inspection and test plan/records index</t>
        </is>
      </c>
      <c r="D66" s="2" t="inlineStr">
        <is>
          <t>Applicable QA specifications</t>
        </is>
      </c>
      <c r="E66" s="2" t="inlineStr">
        <is>
          <t>TBC in project DCI/MCI</t>
        </is>
      </c>
      <c r="F66" s="2" t="inlineStr">
        <is>
          <t>TBC</t>
        </is>
      </c>
      <c r="G66" s="2" t="inlineStr">
        <is>
          <t>NOT SUBMITTED</t>
        </is>
      </c>
      <c r="H66" s="2" t="inlineStr">
        <is>
          <t>No signed approval evidence</t>
        </is>
      </c>
      <c r="I66" s="2" t="inlineStr">
        <is>
          <t>QA/Completions</t>
        </is>
      </c>
    </row>
    <row r="67">
      <c r="A67" s="2" t="inlineStr">
        <is>
          <t>SHV-B04-TEST-R0</t>
        </is>
      </c>
      <c r="B67" s="2" t="inlineStr">
        <is>
          <t>ICG-ICP LD</t>
        </is>
      </c>
      <c r="C67" s="2" t="inlineStr">
        <is>
          <t>Service reinstatement and acceptance procedures</t>
        </is>
      </c>
      <c r="D67" s="2" t="inlineStr">
        <is>
          <t>Approved system boundaries</t>
        </is>
      </c>
      <c r="E67" s="2" t="inlineStr">
        <is>
          <t>TBC in project DCI/MCI</t>
        </is>
      </c>
      <c r="F67" s="2" t="inlineStr">
        <is>
          <t>TBC</t>
        </is>
      </c>
      <c r="G67" s="2" t="inlineStr">
        <is>
          <t>NOT SUBMITTED</t>
        </is>
      </c>
      <c r="H67" s="2" t="inlineStr">
        <is>
          <t>No signed approval evidence</t>
        </is>
      </c>
      <c r="I67" s="2" t="inlineStr">
        <is>
          <t>Engineering</t>
        </is>
      </c>
    </row>
    <row r="68">
      <c r="A68" s="2" t="inlineStr">
        <is>
          <t>SHV-B04-ASB-R0</t>
        </is>
      </c>
      <c r="B68" s="2" t="inlineStr">
        <is>
          <t>ICG-ICP LD</t>
        </is>
      </c>
      <c r="C68" s="2" t="inlineStr">
        <is>
          <t>As-built/native model/vendor dossier</t>
        </is>
      </c>
      <c r="D68" s="2" t="inlineStr">
        <is>
          <t>Verified final configuration</t>
        </is>
      </c>
      <c r="E68" s="2" t="inlineStr">
        <is>
          <t>TBC in project DCI/MCI</t>
        </is>
      </c>
      <c r="F68" s="2" t="inlineStr">
        <is>
          <t>TBC</t>
        </is>
      </c>
      <c r="G68" s="2" t="inlineStr">
        <is>
          <t>NOT SUBMITTED</t>
        </is>
      </c>
      <c r="H68" s="2" t="inlineStr">
        <is>
          <t>No signed approval evidence</t>
        </is>
      </c>
      <c r="I68" s="2" t="inlineStr">
        <is>
          <t>Engineering</t>
        </is>
      </c>
    </row>
    <row r="69">
      <c r="A69" s="2" t="inlineStr">
        <is>
          <t>SHV-B04-TO-R0</t>
        </is>
      </c>
      <c r="B69" s="2" t="inlineStr">
        <is>
          <t>ICG-ICP LD</t>
        </is>
      </c>
      <c r="C69" s="2" t="inlineStr">
        <is>
          <t>Turnover and acceptance dossier</t>
        </is>
      </c>
      <c r="D69" s="2" t="inlineStr">
        <is>
          <t>Completed records/punch closure</t>
        </is>
      </c>
      <c r="E69" s="2" t="inlineStr">
        <is>
          <t>TBC in project DCI/MCI</t>
        </is>
      </c>
      <c r="F69" s="2" t="inlineStr">
        <is>
          <t>TBC</t>
        </is>
      </c>
      <c r="G69" s="2" t="inlineStr">
        <is>
          <t>NOT SUBMITTED</t>
        </is>
      </c>
      <c r="H69" s="2" t="inlineStr">
        <is>
          <t>No signed approval evidence</t>
        </is>
      </c>
      <c r="I69" s="2" t="inlineStr">
        <is>
          <t>QA/Completions</t>
        </is>
      </c>
    </row>
    <row r="70">
      <c r="A70" s="2" t="inlineStr">
        <is>
          <t>SHV-B05-DB-R0</t>
        </is>
      </c>
      <c r="B70" s="2" t="inlineStr">
        <is>
          <t>BHS-SLQ</t>
        </is>
      </c>
      <c r="C70" s="2" t="inlineStr">
        <is>
          <t>Bridge-specific design basis</t>
        </is>
      </c>
      <c r="D70" s="2" t="inlineStr">
        <is>
          <t>Survey and controlling criteria</t>
        </is>
      </c>
      <c r="E70" s="2" t="inlineStr">
        <is>
          <t>TBC in project DCI/MCI</t>
        </is>
      </c>
      <c r="F70" s="2" t="inlineStr">
        <is>
          <t>TBC</t>
        </is>
      </c>
      <c r="G70" s="2" t="inlineStr">
        <is>
          <t>NOT SUBMITTED</t>
        </is>
      </c>
      <c r="H70" s="2" t="inlineStr">
        <is>
          <t>No signed approval evidence</t>
        </is>
      </c>
      <c r="I70" s="2" t="inlineStr">
        <is>
          <t>Engineering</t>
        </is>
      </c>
    </row>
    <row r="71">
      <c r="A71" s="2" t="inlineStr">
        <is>
          <t>SHV-B05-SUR-R0</t>
        </is>
      </c>
      <c r="B71" s="2" t="inlineStr">
        <is>
          <t>BHS-SLQ</t>
        </is>
      </c>
      <c r="C71" s="2" t="inlineStr">
        <is>
          <t>Pre-engineering/condition survey dossier</t>
        </is>
      </c>
      <c r="D71" s="2" t="inlineStr">
        <is>
          <t>Access, survey and NDT</t>
        </is>
      </c>
      <c r="E71" s="2" t="inlineStr">
        <is>
          <t>TBC in project DCI/MCI</t>
        </is>
      </c>
      <c r="F71" s="2" t="inlineStr">
        <is>
          <t>TBC</t>
        </is>
      </c>
      <c r="G71" s="2" t="inlineStr">
        <is>
          <t>NOT SUBMITTED</t>
        </is>
      </c>
      <c r="H71" s="2" t="inlineStr">
        <is>
          <t>No signed approval evidence</t>
        </is>
      </c>
      <c r="I71" s="2" t="inlineStr">
        <is>
          <t>Engineering</t>
        </is>
      </c>
    </row>
    <row r="72">
      <c r="A72" s="2" t="inlineStr">
        <is>
          <t>SHV-B05-ANA-R0</t>
        </is>
      </c>
      <c r="B72" s="2" t="inlineStr">
        <is>
          <t>BHS-SLQ</t>
        </is>
      </c>
      <c r="C72" s="2" t="inlineStr">
        <is>
          <t>Global bridge/serviceability/fatigue/VIV analysis</t>
        </is>
      </c>
      <c r="D72" s="2" t="inlineStr">
        <is>
          <t>DB/SUR accepted</t>
        </is>
      </c>
      <c r="E72" s="2" t="inlineStr">
        <is>
          <t>TBC in project DCI/MCI</t>
        </is>
      </c>
      <c r="F72" s="2" t="inlineStr">
        <is>
          <t>TBC</t>
        </is>
      </c>
      <c r="G72" s="2" t="inlineStr">
        <is>
          <t>NOT SUBMITTED</t>
        </is>
      </c>
      <c r="H72" s="2" t="inlineStr">
        <is>
          <t>No signed approval evidence</t>
        </is>
      </c>
      <c r="I72" s="2" t="inlineStr">
        <is>
          <t>Engineering</t>
        </is>
      </c>
    </row>
    <row r="73">
      <c r="A73" s="2" t="inlineStr">
        <is>
          <t>SHV-B05-PRE-R0</t>
        </is>
      </c>
      <c r="B73" s="2" t="inlineStr">
        <is>
          <t>BHS-SLQ</t>
        </is>
      </c>
      <c r="C73" s="2" t="inlineStr">
        <is>
          <t>Preservice lift/transport/temporary-stage analysis</t>
        </is>
      </c>
      <c r="D73" s="2" t="inlineStr">
        <is>
          <t>Module envelope and vessel inputs</t>
        </is>
      </c>
      <c r="E73" s="2" t="inlineStr">
        <is>
          <t>TBC in project DCI/MCI</t>
        </is>
      </c>
      <c r="F73" s="2" t="inlineStr">
        <is>
          <t>TBC</t>
        </is>
      </c>
      <c r="G73" s="2" t="inlineStr">
        <is>
          <t>NOT SUBMITTED</t>
        </is>
      </c>
      <c r="H73" s="2" t="inlineStr">
        <is>
          <t>No signed approval evidence</t>
        </is>
      </c>
      <c r="I73" s="2" t="inlineStr">
        <is>
          <t>Engineering</t>
        </is>
      </c>
    </row>
    <row r="74">
      <c r="A74" s="2" t="inlineStr">
        <is>
          <t>SHV-B05-SUP-R0</t>
        </is>
      </c>
      <c r="B74" s="2" t="inlineStr">
        <is>
          <t>BHS-SLQ</t>
        </is>
      </c>
      <c r="C74" s="2" t="inlineStr">
        <is>
          <t>Landing/deck/support and interface reaction report</t>
        </is>
      </c>
      <c r="D74" s="2" t="inlineStr">
        <is>
          <t>Bridge/piping reactions</t>
        </is>
      </c>
      <c r="E74" s="2" t="inlineStr">
        <is>
          <t>TBC in project DCI/MCI</t>
        </is>
      </c>
      <c r="F74" s="2" t="inlineStr">
        <is>
          <t>TBC</t>
        </is>
      </c>
      <c r="G74" s="2" t="inlineStr">
        <is>
          <t>NOT SUBMITTED</t>
        </is>
      </c>
      <c r="H74" s="2" t="inlineStr">
        <is>
          <t>No signed approval evidence</t>
        </is>
      </c>
      <c r="I74" s="2" t="inlineStr">
        <is>
          <t>Engineering</t>
        </is>
      </c>
    </row>
    <row r="75">
      <c r="A75" s="2" t="inlineStr">
        <is>
          <t>SHV-B05-JNT-R0</t>
        </is>
      </c>
      <c r="B75" s="2" t="inlineStr">
        <is>
          <t>BHS-SLQ</t>
        </is>
      </c>
      <c r="C75" s="2" t="inlineStr">
        <is>
          <t>Connection/member/bearing check report</t>
        </is>
      </c>
      <c r="D75" s="2" t="inlineStr">
        <is>
          <t>Global forces and verified materials</t>
        </is>
      </c>
      <c r="E75" s="2" t="inlineStr">
        <is>
          <t>TBC in project DCI/MCI</t>
        </is>
      </c>
      <c r="F75" s="2" t="inlineStr">
        <is>
          <t>TBC</t>
        </is>
      </c>
      <c r="G75" s="2" t="inlineStr">
        <is>
          <t>NOT SUBMITTED</t>
        </is>
      </c>
      <c r="H75" s="2" t="inlineStr">
        <is>
          <t>No signed approval evidence</t>
        </is>
      </c>
      <c r="I75" s="2" t="inlineStr">
        <is>
          <t>Engineering</t>
        </is>
      </c>
    </row>
    <row r="76">
      <c r="A76" s="2" t="inlineStr">
        <is>
          <t>SHV-B05-GA-R0</t>
        </is>
      </c>
      <c r="B76" s="2" t="inlineStr">
        <is>
          <t>BHS-SLQ</t>
        </is>
      </c>
      <c r="C76" s="2" t="inlineStr">
        <is>
          <t>General arrangement and geometry details</t>
        </is>
      </c>
      <c r="D76" s="2" t="inlineStr">
        <is>
          <t>Accepted mother analysis</t>
        </is>
      </c>
      <c r="E76" s="2" t="inlineStr">
        <is>
          <t>TBC in project DCI/MCI</t>
        </is>
      </c>
      <c r="F76" s="2" t="inlineStr">
        <is>
          <t>TBC</t>
        </is>
      </c>
      <c r="G76" s="2" t="inlineStr">
        <is>
          <t>NOT SUBMITTED</t>
        </is>
      </c>
      <c r="H76" s="2" t="inlineStr">
        <is>
          <t>No signed approval evidence</t>
        </is>
      </c>
      <c r="I76" s="2" t="inlineStr">
        <is>
          <t>Engineering</t>
        </is>
      </c>
    </row>
    <row r="77">
      <c r="A77" s="2" t="inlineStr">
        <is>
          <t>SHV-B05-SHOP-R0</t>
        </is>
      </c>
      <c r="B77" s="2" t="inlineStr">
        <is>
          <t>BHS-SLQ</t>
        </is>
      </c>
      <c r="C77" s="2" t="inlineStr">
        <is>
          <t>Shop member, weld, joint and erection details</t>
        </is>
      </c>
      <c r="D77" s="2" t="inlineStr">
        <is>
          <t>GA and checked connection calculations</t>
        </is>
      </c>
      <c r="E77" s="2" t="inlineStr">
        <is>
          <t>TBC in project DCI/MCI</t>
        </is>
      </c>
      <c r="F77" s="2" t="inlineStr">
        <is>
          <t>TBC</t>
        </is>
      </c>
      <c r="G77" s="2" t="inlineStr">
        <is>
          <t>NOT SUBMITTED</t>
        </is>
      </c>
      <c r="H77" s="2" t="inlineStr">
        <is>
          <t>No signed approval evidence</t>
        </is>
      </c>
      <c r="I77" s="2" t="inlineStr">
        <is>
          <t>Engineering</t>
        </is>
      </c>
    </row>
    <row r="78">
      <c r="A78" s="2" t="inlineStr">
        <is>
          <t>SHV-B05-BRG-R0</t>
        </is>
      </c>
      <c r="B78" s="2" t="inlineStr">
        <is>
          <t>BHS-SLQ</t>
        </is>
      </c>
      <c r="C78" s="2" t="inlineStr">
        <is>
          <t>Bearing, guides, setting and restraints</t>
        </is>
      </c>
      <c r="D78" s="2" t="inlineStr">
        <is>
          <t>Movement/thrust and temperature envelope</t>
        </is>
      </c>
      <c r="E78" s="2" t="inlineStr">
        <is>
          <t>TBC in project DCI/MCI</t>
        </is>
      </c>
      <c r="F78" s="2" t="inlineStr">
        <is>
          <t>TBC</t>
        </is>
      </c>
      <c r="G78" s="2" t="inlineStr">
        <is>
          <t>NOT SUBMITTED</t>
        </is>
      </c>
      <c r="H78" s="2" t="inlineStr">
        <is>
          <t>No signed approval evidence</t>
        </is>
      </c>
      <c r="I78" s="2" t="inlineStr">
        <is>
          <t>Engineering</t>
        </is>
      </c>
    </row>
    <row r="79">
      <c r="A79" s="2" t="inlineStr">
        <is>
          <t>SHV-B05-TMP-R0</t>
        </is>
      </c>
      <c r="B79" s="2" t="inlineStr">
        <is>
          <t>BHS-SLQ</t>
        </is>
      </c>
      <c r="C79" s="2" t="inlineStr">
        <is>
          <t>Temporary supports/stability and strengthening details</t>
        </is>
      </c>
      <c r="D79" s="2" t="inlineStr">
        <is>
          <t>Stage analyses and surveyed condition</t>
        </is>
      </c>
      <c r="E79" s="2" t="inlineStr">
        <is>
          <t>TBC in project DCI/MCI</t>
        </is>
      </c>
      <c r="F79" s="2" t="inlineStr">
        <is>
          <t>TBC</t>
        </is>
      </c>
      <c r="G79" s="2" t="inlineStr">
        <is>
          <t>NOT SUBMITTED</t>
        </is>
      </c>
      <c r="H79" s="2" t="inlineStr">
        <is>
          <t>No signed approval evidence</t>
        </is>
      </c>
      <c r="I79" s="2" t="inlineStr">
        <is>
          <t>Engineering</t>
        </is>
      </c>
    </row>
    <row r="80">
      <c r="A80" s="2" t="inlineStr">
        <is>
          <t>SHV-B05-LFT-R0</t>
        </is>
      </c>
      <c r="B80" s="2" t="inlineStr">
        <is>
          <t>BHS-SLQ</t>
        </is>
      </c>
      <c r="C80" s="2" t="inlineStr">
        <is>
          <t>Lift/rigging/padeye/loadout procedure and drawings</t>
        </is>
      </c>
      <c r="D80" s="2" t="inlineStr">
        <is>
          <t>PRE/vessel/weight/COG</t>
        </is>
      </c>
      <c r="E80" s="2" t="inlineStr">
        <is>
          <t>TBC in project DCI/MCI</t>
        </is>
      </c>
      <c r="F80" s="2" t="inlineStr">
        <is>
          <t>TBC</t>
        </is>
      </c>
      <c r="G80" s="2" t="inlineStr">
        <is>
          <t>NOT SUBMITTED</t>
        </is>
      </c>
      <c r="H80" s="2" t="inlineStr">
        <is>
          <t>No signed approval evidence</t>
        </is>
      </c>
      <c r="I80" s="2" t="inlineStr">
        <is>
          <t>Engineering</t>
        </is>
      </c>
    </row>
    <row r="81">
      <c r="A81" s="2" t="inlineStr">
        <is>
          <t>SHV-B05-MTO-R0</t>
        </is>
      </c>
      <c r="B81" s="2" t="inlineStr">
        <is>
          <t>BHS-SLQ</t>
        </is>
      </c>
      <c r="C81" s="2" t="inlineStr">
        <is>
          <t>Detailed structural and services MTO</t>
        </is>
      </c>
      <c r="D81" s="2" t="inlineStr">
        <is>
          <t>Released details and class specifications</t>
        </is>
      </c>
      <c r="E81" s="2" t="inlineStr">
        <is>
          <t>TBC in project DCI/MCI</t>
        </is>
      </c>
      <c r="F81" s="2" t="inlineStr">
        <is>
          <t>TBC</t>
        </is>
      </c>
      <c r="G81" s="2" t="inlineStr">
        <is>
          <t>NOT SUBMITTED</t>
        </is>
      </c>
      <c r="H81" s="2" t="inlineStr">
        <is>
          <t>No signed approval evidence</t>
        </is>
      </c>
      <c r="I81" s="2" t="inlineStr">
        <is>
          <t>Engineering</t>
        </is>
      </c>
    </row>
    <row r="82">
      <c r="A82" s="2" t="inlineStr">
        <is>
          <t>SHV-B05-IWP-R0</t>
        </is>
      </c>
      <c r="B82" s="2" t="inlineStr">
        <is>
          <t>BHS-SLQ</t>
        </is>
      </c>
      <c r="C82" s="2" t="inlineStr">
        <is>
          <t>Installation/service-transfer/demolition work pack</t>
        </is>
      </c>
      <c r="D82" s="2" t="inlineStr">
        <is>
          <t>Design, material, access and approved sequence</t>
        </is>
      </c>
      <c r="E82" s="2" t="inlineStr">
        <is>
          <t>TBC in project DCI/MCI</t>
        </is>
      </c>
      <c r="F82" s="2" t="inlineStr">
        <is>
          <t>TBC</t>
        </is>
      </c>
      <c r="G82" s="2" t="inlineStr">
        <is>
          <t>NOT SUBMITTED</t>
        </is>
      </c>
      <c r="H82" s="2" t="inlineStr">
        <is>
          <t>No signed approval evidence</t>
        </is>
      </c>
      <c r="I82" s="2" t="inlineStr">
        <is>
          <t>Engineering</t>
        </is>
      </c>
    </row>
    <row r="83">
      <c r="A83" s="2" t="inlineStr">
        <is>
          <t>SHV-B05-ITP-R0</t>
        </is>
      </c>
      <c r="B83" s="2" t="inlineStr">
        <is>
          <t>BHS-SLQ</t>
        </is>
      </c>
      <c r="C83" s="2" t="inlineStr">
        <is>
          <t>Inspection and test plan/records index</t>
        </is>
      </c>
      <c r="D83" s="2" t="inlineStr">
        <is>
          <t>Applicable QA specifications</t>
        </is>
      </c>
      <c r="E83" s="2" t="inlineStr">
        <is>
          <t>TBC in project DCI/MCI</t>
        </is>
      </c>
      <c r="F83" s="2" t="inlineStr">
        <is>
          <t>TBC</t>
        </is>
      </c>
      <c r="G83" s="2" t="inlineStr">
        <is>
          <t>NOT SUBMITTED</t>
        </is>
      </c>
      <c r="H83" s="2" t="inlineStr">
        <is>
          <t>No signed approval evidence</t>
        </is>
      </c>
      <c r="I83" s="2" t="inlineStr">
        <is>
          <t>QA/Completions</t>
        </is>
      </c>
    </row>
    <row r="84">
      <c r="A84" s="2" t="inlineStr">
        <is>
          <t>SHV-B05-TEST-R0</t>
        </is>
      </c>
      <c r="B84" s="2" t="inlineStr">
        <is>
          <t>BHS-SLQ</t>
        </is>
      </c>
      <c r="C84" s="2" t="inlineStr">
        <is>
          <t>Service reinstatement and acceptance procedures</t>
        </is>
      </c>
      <c r="D84" s="2" t="inlineStr">
        <is>
          <t>Approved system boundaries</t>
        </is>
      </c>
      <c r="E84" s="2" t="inlineStr">
        <is>
          <t>TBC in project DCI/MCI</t>
        </is>
      </c>
      <c r="F84" s="2" t="inlineStr">
        <is>
          <t>TBC</t>
        </is>
      </c>
      <c r="G84" s="2" t="inlineStr">
        <is>
          <t>NOT SUBMITTED</t>
        </is>
      </c>
      <c r="H84" s="2" t="inlineStr">
        <is>
          <t>No signed approval evidence</t>
        </is>
      </c>
      <c r="I84" s="2" t="inlineStr">
        <is>
          <t>Engineering</t>
        </is>
      </c>
    </row>
    <row r="85">
      <c r="A85" s="2" t="inlineStr">
        <is>
          <t>SHV-B05-ASB-R0</t>
        </is>
      </c>
      <c r="B85" s="2" t="inlineStr">
        <is>
          <t>BHS-SLQ</t>
        </is>
      </c>
      <c r="C85" s="2" t="inlineStr">
        <is>
          <t>As-built/native model/vendor dossier</t>
        </is>
      </c>
      <c r="D85" s="2" t="inlineStr">
        <is>
          <t>Verified final configuration</t>
        </is>
      </c>
      <c r="E85" s="2" t="inlineStr">
        <is>
          <t>TBC in project DCI/MCI</t>
        </is>
      </c>
      <c r="F85" s="2" t="inlineStr">
        <is>
          <t>TBC</t>
        </is>
      </c>
      <c r="G85" s="2" t="inlineStr">
        <is>
          <t>NOT SUBMITTED</t>
        </is>
      </c>
      <c r="H85" s="2" t="inlineStr">
        <is>
          <t>No signed approval evidence</t>
        </is>
      </c>
      <c r="I85" s="2" t="inlineStr">
        <is>
          <t>Engineering</t>
        </is>
      </c>
    </row>
    <row r="86">
      <c r="A86" s="2" t="inlineStr">
        <is>
          <t>SHV-B05-TO-R0</t>
        </is>
      </c>
      <c r="B86" s="2" t="inlineStr">
        <is>
          <t>BHS-SLQ</t>
        </is>
      </c>
      <c r="C86" s="2" t="inlineStr">
        <is>
          <t>Turnover and acceptance dossier</t>
        </is>
      </c>
      <c r="D86" s="2" t="inlineStr">
        <is>
          <t>Completed records/punch closure</t>
        </is>
      </c>
      <c r="E86" s="2" t="inlineStr">
        <is>
          <t>TBC in project DCI/MCI</t>
        </is>
      </c>
      <c r="F86" s="2" t="inlineStr">
        <is>
          <t>TBC</t>
        </is>
      </c>
      <c r="G86" s="2" t="inlineStr">
        <is>
          <t>NOT SUBMITTED</t>
        </is>
      </c>
      <c r="H86" s="2" t="inlineStr">
        <is>
          <t>No signed approval evidence</t>
        </is>
      </c>
      <c r="I86" s="2" t="inlineStr">
        <is>
          <t>QA/Completions</t>
        </is>
      </c>
    </row>
    <row r="87">
      <c r="A87" s="2" t="inlineStr">
        <is>
          <t>SHV-B06-DB-R0</t>
        </is>
      </c>
      <c r="B87" s="2" t="inlineStr">
        <is>
          <t>SLQ-WIS</t>
        </is>
      </c>
      <c r="C87" s="2" t="inlineStr">
        <is>
          <t>Bridge-specific design basis</t>
        </is>
      </c>
      <c r="D87" s="2" t="inlineStr">
        <is>
          <t>Survey and controlling criteria</t>
        </is>
      </c>
      <c r="E87" s="2" t="inlineStr">
        <is>
          <t>TBC in project DCI/MCI</t>
        </is>
      </c>
      <c r="F87" s="2" t="inlineStr">
        <is>
          <t>TBC</t>
        </is>
      </c>
      <c r="G87" s="2" t="inlineStr">
        <is>
          <t>NOT SUBMITTED</t>
        </is>
      </c>
      <c r="H87" s="2" t="inlineStr">
        <is>
          <t>No signed approval evidence</t>
        </is>
      </c>
      <c r="I87" s="2" t="inlineStr">
        <is>
          <t>Engineering</t>
        </is>
      </c>
    </row>
    <row r="88">
      <c r="A88" s="2" t="inlineStr">
        <is>
          <t>SHV-B06-SUR-R0</t>
        </is>
      </c>
      <c r="B88" s="2" t="inlineStr">
        <is>
          <t>SLQ-WIS</t>
        </is>
      </c>
      <c r="C88" s="2" t="inlineStr">
        <is>
          <t>Pre-engineering/condition survey dossier</t>
        </is>
      </c>
      <c r="D88" s="2" t="inlineStr">
        <is>
          <t>Access, survey and NDT</t>
        </is>
      </c>
      <c r="E88" s="2" t="inlineStr">
        <is>
          <t>TBC in project DCI/MCI</t>
        </is>
      </c>
      <c r="F88" s="2" t="inlineStr">
        <is>
          <t>TBC</t>
        </is>
      </c>
      <c r="G88" s="2" t="inlineStr">
        <is>
          <t>NOT SUBMITTED</t>
        </is>
      </c>
      <c r="H88" s="2" t="inlineStr">
        <is>
          <t>No signed approval evidence</t>
        </is>
      </c>
      <c r="I88" s="2" t="inlineStr">
        <is>
          <t>Engineering</t>
        </is>
      </c>
    </row>
    <row r="89">
      <c r="A89" s="2" t="inlineStr">
        <is>
          <t>SHV-B06-ANA-R0</t>
        </is>
      </c>
      <c r="B89" s="2" t="inlineStr">
        <is>
          <t>SLQ-WIS</t>
        </is>
      </c>
      <c r="C89" s="2" t="inlineStr">
        <is>
          <t>Global bridge/serviceability/fatigue/VIV analysis</t>
        </is>
      </c>
      <c r="D89" s="2" t="inlineStr">
        <is>
          <t>DB/SUR accepted</t>
        </is>
      </c>
      <c r="E89" s="2" t="inlineStr">
        <is>
          <t>TBC in project DCI/MCI</t>
        </is>
      </c>
      <c r="F89" s="2" t="inlineStr">
        <is>
          <t>TBC</t>
        </is>
      </c>
      <c r="G89" s="2" t="inlineStr">
        <is>
          <t>NOT SUBMITTED</t>
        </is>
      </c>
      <c r="H89" s="2" t="inlineStr">
        <is>
          <t>No signed approval evidence</t>
        </is>
      </c>
      <c r="I89" s="2" t="inlineStr">
        <is>
          <t>Engineering</t>
        </is>
      </c>
    </row>
    <row r="90">
      <c r="A90" s="2" t="inlineStr">
        <is>
          <t>SHV-B06-PRE-R0</t>
        </is>
      </c>
      <c r="B90" s="2" t="inlineStr">
        <is>
          <t>SLQ-WIS</t>
        </is>
      </c>
      <c r="C90" s="2" t="inlineStr">
        <is>
          <t>Preservice lift/transport/temporary-stage analysis</t>
        </is>
      </c>
      <c r="D90" s="2" t="inlineStr">
        <is>
          <t>Module envelope and vessel inputs</t>
        </is>
      </c>
      <c r="E90" s="2" t="inlineStr">
        <is>
          <t>TBC in project DCI/MCI</t>
        </is>
      </c>
      <c r="F90" s="2" t="inlineStr">
        <is>
          <t>TBC</t>
        </is>
      </c>
      <c r="G90" s="2" t="inlineStr">
        <is>
          <t>NOT SUBMITTED</t>
        </is>
      </c>
      <c r="H90" s="2" t="inlineStr">
        <is>
          <t>No signed approval evidence</t>
        </is>
      </c>
      <c r="I90" s="2" t="inlineStr">
        <is>
          <t>Engineering</t>
        </is>
      </c>
    </row>
    <row r="91">
      <c r="A91" s="2" t="inlineStr">
        <is>
          <t>SHV-B06-SUP-R0</t>
        </is>
      </c>
      <c r="B91" s="2" t="inlineStr">
        <is>
          <t>SLQ-WIS</t>
        </is>
      </c>
      <c r="C91" s="2" t="inlineStr">
        <is>
          <t>Landing/deck/support and interface reaction report</t>
        </is>
      </c>
      <c r="D91" s="2" t="inlineStr">
        <is>
          <t>Bridge/piping reactions</t>
        </is>
      </c>
      <c r="E91" s="2" t="inlineStr">
        <is>
          <t>TBC in project DCI/MCI</t>
        </is>
      </c>
      <c r="F91" s="2" t="inlineStr">
        <is>
          <t>TBC</t>
        </is>
      </c>
      <c r="G91" s="2" t="inlineStr">
        <is>
          <t>NOT SUBMITTED</t>
        </is>
      </c>
      <c r="H91" s="2" t="inlineStr">
        <is>
          <t>No signed approval evidence</t>
        </is>
      </c>
      <c r="I91" s="2" t="inlineStr">
        <is>
          <t>Engineering</t>
        </is>
      </c>
    </row>
    <row r="92">
      <c r="A92" s="2" t="inlineStr">
        <is>
          <t>SHV-B06-JNT-R0</t>
        </is>
      </c>
      <c r="B92" s="2" t="inlineStr">
        <is>
          <t>SLQ-WIS</t>
        </is>
      </c>
      <c r="C92" s="2" t="inlineStr">
        <is>
          <t>Connection/member/bearing check report</t>
        </is>
      </c>
      <c r="D92" s="2" t="inlineStr">
        <is>
          <t>Global forces and verified materials</t>
        </is>
      </c>
      <c r="E92" s="2" t="inlineStr">
        <is>
          <t>TBC in project DCI/MCI</t>
        </is>
      </c>
      <c r="F92" s="2" t="inlineStr">
        <is>
          <t>TBC</t>
        </is>
      </c>
      <c r="G92" s="2" t="inlineStr">
        <is>
          <t>NOT SUBMITTED</t>
        </is>
      </c>
      <c r="H92" s="2" t="inlineStr">
        <is>
          <t>No signed approval evidence</t>
        </is>
      </c>
      <c r="I92" s="2" t="inlineStr">
        <is>
          <t>Engineering</t>
        </is>
      </c>
    </row>
    <row r="93">
      <c r="A93" s="2" t="inlineStr">
        <is>
          <t>SHV-B06-GA-R0</t>
        </is>
      </c>
      <c r="B93" s="2" t="inlineStr">
        <is>
          <t>SLQ-WIS</t>
        </is>
      </c>
      <c r="C93" s="2" t="inlineStr">
        <is>
          <t>General arrangement and geometry details</t>
        </is>
      </c>
      <c r="D93" s="2" t="inlineStr">
        <is>
          <t>Accepted mother analysis</t>
        </is>
      </c>
      <c r="E93" s="2" t="inlineStr">
        <is>
          <t>TBC in project DCI/MCI</t>
        </is>
      </c>
      <c r="F93" s="2" t="inlineStr">
        <is>
          <t>TBC</t>
        </is>
      </c>
      <c r="G93" s="2" t="inlineStr">
        <is>
          <t>NOT SUBMITTED</t>
        </is>
      </c>
      <c r="H93" s="2" t="inlineStr">
        <is>
          <t>No signed approval evidence</t>
        </is>
      </c>
      <c r="I93" s="2" t="inlineStr">
        <is>
          <t>Engineering</t>
        </is>
      </c>
    </row>
    <row r="94">
      <c r="A94" s="2" t="inlineStr">
        <is>
          <t>SHV-B06-SHOP-R0</t>
        </is>
      </c>
      <c r="B94" s="2" t="inlineStr">
        <is>
          <t>SLQ-WIS</t>
        </is>
      </c>
      <c r="C94" s="2" t="inlineStr">
        <is>
          <t>Shop member, weld, joint and erection details</t>
        </is>
      </c>
      <c r="D94" s="2" t="inlineStr">
        <is>
          <t>GA and checked connection calculations</t>
        </is>
      </c>
      <c r="E94" s="2" t="inlineStr">
        <is>
          <t>TBC in project DCI/MCI</t>
        </is>
      </c>
      <c r="F94" s="2" t="inlineStr">
        <is>
          <t>TBC</t>
        </is>
      </c>
      <c r="G94" s="2" t="inlineStr">
        <is>
          <t>NOT SUBMITTED</t>
        </is>
      </c>
      <c r="H94" s="2" t="inlineStr">
        <is>
          <t>No signed approval evidence</t>
        </is>
      </c>
      <c r="I94" s="2" t="inlineStr">
        <is>
          <t>Engineering</t>
        </is>
      </c>
    </row>
    <row r="95">
      <c r="A95" s="2" t="inlineStr">
        <is>
          <t>SHV-B06-BRG-R0</t>
        </is>
      </c>
      <c r="B95" s="2" t="inlineStr">
        <is>
          <t>SLQ-WIS</t>
        </is>
      </c>
      <c r="C95" s="2" t="inlineStr">
        <is>
          <t>Bearing, guides, setting and restraints</t>
        </is>
      </c>
      <c r="D95" s="2" t="inlineStr">
        <is>
          <t>Movement/thrust and temperature envelope</t>
        </is>
      </c>
      <c r="E95" s="2" t="inlineStr">
        <is>
          <t>TBC in project DCI/MCI</t>
        </is>
      </c>
      <c r="F95" s="2" t="inlineStr">
        <is>
          <t>TBC</t>
        </is>
      </c>
      <c r="G95" s="2" t="inlineStr">
        <is>
          <t>NOT SUBMITTED</t>
        </is>
      </c>
      <c r="H95" s="2" t="inlineStr">
        <is>
          <t>No signed approval evidence</t>
        </is>
      </c>
      <c r="I95" s="2" t="inlineStr">
        <is>
          <t>Engineering</t>
        </is>
      </c>
    </row>
    <row r="96">
      <c r="A96" s="2" t="inlineStr">
        <is>
          <t>SHV-B06-TMP-R0</t>
        </is>
      </c>
      <c r="B96" s="2" t="inlineStr">
        <is>
          <t>SLQ-WIS</t>
        </is>
      </c>
      <c r="C96" s="2" t="inlineStr">
        <is>
          <t>Temporary supports/stability and strengthening details</t>
        </is>
      </c>
      <c r="D96" s="2" t="inlineStr">
        <is>
          <t>Stage analyses and surveyed condition</t>
        </is>
      </c>
      <c r="E96" s="2" t="inlineStr">
        <is>
          <t>TBC in project DCI/MCI</t>
        </is>
      </c>
      <c r="F96" s="2" t="inlineStr">
        <is>
          <t>TBC</t>
        </is>
      </c>
      <c r="G96" s="2" t="inlineStr">
        <is>
          <t>NOT SUBMITTED</t>
        </is>
      </c>
      <c r="H96" s="2" t="inlineStr">
        <is>
          <t>No signed approval evidence</t>
        </is>
      </c>
      <c r="I96" s="2" t="inlineStr">
        <is>
          <t>Engineering</t>
        </is>
      </c>
    </row>
    <row r="97">
      <c r="A97" s="2" t="inlineStr">
        <is>
          <t>SHV-B06-LFT-R0</t>
        </is>
      </c>
      <c r="B97" s="2" t="inlineStr">
        <is>
          <t>SLQ-WIS</t>
        </is>
      </c>
      <c r="C97" s="2" t="inlineStr">
        <is>
          <t>Lift/rigging/padeye/loadout procedure and drawings</t>
        </is>
      </c>
      <c r="D97" s="2" t="inlineStr">
        <is>
          <t>PRE/vessel/weight/COG</t>
        </is>
      </c>
      <c r="E97" s="2" t="inlineStr">
        <is>
          <t>TBC in project DCI/MCI</t>
        </is>
      </c>
      <c r="F97" s="2" t="inlineStr">
        <is>
          <t>TBC</t>
        </is>
      </c>
      <c r="G97" s="2" t="inlineStr">
        <is>
          <t>NOT SUBMITTED</t>
        </is>
      </c>
      <c r="H97" s="2" t="inlineStr">
        <is>
          <t>No signed approval evidence</t>
        </is>
      </c>
      <c r="I97" s="2" t="inlineStr">
        <is>
          <t>Engineering</t>
        </is>
      </c>
    </row>
    <row r="98">
      <c r="A98" s="2" t="inlineStr">
        <is>
          <t>SHV-B06-MTO-R0</t>
        </is>
      </c>
      <c r="B98" s="2" t="inlineStr">
        <is>
          <t>SLQ-WIS</t>
        </is>
      </c>
      <c r="C98" s="2" t="inlineStr">
        <is>
          <t>Detailed structural and services MTO</t>
        </is>
      </c>
      <c r="D98" s="2" t="inlineStr">
        <is>
          <t>Released details and class specifications</t>
        </is>
      </c>
      <c r="E98" s="2" t="inlineStr">
        <is>
          <t>TBC in project DCI/MCI</t>
        </is>
      </c>
      <c r="F98" s="2" t="inlineStr">
        <is>
          <t>TBC</t>
        </is>
      </c>
      <c r="G98" s="2" t="inlineStr">
        <is>
          <t>NOT SUBMITTED</t>
        </is>
      </c>
      <c r="H98" s="2" t="inlineStr">
        <is>
          <t>No signed approval evidence</t>
        </is>
      </c>
      <c r="I98" s="2" t="inlineStr">
        <is>
          <t>Engineering</t>
        </is>
      </c>
    </row>
    <row r="99">
      <c r="A99" s="2" t="inlineStr">
        <is>
          <t>SHV-B06-IWP-R0</t>
        </is>
      </c>
      <c r="B99" s="2" t="inlineStr">
        <is>
          <t>SLQ-WIS</t>
        </is>
      </c>
      <c r="C99" s="2" t="inlineStr">
        <is>
          <t>Installation/service-transfer/demolition work pack</t>
        </is>
      </c>
      <c r="D99" s="2" t="inlineStr">
        <is>
          <t>Design, material, access and approved sequence</t>
        </is>
      </c>
      <c r="E99" s="2" t="inlineStr">
        <is>
          <t>TBC in project DCI/MCI</t>
        </is>
      </c>
      <c r="F99" s="2" t="inlineStr">
        <is>
          <t>TBC</t>
        </is>
      </c>
      <c r="G99" s="2" t="inlineStr">
        <is>
          <t>NOT SUBMITTED</t>
        </is>
      </c>
      <c r="H99" s="2" t="inlineStr">
        <is>
          <t>No signed approval evidence</t>
        </is>
      </c>
      <c r="I99" s="2" t="inlineStr">
        <is>
          <t>Engineering</t>
        </is>
      </c>
    </row>
    <row r="100">
      <c r="A100" s="2" t="inlineStr">
        <is>
          <t>SHV-B06-ITP-R0</t>
        </is>
      </c>
      <c r="B100" s="2" t="inlineStr">
        <is>
          <t>SLQ-WIS</t>
        </is>
      </c>
      <c r="C100" s="2" t="inlineStr">
        <is>
          <t>Inspection and test plan/records index</t>
        </is>
      </c>
      <c r="D100" s="2" t="inlineStr">
        <is>
          <t>Applicable QA specifications</t>
        </is>
      </c>
      <c r="E100" s="2" t="inlineStr">
        <is>
          <t>TBC in project DCI/MCI</t>
        </is>
      </c>
      <c r="F100" s="2" t="inlineStr">
        <is>
          <t>TBC</t>
        </is>
      </c>
      <c r="G100" s="2" t="inlineStr">
        <is>
          <t>NOT SUBMITTED</t>
        </is>
      </c>
      <c r="H100" s="2" t="inlineStr">
        <is>
          <t>No signed approval evidence</t>
        </is>
      </c>
      <c r="I100" s="2" t="inlineStr">
        <is>
          <t>QA/Completions</t>
        </is>
      </c>
    </row>
    <row r="101">
      <c r="A101" s="2" t="inlineStr">
        <is>
          <t>SHV-B06-TEST-R0</t>
        </is>
      </c>
      <c r="B101" s="2" t="inlineStr">
        <is>
          <t>SLQ-WIS</t>
        </is>
      </c>
      <c r="C101" s="2" t="inlineStr">
        <is>
          <t>Service reinstatement and acceptance procedures</t>
        </is>
      </c>
      <c r="D101" s="2" t="inlineStr">
        <is>
          <t>Approved system boundaries</t>
        </is>
      </c>
      <c r="E101" s="2" t="inlineStr">
        <is>
          <t>TBC in project DCI/MCI</t>
        </is>
      </c>
      <c r="F101" s="2" t="inlineStr">
        <is>
          <t>TBC</t>
        </is>
      </c>
      <c r="G101" s="2" t="inlineStr">
        <is>
          <t>NOT SUBMITTED</t>
        </is>
      </c>
      <c r="H101" s="2" t="inlineStr">
        <is>
          <t>No signed approval evidence</t>
        </is>
      </c>
      <c r="I101" s="2" t="inlineStr">
        <is>
          <t>Engineering</t>
        </is>
      </c>
    </row>
    <row r="102">
      <c r="A102" s="2" t="inlineStr">
        <is>
          <t>SHV-B06-ASB-R0</t>
        </is>
      </c>
      <c r="B102" s="2" t="inlineStr">
        <is>
          <t>SLQ-WIS</t>
        </is>
      </c>
      <c r="C102" s="2" t="inlineStr">
        <is>
          <t>As-built/native model/vendor dossier</t>
        </is>
      </c>
      <c r="D102" s="2" t="inlineStr">
        <is>
          <t>Verified final configuration</t>
        </is>
      </c>
      <c r="E102" s="2" t="inlineStr">
        <is>
          <t>TBC in project DCI/MCI</t>
        </is>
      </c>
      <c r="F102" s="2" t="inlineStr">
        <is>
          <t>TBC</t>
        </is>
      </c>
      <c r="G102" s="2" t="inlineStr">
        <is>
          <t>NOT SUBMITTED</t>
        </is>
      </c>
      <c r="H102" s="2" t="inlineStr">
        <is>
          <t>No signed approval evidence</t>
        </is>
      </c>
      <c r="I102" s="2" t="inlineStr">
        <is>
          <t>Engineering</t>
        </is>
      </c>
    </row>
    <row r="103">
      <c r="A103" s="2" t="inlineStr">
        <is>
          <t>SHV-B06-TO-R0</t>
        </is>
      </c>
      <c r="B103" s="2" t="inlineStr">
        <is>
          <t>SLQ-WIS</t>
        </is>
      </c>
      <c r="C103" s="2" t="inlineStr">
        <is>
          <t>Turnover and acceptance dossier</t>
        </is>
      </c>
      <c r="D103" s="2" t="inlineStr">
        <is>
          <t>Completed records/punch closure</t>
        </is>
      </c>
      <c r="E103" s="2" t="inlineStr">
        <is>
          <t>TBC in project DCI/MCI</t>
        </is>
      </c>
      <c r="F103" s="2" t="inlineStr">
        <is>
          <t>TBC</t>
        </is>
      </c>
      <c r="G103" s="2" t="inlineStr">
        <is>
          <t>NOT SUBMITTED</t>
        </is>
      </c>
      <c r="H103" s="2" t="inlineStr">
        <is>
          <t>No signed approval evidence</t>
        </is>
      </c>
      <c r="I103" s="2" t="inlineStr">
        <is>
          <t>QA/Completions</t>
        </is>
      </c>
    </row>
    <row r="104">
      <c r="A104" s="2" t="inlineStr">
        <is>
          <t>SHV-B07-DB-R0</t>
        </is>
      </c>
      <c r="B104" s="2" t="inlineStr">
        <is>
          <t>NQO-NQD</t>
        </is>
      </c>
      <c r="C104" s="2" t="inlineStr">
        <is>
          <t>Bridge-specific design basis</t>
        </is>
      </c>
      <c r="D104" s="2" t="inlineStr">
        <is>
          <t>Survey and controlling criteria</t>
        </is>
      </c>
      <c r="E104" s="2" t="inlineStr">
        <is>
          <t>TBC in project DCI/MCI</t>
        </is>
      </c>
      <c r="F104" s="2" t="inlineStr">
        <is>
          <t>TBC</t>
        </is>
      </c>
      <c r="G104" s="2" t="inlineStr">
        <is>
          <t>NOT SUBMITTED</t>
        </is>
      </c>
      <c r="H104" s="2" t="inlineStr">
        <is>
          <t>No signed approval evidence</t>
        </is>
      </c>
      <c r="I104" s="2" t="inlineStr">
        <is>
          <t>Engineering</t>
        </is>
      </c>
    </row>
    <row r="105">
      <c r="A105" s="2" t="inlineStr">
        <is>
          <t>SHV-B07-SUR-R0</t>
        </is>
      </c>
      <c r="B105" s="2" t="inlineStr">
        <is>
          <t>NQO-NQD</t>
        </is>
      </c>
      <c r="C105" s="2" t="inlineStr">
        <is>
          <t>Pre-engineering/condition survey dossier</t>
        </is>
      </c>
      <c r="D105" s="2" t="inlineStr">
        <is>
          <t>Access, survey and NDT</t>
        </is>
      </c>
      <c r="E105" s="2" t="inlineStr">
        <is>
          <t>TBC in project DCI/MCI</t>
        </is>
      </c>
      <c r="F105" s="2" t="inlineStr">
        <is>
          <t>TBC</t>
        </is>
      </c>
      <c r="G105" s="2" t="inlineStr">
        <is>
          <t>NOT SUBMITTED</t>
        </is>
      </c>
      <c r="H105" s="2" t="inlineStr">
        <is>
          <t>No signed approval evidence</t>
        </is>
      </c>
      <c r="I105" s="2" t="inlineStr">
        <is>
          <t>Engineering</t>
        </is>
      </c>
    </row>
    <row r="106">
      <c r="A106" s="2" t="inlineStr">
        <is>
          <t>SHV-B07-ANA-R0</t>
        </is>
      </c>
      <c r="B106" s="2" t="inlineStr">
        <is>
          <t>NQO-NQD</t>
        </is>
      </c>
      <c r="C106" s="2" t="inlineStr">
        <is>
          <t>Global bridge/serviceability/fatigue/VIV analysis</t>
        </is>
      </c>
      <c r="D106" s="2" t="inlineStr">
        <is>
          <t>DB/SUR accepted</t>
        </is>
      </c>
      <c r="E106" s="2" t="inlineStr">
        <is>
          <t>TBC in project DCI/MCI</t>
        </is>
      </c>
      <c r="F106" s="2" t="inlineStr">
        <is>
          <t>TBC</t>
        </is>
      </c>
      <c r="G106" s="2" t="inlineStr">
        <is>
          <t>NOT SUBMITTED</t>
        </is>
      </c>
      <c r="H106" s="2" t="inlineStr">
        <is>
          <t>No signed approval evidence</t>
        </is>
      </c>
      <c r="I106" s="2" t="inlineStr">
        <is>
          <t>Engineering</t>
        </is>
      </c>
    </row>
    <row r="107">
      <c r="A107" s="2" t="inlineStr">
        <is>
          <t>SHV-B07-PRE-R0</t>
        </is>
      </c>
      <c r="B107" s="2" t="inlineStr">
        <is>
          <t>NQO-NQD</t>
        </is>
      </c>
      <c r="C107" s="2" t="inlineStr">
        <is>
          <t>Preservice lift/transport/temporary-stage analysis</t>
        </is>
      </c>
      <c r="D107" s="2" t="inlineStr">
        <is>
          <t>Module envelope and vessel inputs</t>
        </is>
      </c>
      <c r="E107" s="2" t="inlineStr">
        <is>
          <t>TBC in project DCI/MCI</t>
        </is>
      </c>
      <c r="F107" s="2" t="inlineStr">
        <is>
          <t>TBC</t>
        </is>
      </c>
      <c r="G107" s="2" t="inlineStr">
        <is>
          <t>NOT SUBMITTED</t>
        </is>
      </c>
      <c r="H107" s="2" t="inlineStr">
        <is>
          <t>No signed approval evidence</t>
        </is>
      </c>
      <c r="I107" s="2" t="inlineStr">
        <is>
          <t>Engineering</t>
        </is>
      </c>
    </row>
    <row r="108">
      <c r="A108" s="2" t="inlineStr">
        <is>
          <t>SHV-B07-SUP-R0</t>
        </is>
      </c>
      <c r="B108" s="2" t="inlineStr">
        <is>
          <t>NQO-NQD</t>
        </is>
      </c>
      <c r="C108" s="2" t="inlineStr">
        <is>
          <t>Landing/deck/support and interface reaction report</t>
        </is>
      </c>
      <c r="D108" s="2" t="inlineStr">
        <is>
          <t>Bridge/piping reactions</t>
        </is>
      </c>
      <c r="E108" s="2" t="inlineStr">
        <is>
          <t>TBC in project DCI/MCI</t>
        </is>
      </c>
      <c r="F108" s="2" t="inlineStr">
        <is>
          <t>TBC</t>
        </is>
      </c>
      <c r="G108" s="2" t="inlineStr">
        <is>
          <t>NOT SUBMITTED</t>
        </is>
      </c>
      <c r="H108" s="2" t="inlineStr">
        <is>
          <t>No signed approval evidence</t>
        </is>
      </c>
      <c r="I108" s="2" t="inlineStr">
        <is>
          <t>Engineering</t>
        </is>
      </c>
    </row>
    <row r="109">
      <c r="A109" s="2" t="inlineStr">
        <is>
          <t>SHV-B07-JNT-R0</t>
        </is>
      </c>
      <c r="B109" s="2" t="inlineStr">
        <is>
          <t>NQO-NQD</t>
        </is>
      </c>
      <c r="C109" s="2" t="inlineStr">
        <is>
          <t>Connection/member/bearing check report</t>
        </is>
      </c>
      <c r="D109" s="2" t="inlineStr">
        <is>
          <t>Global forces and verified materials</t>
        </is>
      </c>
      <c r="E109" s="2" t="inlineStr">
        <is>
          <t>TBC in project DCI/MCI</t>
        </is>
      </c>
      <c r="F109" s="2" t="inlineStr">
        <is>
          <t>TBC</t>
        </is>
      </c>
      <c r="G109" s="2" t="inlineStr">
        <is>
          <t>NOT SUBMITTED</t>
        </is>
      </c>
      <c r="H109" s="2" t="inlineStr">
        <is>
          <t>No signed approval evidence</t>
        </is>
      </c>
      <c r="I109" s="2" t="inlineStr">
        <is>
          <t>Engineering</t>
        </is>
      </c>
    </row>
    <row r="110">
      <c r="A110" s="2" t="inlineStr">
        <is>
          <t>SHV-B07-GA-R0</t>
        </is>
      </c>
      <c r="B110" s="2" t="inlineStr">
        <is>
          <t>NQO-NQD</t>
        </is>
      </c>
      <c r="C110" s="2" t="inlineStr">
        <is>
          <t>General arrangement and geometry details</t>
        </is>
      </c>
      <c r="D110" s="2" t="inlineStr">
        <is>
          <t>Accepted mother analysis</t>
        </is>
      </c>
      <c r="E110" s="2" t="inlineStr">
        <is>
          <t>TBC in project DCI/MCI</t>
        </is>
      </c>
      <c r="F110" s="2" t="inlineStr">
        <is>
          <t>TBC</t>
        </is>
      </c>
      <c r="G110" s="2" t="inlineStr">
        <is>
          <t>NOT SUBMITTED</t>
        </is>
      </c>
      <c r="H110" s="2" t="inlineStr">
        <is>
          <t>No signed approval evidence</t>
        </is>
      </c>
      <c r="I110" s="2" t="inlineStr">
        <is>
          <t>Engineering</t>
        </is>
      </c>
    </row>
    <row r="111">
      <c r="A111" s="2" t="inlineStr">
        <is>
          <t>SHV-B07-SHOP-R0</t>
        </is>
      </c>
      <c r="B111" s="2" t="inlineStr">
        <is>
          <t>NQO-NQD</t>
        </is>
      </c>
      <c r="C111" s="2" t="inlineStr">
        <is>
          <t>Shop member, weld, joint and erection details</t>
        </is>
      </c>
      <c r="D111" s="2" t="inlineStr">
        <is>
          <t>GA and checked connection calculations</t>
        </is>
      </c>
      <c r="E111" s="2" t="inlineStr">
        <is>
          <t>TBC in project DCI/MCI</t>
        </is>
      </c>
      <c r="F111" s="2" t="inlineStr">
        <is>
          <t>TBC</t>
        </is>
      </c>
      <c r="G111" s="2" t="inlineStr">
        <is>
          <t>NOT SUBMITTED</t>
        </is>
      </c>
      <c r="H111" s="2" t="inlineStr">
        <is>
          <t>No signed approval evidence</t>
        </is>
      </c>
      <c r="I111" s="2" t="inlineStr">
        <is>
          <t>Engineering</t>
        </is>
      </c>
    </row>
    <row r="112">
      <c r="A112" s="2" t="inlineStr">
        <is>
          <t>SHV-B07-BRG-R0</t>
        </is>
      </c>
      <c r="B112" s="2" t="inlineStr">
        <is>
          <t>NQO-NQD</t>
        </is>
      </c>
      <c r="C112" s="2" t="inlineStr">
        <is>
          <t>Bearing, guides, setting and restraints</t>
        </is>
      </c>
      <c r="D112" s="2" t="inlineStr">
        <is>
          <t>Movement/thrust and temperature envelope</t>
        </is>
      </c>
      <c r="E112" s="2" t="inlineStr">
        <is>
          <t>TBC in project DCI/MCI</t>
        </is>
      </c>
      <c r="F112" s="2" t="inlineStr">
        <is>
          <t>TBC</t>
        </is>
      </c>
      <c r="G112" s="2" t="inlineStr">
        <is>
          <t>NOT SUBMITTED</t>
        </is>
      </c>
      <c r="H112" s="2" t="inlineStr">
        <is>
          <t>No signed approval evidence</t>
        </is>
      </c>
      <c r="I112" s="2" t="inlineStr">
        <is>
          <t>Engineering</t>
        </is>
      </c>
    </row>
    <row r="113">
      <c r="A113" s="2" t="inlineStr">
        <is>
          <t>SHV-B07-TMP-R0</t>
        </is>
      </c>
      <c r="B113" s="2" t="inlineStr">
        <is>
          <t>NQO-NQD</t>
        </is>
      </c>
      <c r="C113" s="2" t="inlineStr">
        <is>
          <t>Temporary supports/stability and strengthening details</t>
        </is>
      </c>
      <c r="D113" s="2" t="inlineStr">
        <is>
          <t>Stage analyses and surveyed condition</t>
        </is>
      </c>
      <c r="E113" s="2" t="inlineStr">
        <is>
          <t>TBC in project DCI/MCI</t>
        </is>
      </c>
      <c r="F113" s="2" t="inlineStr">
        <is>
          <t>TBC</t>
        </is>
      </c>
      <c r="G113" s="2" t="inlineStr">
        <is>
          <t>NOT SUBMITTED</t>
        </is>
      </c>
      <c r="H113" s="2" t="inlineStr">
        <is>
          <t>No signed approval evidence</t>
        </is>
      </c>
      <c r="I113" s="2" t="inlineStr">
        <is>
          <t>Engineering</t>
        </is>
      </c>
    </row>
    <row r="114">
      <c r="A114" s="2" t="inlineStr">
        <is>
          <t>SHV-B07-LFT-R0</t>
        </is>
      </c>
      <c r="B114" s="2" t="inlineStr">
        <is>
          <t>NQO-NQD</t>
        </is>
      </c>
      <c r="C114" s="2" t="inlineStr">
        <is>
          <t>Lift/rigging/padeye/loadout procedure and drawings</t>
        </is>
      </c>
      <c r="D114" s="2" t="inlineStr">
        <is>
          <t>PRE/vessel/weight/COG</t>
        </is>
      </c>
      <c r="E114" s="2" t="inlineStr">
        <is>
          <t>TBC in project DCI/MCI</t>
        </is>
      </c>
      <c r="F114" s="2" t="inlineStr">
        <is>
          <t>TBC</t>
        </is>
      </c>
      <c r="G114" s="2" t="inlineStr">
        <is>
          <t>NOT SUBMITTED</t>
        </is>
      </c>
      <c r="H114" s="2" t="inlineStr">
        <is>
          <t>No signed approval evidence</t>
        </is>
      </c>
      <c r="I114" s="2" t="inlineStr">
        <is>
          <t>Engineering</t>
        </is>
      </c>
    </row>
    <row r="115">
      <c r="A115" s="2" t="inlineStr">
        <is>
          <t>SHV-B07-MTO-R0</t>
        </is>
      </c>
      <c r="B115" s="2" t="inlineStr">
        <is>
          <t>NQO-NQD</t>
        </is>
      </c>
      <c r="C115" s="2" t="inlineStr">
        <is>
          <t>Detailed structural and services MTO</t>
        </is>
      </c>
      <c r="D115" s="2" t="inlineStr">
        <is>
          <t>Released details and class specifications</t>
        </is>
      </c>
      <c r="E115" s="2" t="inlineStr">
        <is>
          <t>TBC in project DCI/MCI</t>
        </is>
      </c>
      <c r="F115" s="2" t="inlineStr">
        <is>
          <t>TBC</t>
        </is>
      </c>
      <c r="G115" s="2" t="inlineStr">
        <is>
          <t>NOT SUBMITTED</t>
        </is>
      </c>
      <c r="H115" s="2" t="inlineStr">
        <is>
          <t>No signed approval evidence</t>
        </is>
      </c>
      <c r="I115" s="2" t="inlineStr">
        <is>
          <t>Engineering</t>
        </is>
      </c>
    </row>
    <row r="116">
      <c r="A116" s="2" t="inlineStr">
        <is>
          <t>SHV-B07-IWP-R0</t>
        </is>
      </c>
      <c r="B116" s="2" t="inlineStr">
        <is>
          <t>NQO-NQD</t>
        </is>
      </c>
      <c r="C116" s="2" t="inlineStr">
        <is>
          <t>Installation/service-transfer/demolition work pack</t>
        </is>
      </c>
      <c r="D116" s="2" t="inlineStr">
        <is>
          <t>Design, material, access and approved sequence</t>
        </is>
      </c>
      <c r="E116" s="2" t="inlineStr">
        <is>
          <t>TBC in project DCI/MCI</t>
        </is>
      </c>
      <c r="F116" s="2" t="inlineStr">
        <is>
          <t>TBC</t>
        </is>
      </c>
      <c r="G116" s="2" t="inlineStr">
        <is>
          <t>NOT SUBMITTED</t>
        </is>
      </c>
      <c r="H116" s="2" t="inlineStr">
        <is>
          <t>No signed approval evidence</t>
        </is>
      </c>
      <c r="I116" s="2" t="inlineStr">
        <is>
          <t>Engineering</t>
        </is>
      </c>
    </row>
    <row r="117">
      <c r="A117" s="2" t="inlineStr">
        <is>
          <t>SHV-B07-ITP-R0</t>
        </is>
      </c>
      <c r="B117" s="2" t="inlineStr">
        <is>
          <t>NQO-NQD</t>
        </is>
      </c>
      <c r="C117" s="2" t="inlineStr">
        <is>
          <t>Inspection and test plan/records index</t>
        </is>
      </c>
      <c r="D117" s="2" t="inlineStr">
        <is>
          <t>Applicable QA specifications</t>
        </is>
      </c>
      <c r="E117" s="2" t="inlineStr">
        <is>
          <t>TBC in project DCI/MCI</t>
        </is>
      </c>
      <c r="F117" s="2" t="inlineStr">
        <is>
          <t>TBC</t>
        </is>
      </c>
      <c r="G117" s="2" t="inlineStr">
        <is>
          <t>NOT SUBMITTED</t>
        </is>
      </c>
      <c r="H117" s="2" t="inlineStr">
        <is>
          <t>No signed approval evidence</t>
        </is>
      </c>
      <c r="I117" s="2" t="inlineStr">
        <is>
          <t>QA/Completions</t>
        </is>
      </c>
    </row>
    <row r="118">
      <c r="A118" s="2" t="inlineStr">
        <is>
          <t>SHV-B07-TEST-R0</t>
        </is>
      </c>
      <c r="B118" s="2" t="inlineStr">
        <is>
          <t>NQO-NQD</t>
        </is>
      </c>
      <c r="C118" s="2" t="inlineStr">
        <is>
          <t>Service reinstatement and acceptance procedures</t>
        </is>
      </c>
      <c r="D118" s="2" t="inlineStr">
        <is>
          <t>Approved system boundaries</t>
        </is>
      </c>
      <c r="E118" s="2" t="inlineStr">
        <is>
          <t>TBC in project DCI/MCI</t>
        </is>
      </c>
      <c r="F118" s="2" t="inlineStr">
        <is>
          <t>TBC</t>
        </is>
      </c>
      <c r="G118" s="2" t="inlineStr">
        <is>
          <t>NOT SUBMITTED</t>
        </is>
      </c>
      <c r="H118" s="2" t="inlineStr">
        <is>
          <t>No signed approval evidence</t>
        </is>
      </c>
      <c r="I118" s="2" t="inlineStr">
        <is>
          <t>Engineering</t>
        </is>
      </c>
    </row>
    <row r="119">
      <c r="A119" s="2" t="inlineStr">
        <is>
          <t>SHV-B07-ASB-R0</t>
        </is>
      </c>
      <c r="B119" s="2" t="inlineStr">
        <is>
          <t>NQO-NQD</t>
        </is>
      </c>
      <c r="C119" s="2" t="inlineStr">
        <is>
          <t>As-built/native model/vendor dossier</t>
        </is>
      </c>
      <c r="D119" s="2" t="inlineStr">
        <is>
          <t>Verified final configuration</t>
        </is>
      </c>
      <c r="E119" s="2" t="inlineStr">
        <is>
          <t>TBC in project DCI/MCI</t>
        </is>
      </c>
      <c r="F119" s="2" t="inlineStr">
        <is>
          <t>TBC</t>
        </is>
      </c>
      <c r="G119" s="2" t="inlineStr">
        <is>
          <t>NOT SUBMITTED</t>
        </is>
      </c>
      <c r="H119" s="2" t="inlineStr">
        <is>
          <t>No signed approval evidence</t>
        </is>
      </c>
      <c r="I119" s="2" t="inlineStr">
        <is>
          <t>Engineering</t>
        </is>
      </c>
    </row>
    <row r="120">
      <c r="A120" s="2" t="inlineStr">
        <is>
          <t>SHV-B07-TO-R0</t>
        </is>
      </c>
      <c r="B120" s="2" t="inlineStr">
        <is>
          <t>NQO-NQD</t>
        </is>
      </c>
      <c r="C120" s="2" t="inlineStr">
        <is>
          <t>Turnover and acceptance dossier</t>
        </is>
      </c>
      <c r="D120" s="2" t="inlineStr">
        <is>
          <t>Completed records/punch closure</t>
        </is>
      </c>
      <c r="E120" s="2" t="inlineStr">
        <is>
          <t>TBC in project DCI/MCI</t>
        </is>
      </c>
      <c r="F120" s="2" t="inlineStr">
        <is>
          <t>TBC</t>
        </is>
      </c>
      <c r="G120" s="2" t="inlineStr">
        <is>
          <t>NOT SUBMITTED</t>
        </is>
      </c>
      <c r="H120" s="2" t="inlineStr">
        <is>
          <t>No signed approval evidence</t>
        </is>
      </c>
      <c r="I120" s="2" t="inlineStr">
        <is>
          <t>QA/Completions</t>
        </is>
      </c>
    </row>
    <row r="121">
      <c r="A121" s="2" t="inlineStr">
        <is>
          <t>SHV-B08-DB-R0</t>
        </is>
      </c>
      <c r="B121" s="2" t="inlineStr">
        <is>
          <t>WIN-NC</t>
        </is>
      </c>
      <c r="C121" s="2" t="inlineStr">
        <is>
          <t>Bridge-specific design basis</t>
        </is>
      </c>
      <c r="D121" s="2" t="inlineStr">
        <is>
          <t>Survey and controlling criteria</t>
        </is>
      </c>
      <c r="E121" s="2" t="inlineStr">
        <is>
          <t>TBC in project DCI/MCI</t>
        </is>
      </c>
      <c r="F121" s="2" t="inlineStr">
        <is>
          <t>TBC</t>
        </is>
      </c>
      <c r="G121" s="2" t="inlineStr">
        <is>
          <t>NOT SUBMITTED</t>
        </is>
      </c>
      <c r="H121" s="2" t="inlineStr">
        <is>
          <t>No signed approval evidence</t>
        </is>
      </c>
      <c r="I121" s="2" t="inlineStr">
        <is>
          <t>Engineering</t>
        </is>
      </c>
    </row>
    <row r="122">
      <c r="A122" s="2" t="inlineStr">
        <is>
          <t>SHV-B08-SUR-R0</t>
        </is>
      </c>
      <c r="B122" s="2" t="inlineStr">
        <is>
          <t>WIN-NC</t>
        </is>
      </c>
      <c r="C122" s="2" t="inlineStr">
        <is>
          <t>Pre-engineering/condition survey dossier</t>
        </is>
      </c>
      <c r="D122" s="2" t="inlineStr">
        <is>
          <t>Access, survey and NDT</t>
        </is>
      </c>
      <c r="E122" s="2" t="inlineStr">
        <is>
          <t>TBC in project DCI/MCI</t>
        </is>
      </c>
      <c r="F122" s="2" t="inlineStr">
        <is>
          <t>TBC</t>
        </is>
      </c>
      <c r="G122" s="2" t="inlineStr">
        <is>
          <t>NOT SUBMITTED</t>
        </is>
      </c>
      <c r="H122" s="2" t="inlineStr">
        <is>
          <t>No signed approval evidence</t>
        </is>
      </c>
      <c r="I122" s="2" t="inlineStr">
        <is>
          <t>Engineering</t>
        </is>
      </c>
    </row>
    <row r="123">
      <c r="A123" s="2" t="inlineStr">
        <is>
          <t>SHV-B08-ANA-R0</t>
        </is>
      </c>
      <c r="B123" s="2" t="inlineStr">
        <is>
          <t>WIN-NC</t>
        </is>
      </c>
      <c r="C123" s="2" t="inlineStr">
        <is>
          <t>Global bridge/serviceability/fatigue/VIV analysis</t>
        </is>
      </c>
      <c r="D123" s="2" t="inlineStr">
        <is>
          <t>DB/SUR accepted</t>
        </is>
      </c>
      <c r="E123" s="2" t="inlineStr">
        <is>
          <t>TBC in project DCI/MCI</t>
        </is>
      </c>
      <c r="F123" s="2" t="inlineStr">
        <is>
          <t>TBC</t>
        </is>
      </c>
      <c r="G123" s="2" t="inlineStr">
        <is>
          <t>NOT SUBMITTED</t>
        </is>
      </c>
      <c r="H123" s="2" t="inlineStr">
        <is>
          <t>No signed approval evidence</t>
        </is>
      </c>
      <c r="I123" s="2" t="inlineStr">
        <is>
          <t>Engineering</t>
        </is>
      </c>
    </row>
    <row r="124">
      <c r="A124" s="2" t="inlineStr">
        <is>
          <t>SHV-B08-PRE-R0</t>
        </is>
      </c>
      <c r="B124" s="2" t="inlineStr">
        <is>
          <t>WIN-NC</t>
        </is>
      </c>
      <c r="C124" s="2" t="inlineStr">
        <is>
          <t>Preservice lift/transport/temporary-stage analysis</t>
        </is>
      </c>
      <c r="D124" s="2" t="inlineStr">
        <is>
          <t>Module envelope and vessel inputs</t>
        </is>
      </c>
      <c r="E124" s="2" t="inlineStr">
        <is>
          <t>TBC in project DCI/MCI</t>
        </is>
      </c>
      <c r="F124" s="2" t="inlineStr">
        <is>
          <t>TBC</t>
        </is>
      </c>
      <c r="G124" s="2" t="inlineStr">
        <is>
          <t>NOT SUBMITTED</t>
        </is>
      </c>
      <c r="H124" s="2" t="inlineStr">
        <is>
          <t>No signed approval evidence</t>
        </is>
      </c>
      <c r="I124" s="2" t="inlineStr">
        <is>
          <t>Engineering</t>
        </is>
      </c>
    </row>
    <row r="125">
      <c r="A125" s="2" t="inlineStr">
        <is>
          <t>SHV-B08-SUP-R0</t>
        </is>
      </c>
      <c r="B125" s="2" t="inlineStr">
        <is>
          <t>WIN-NC</t>
        </is>
      </c>
      <c r="C125" s="2" t="inlineStr">
        <is>
          <t>Landing/deck/support and interface reaction report</t>
        </is>
      </c>
      <c r="D125" s="2" t="inlineStr">
        <is>
          <t>Bridge/piping reactions</t>
        </is>
      </c>
      <c r="E125" s="2" t="inlineStr">
        <is>
          <t>TBC in project DCI/MCI</t>
        </is>
      </c>
      <c r="F125" s="2" t="inlineStr">
        <is>
          <t>TBC</t>
        </is>
      </c>
      <c r="G125" s="2" t="inlineStr">
        <is>
          <t>NOT SUBMITTED</t>
        </is>
      </c>
      <c r="H125" s="2" t="inlineStr">
        <is>
          <t>No signed approval evidence</t>
        </is>
      </c>
      <c r="I125" s="2" t="inlineStr">
        <is>
          <t>Engineering</t>
        </is>
      </c>
    </row>
    <row r="126">
      <c r="A126" s="2" t="inlineStr">
        <is>
          <t>SHV-B08-JNT-R0</t>
        </is>
      </c>
      <c r="B126" s="2" t="inlineStr">
        <is>
          <t>WIN-NC</t>
        </is>
      </c>
      <c r="C126" s="2" t="inlineStr">
        <is>
          <t>Connection/member/bearing check report</t>
        </is>
      </c>
      <c r="D126" s="2" t="inlineStr">
        <is>
          <t>Global forces and verified materials</t>
        </is>
      </c>
      <c r="E126" s="2" t="inlineStr">
        <is>
          <t>TBC in project DCI/MCI</t>
        </is>
      </c>
      <c r="F126" s="2" t="inlineStr">
        <is>
          <t>TBC</t>
        </is>
      </c>
      <c r="G126" s="2" t="inlineStr">
        <is>
          <t>NOT SUBMITTED</t>
        </is>
      </c>
      <c r="H126" s="2" t="inlineStr">
        <is>
          <t>No signed approval evidence</t>
        </is>
      </c>
      <c r="I126" s="2" t="inlineStr">
        <is>
          <t>Engineering</t>
        </is>
      </c>
    </row>
    <row r="127">
      <c r="A127" s="2" t="inlineStr">
        <is>
          <t>SHV-B08-GA-R0</t>
        </is>
      </c>
      <c r="B127" s="2" t="inlineStr">
        <is>
          <t>WIN-NC</t>
        </is>
      </c>
      <c r="C127" s="2" t="inlineStr">
        <is>
          <t>General arrangement and geometry details</t>
        </is>
      </c>
      <c r="D127" s="2" t="inlineStr">
        <is>
          <t>Accepted mother analysis</t>
        </is>
      </c>
      <c r="E127" s="2" t="inlineStr">
        <is>
          <t>TBC in project DCI/MCI</t>
        </is>
      </c>
      <c r="F127" s="2" t="inlineStr">
        <is>
          <t>TBC</t>
        </is>
      </c>
      <c r="G127" s="2" t="inlineStr">
        <is>
          <t>NOT SUBMITTED</t>
        </is>
      </c>
      <c r="H127" s="2" t="inlineStr">
        <is>
          <t>No signed approval evidence</t>
        </is>
      </c>
      <c r="I127" s="2" t="inlineStr">
        <is>
          <t>Engineering</t>
        </is>
      </c>
    </row>
    <row r="128">
      <c r="A128" s="2" t="inlineStr">
        <is>
          <t>SHV-B08-SHOP-R0</t>
        </is>
      </c>
      <c r="B128" s="2" t="inlineStr">
        <is>
          <t>WIN-NC</t>
        </is>
      </c>
      <c r="C128" s="2" t="inlineStr">
        <is>
          <t>Shop member, weld, joint and erection details</t>
        </is>
      </c>
      <c r="D128" s="2" t="inlineStr">
        <is>
          <t>GA and checked connection calculations</t>
        </is>
      </c>
      <c r="E128" s="2" t="inlineStr">
        <is>
          <t>TBC in project DCI/MCI</t>
        </is>
      </c>
      <c r="F128" s="2" t="inlineStr">
        <is>
          <t>TBC</t>
        </is>
      </c>
      <c r="G128" s="2" t="inlineStr">
        <is>
          <t>NOT SUBMITTED</t>
        </is>
      </c>
      <c r="H128" s="2" t="inlineStr">
        <is>
          <t>No signed approval evidence</t>
        </is>
      </c>
      <c r="I128" s="2" t="inlineStr">
        <is>
          <t>Engineering</t>
        </is>
      </c>
    </row>
    <row r="129">
      <c r="A129" s="2" t="inlineStr">
        <is>
          <t>SHV-B08-BRG-R0</t>
        </is>
      </c>
      <c r="B129" s="2" t="inlineStr">
        <is>
          <t>WIN-NC</t>
        </is>
      </c>
      <c r="C129" s="2" t="inlineStr">
        <is>
          <t>Bearing, guides, setting and restraints</t>
        </is>
      </c>
      <c r="D129" s="2" t="inlineStr">
        <is>
          <t>Movement/thrust and temperature envelope</t>
        </is>
      </c>
      <c r="E129" s="2" t="inlineStr">
        <is>
          <t>TBC in project DCI/MCI</t>
        </is>
      </c>
      <c r="F129" s="2" t="inlineStr">
        <is>
          <t>TBC</t>
        </is>
      </c>
      <c r="G129" s="2" t="inlineStr">
        <is>
          <t>NOT SUBMITTED</t>
        </is>
      </c>
      <c r="H129" s="2" t="inlineStr">
        <is>
          <t>No signed approval evidence</t>
        </is>
      </c>
      <c r="I129" s="2" t="inlineStr">
        <is>
          <t>Engineering</t>
        </is>
      </c>
    </row>
    <row r="130">
      <c r="A130" s="2" t="inlineStr">
        <is>
          <t>SHV-B08-TMP-R0</t>
        </is>
      </c>
      <c r="B130" s="2" t="inlineStr">
        <is>
          <t>WIN-NC</t>
        </is>
      </c>
      <c r="C130" s="2" t="inlineStr">
        <is>
          <t>Temporary supports/stability and strengthening details</t>
        </is>
      </c>
      <c r="D130" s="2" t="inlineStr">
        <is>
          <t>Stage analyses and surveyed condition</t>
        </is>
      </c>
      <c r="E130" s="2" t="inlineStr">
        <is>
          <t>TBC in project DCI/MCI</t>
        </is>
      </c>
      <c r="F130" s="2" t="inlineStr">
        <is>
          <t>TBC</t>
        </is>
      </c>
      <c r="G130" s="2" t="inlineStr">
        <is>
          <t>NOT SUBMITTED</t>
        </is>
      </c>
      <c r="H130" s="2" t="inlineStr">
        <is>
          <t>No signed approval evidence</t>
        </is>
      </c>
      <c r="I130" s="2" t="inlineStr">
        <is>
          <t>Engineering</t>
        </is>
      </c>
    </row>
    <row r="131">
      <c r="A131" s="2" t="inlineStr">
        <is>
          <t>SHV-B08-LFT-R0</t>
        </is>
      </c>
      <c r="B131" s="2" t="inlineStr">
        <is>
          <t>WIN-NC</t>
        </is>
      </c>
      <c r="C131" s="2" t="inlineStr">
        <is>
          <t>Lift/rigging/padeye/loadout procedure and drawings</t>
        </is>
      </c>
      <c r="D131" s="2" t="inlineStr">
        <is>
          <t>PRE/vessel/weight/COG</t>
        </is>
      </c>
      <c r="E131" s="2" t="inlineStr">
        <is>
          <t>TBC in project DCI/MCI</t>
        </is>
      </c>
      <c r="F131" s="2" t="inlineStr">
        <is>
          <t>TBC</t>
        </is>
      </c>
      <c r="G131" s="2" t="inlineStr">
        <is>
          <t>NOT SUBMITTED</t>
        </is>
      </c>
      <c r="H131" s="2" t="inlineStr">
        <is>
          <t>No signed approval evidence</t>
        </is>
      </c>
      <c r="I131" s="2" t="inlineStr">
        <is>
          <t>Engineering</t>
        </is>
      </c>
    </row>
    <row r="132">
      <c r="A132" s="2" t="inlineStr">
        <is>
          <t>SHV-B08-MTO-R0</t>
        </is>
      </c>
      <c r="B132" s="2" t="inlineStr">
        <is>
          <t>WIN-NC</t>
        </is>
      </c>
      <c r="C132" s="2" t="inlineStr">
        <is>
          <t>Detailed structural and services MTO</t>
        </is>
      </c>
      <c r="D132" s="2" t="inlineStr">
        <is>
          <t>Released details and class specifications</t>
        </is>
      </c>
      <c r="E132" s="2" t="inlineStr">
        <is>
          <t>TBC in project DCI/MCI</t>
        </is>
      </c>
      <c r="F132" s="2" t="inlineStr">
        <is>
          <t>TBC</t>
        </is>
      </c>
      <c r="G132" s="2" t="inlineStr">
        <is>
          <t>NOT SUBMITTED</t>
        </is>
      </c>
      <c r="H132" s="2" t="inlineStr">
        <is>
          <t>No signed approval evidence</t>
        </is>
      </c>
      <c r="I132" s="2" t="inlineStr">
        <is>
          <t>Engineering</t>
        </is>
      </c>
    </row>
    <row r="133">
      <c r="A133" s="2" t="inlineStr">
        <is>
          <t>SHV-B08-IWP-R0</t>
        </is>
      </c>
      <c r="B133" s="2" t="inlineStr">
        <is>
          <t>WIN-NC</t>
        </is>
      </c>
      <c r="C133" s="2" t="inlineStr">
        <is>
          <t>Installation/service-transfer/demolition work pack</t>
        </is>
      </c>
      <c r="D133" s="2" t="inlineStr">
        <is>
          <t>Design, material, access and approved sequence</t>
        </is>
      </c>
      <c r="E133" s="2" t="inlineStr">
        <is>
          <t>TBC in project DCI/MCI</t>
        </is>
      </c>
      <c r="F133" s="2" t="inlineStr">
        <is>
          <t>TBC</t>
        </is>
      </c>
      <c r="G133" s="2" t="inlineStr">
        <is>
          <t>NOT SUBMITTED</t>
        </is>
      </c>
      <c r="H133" s="2" t="inlineStr">
        <is>
          <t>No signed approval evidence</t>
        </is>
      </c>
      <c r="I133" s="2" t="inlineStr">
        <is>
          <t>Engineering</t>
        </is>
      </c>
    </row>
    <row r="134">
      <c r="A134" s="2" t="inlineStr">
        <is>
          <t>SHV-B08-ITP-R0</t>
        </is>
      </c>
      <c r="B134" s="2" t="inlineStr">
        <is>
          <t>WIN-NC</t>
        </is>
      </c>
      <c r="C134" s="2" t="inlineStr">
        <is>
          <t>Inspection and test plan/records index</t>
        </is>
      </c>
      <c r="D134" s="2" t="inlineStr">
        <is>
          <t>Applicable QA specifications</t>
        </is>
      </c>
      <c r="E134" s="2" t="inlineStr">
        <is>
          <t>TBC in project DCI/MCI</t>
        </is>
      </c>
      <c r="F134" s="2" t="inlineStr">
        <is>
          <t>TBC</t>
        </is>
      </c>
      <c r="G134" s="2" t="inlineStr">
        <is>
          <t>NOT SUBMITTED</t>
        </is>
      </c>
      <c r="H134" s="2" t="inlineStr">
        <is>
          <t>No signed approval evidence</t>
        </is>
      </c>
      <c r="I134" s="2" t="inlineStr">
        <is>
          <t>QA/Completions</t>
        </is>
      </c>
    </row>
    <row r="135">
      <c r="A135" s="2" t="inlineStr">
        <is>
          <t>SHV-B08-TEST-R0</t>
        </is>
      </c>
      <c r="B135" s="2" t="inlineStr">
        <is>
          <t>WIN-NC</t>
        </is>
      </c>
      <c r="C135" s="2" t="inlineStr">
        <is>
          <t>Service reinstatement and acceptance procedures</t>
        </is>
      </c>
      <c r="D135" s="2" t="inlineStr">
        <is>
          <t>Approved system boundaries</t>
        </is>
      </c>
      <c r="E135" s="2" t="inlineStr">
        <is>
          <t>TBC in project DCI/MCI</t>
        </is>
      </c>
      <c r="F135" s="2" t="inlineStr">
        <is>
          <t>TBC</t>
        </is>
      </c>
      <c r="G135" s="2" t="inlineStr">
        <is>
          <t>NOT SUBMITTED</t>
        </is>
      </c>
      <c r="H135" s="2" t="inlineStr">
        <is>
          <t>No signed approval evidence</t>
        </is>
      </c>
      <c r="I135" s="2" t="inlineStr">
        <is>
          <t>Engineering</t>
        </is>
      </c>
    </row>
    <row r="136">
      <c r="A136" s="2" t="inlineStr">
        <is>
          <t>SHV-B08-ASB-R0</t>
        </is>
      </c>
      <c r="B136" s="2" t="inlineStr">
        <is>
          <t>WIN-NC</t>
        </is>
      </c>
      <c r="C136" s="2" t="inlineStr">
        <is>
          <t>As-built/native model/vendor dossier</t>
        </is>
      </c>
      <c r="D136" s="2" t="inlineStr">
        <is>
          <t>Verified final configuration</t>
        </is>
      </c>
      <c r="E136" s="2" t="inlineStr">
        <is>
          <t>TBC in project DCI/MCI</t>
        </is>
      </c>
      <c r="F136" s="2" t="inlineStr">
        <is>
          <t>TBC</t>
        </is>
      </c>
      <c r="G136" s="2" t="inlineStr">
        <is>
          <t>NOT SUBMITTED</t>
        </is>
      </c>
      <c r="H136" s="2" t="inlineStr">
        <is>
          <t>No signed approval evidence</t>
        </is>
      </c>
      <c r="I136" s="2" t="inlineStr">
        <is>
          <t>Engineering</t>
        </is>
      </c>
    </row>
    <row r="137">
      <c r="A137" s="2" t="inlineStr">
        <is>
          <t>SHV-B08-TO-R0</t>
        </is>
      </c>
      <c r="B137" s="2" t="inlineStr">
        <is>
          <t>WIN-NC</t>
        </is>
      </c>
      <c r="C137" s="2" t="inlineStr">
        <is>
          <t>Turnover and acceptance dossier</t>
        </is>
      </c>
      <c r="D137" s="2" t="inlineStr">
        <is>
          <t>Completed records/punch closure</t>
        </is>
      </c>
      <c r="E137" s="2" t="inlineStr">
        <is>
          <t>TBC in project DCI/MCI</t>
        </is>
      </c>
      <c r="F137" s="2" t="inlineStr">
        <is>
          <t>TBC</t>
        </is>
      </c>
      <c r="G137" s="2" t="inlineStr">
        <is>
          <t>NOT SUBMITTED</t>
        </is>
      </c>
      <c r="H137" s="2" t="inlineStr">
        <is>
          <t>No signed approval evidence</t>
        </is>
      </c>
      <c r="I137" s="2" t="inlineStr">
        <is>
          <t>QA/Completions</t>
        </is>
      </c>
    </row>
    <row r="138">
      <c r="A138" s="2" t="inlineStr">
        <is>
          <t>SHV-B09-DB-R0</t>
        </is>
      </c>
      <c r="B138" s="2" t="inlineStr">
        <is>
          <t>SCA-SC1</t>
        </is>
      </c>
      <c r="C138" s="2" t="inlineStr">
        <is>
          <t>Bridge-specific design basis</t>
        </is>
      </c>
      <c r="D138" s="2" t="inlineStr">
        <is>
          <t>Survey and controlling criteria</t>
        </is>
      </c>
      <c r="E138" s="2" t="inlineStr">
        <is>
          <t>TBC in project DCI/MCI</t>
        </is>
      </c>
      <c r="F138" s="2" t="inlineStr">
        <is>
          <t>TBC</t>
        </is>
      </c>
      <c r="G138" s="2" t="inlineStr">
        <is>
          <t>NOT SUBMITTED</t>
        </is>
      </c>
      <c r="H138" s="2" t="inlineStr">
        <is>
          <t>No signed approval evidence</t>
        </is>
      </c>
      <c r="I138" s="2" t="inlineStr">
        <is>
          <t>Engineering</t>
        </is>
      </c>
    </row>
    <row r="139">
      <c r="A139" s="2" t="inlineStr">
        <is>
          <t>SHV-B09-SUR-R0</t>
        </is>
      </c>
      <c r="B139" s="2" t="inlineStr">
        <is>
          <t>SCA-SC1</t>
        </is>
      </c>
      <c r="C139" s="2" t="inlineStr">
        <is>
          <t>Pre-engineering/condition survey dossier</t>
        </is>
      </c>
      <c r="D139" s="2" t="inlineStr">
        <is>
          <t>Access, survey and NDT</t>
        </is>
      </c>
      <c r="E139" s="2" t="inlineStr">
        <is>
          <t>TBC in project DCI/MCI</t>
        </is>
      </c>
      <c r="F139" s="2" t="inlineStr">
        <is>
          <t>TBC</t>
        </is>
      </c>
      <c r="G139" s="2" t="inlineStr">
        <is>
          <t>NOT SUBMITTED</t>
        </is>
      </c>
      <c r="H139" s="2" t="inlineStr">
        <is>
          <t>No signed approval evidence</t>
        </is>
      </c>
      <c r="I139" s="2" t="inlineStr">
        <is>
          <t>Engineering</t>
        </is>
      </c>
    </row>
    <row r="140">
      <c r="A140" s="2" t="inlineStr">
        <is>
          <t>SHV-B09-ANA-R0</t>
        </is>
      </c>
      <c r="B140" s="2" t="inlineStr">
        <is>
          <t>SCA-SC1</t>
        </is>
      </c>
      <c r="C140" s="2" t="inlineStr">
        <is>
          <t>Global bridge/serviceability/fatigue/VIV analysis</t>
        </is>
      </c>
      <c r="D140" s="2" t="inlineStr">
        <is>
          <t>DB/SUR accepted</t>
        </is>
      </c>
      <c r="E140" s="2" t="inlineStr">
        <is>
          <t>TBC in project DCI/MCI</t>
        </is>
      </c>
      <c r="F140" s="2" t="inlineStr">
        <is>
          <t>TBC</t>
        </is>
      </c>
      <c r="G140" s="2" t="inlineStr">
        <is>
          <t>NOT SUBMITTED</t>
        </is>
      </c>
      <c r="H140" s="2" t="inlineStr">
        <is>
          <t>No signed approval evidence</t>
        </is>
      </c>
      <c r="I140" s="2" t="inlineStr">
        <is>
          <t>Engineering</t>
        </is>
      </c>
    </row>
    <row r="141">
      <c r="A141" s="2" t="inlineStr">
        <is>
          <t>SHV-B09-PRE-R0</t>
        </is>
      </c>
      <c r="B141" s="2" t="inlineStr">
        <is>
          <t>SCA-SC1</t>
        </is>
      </c>
      <c r="C141" s="2" t="inlineStr">
        <is>
          <t>Preservice lift/transport/temporary-stage analysis</t>
        </is>
      </c>
      <c r="D141" s="2" t="inlineStr">
        <is>
          <t>Module envelope and vessel inputs</t>
        </is>
      </c>
      <c r="E141" s="2" t="inlineStr">
        <is>
          <t>TBC in project DCI/MCI</t>
        </is>
      </c>
      <c r="F141" s="2" t="inlineStr">
        <is>
          <t>TBC</t>
        </is>
      </c>
      <c r="G141" s="2" t="inlineStr">
        <is>
          <t>NOT SUBMITTED</t>
        </is>
      </c>
      <c r="H141" s="2" t="inlineStr">
        <is>
          <t>No signed approval evidence</t>
        </is>
      </c>
      <c r="I141" s="2" t="inlineStr">
        <is>
          <t>Engineering</t>
        </is>
      </c>
    </row>
    <row r="142">
      <c r="A142" s="2" t="inlineStr">
        <is>
          <t>SHV-B09-SUP-R0</t>
        </is>
      </c>
      <c r="B142" s="2" t="inlineStr">
        <is>
          <t>SCA-SC1</t>
        </is>
      </c>
      <c r="C142" s="2" t="inlineStr">
        <is>
          <t>Landing/deck/support and interface reaction report</t>
        </is>
      </c>
      <c r="D142" s="2" t="inlineStr">
        <is>
          <t>Bridge/piping reactions</t>
        </is>
      </c>
      <c r="E142" s="2" t="inlineStr">
        <is>
          <t>TBC in project DCI/MCI</t>
        </is>
      </c>
      <c r="F142" s="2" t="inlineStr">
        <is>
          <t>TBC</t>
        </is>
      </c>
      <c r="G142" s="2" t="inlineStr">
        <is>
          <t>NOT SUBMITTED</t>
        </is>
      </c>
      <c r="H142" s="2" t="inlineStr">
        <is>
          <t>No signed approval evidence</t>
        </is>
      </c>
      <c r="I142" s="2" t="inlineStr">
        <is>
          <t>Engineering</t>
        </is>
      </c>
    </row>
    <row r="143">
      <c r="A143" s="2" t="inlineStr">
        <is>
          <t>SHV-B09-JNT-R0</t>
        </is>
      </c>
      <c r="B143" s="2" t="inlineStr">
        <is>
          <t>SCA-SC1</t>
        </is>
      </c>
      <c r="C143" s="2" t="inlineStr">
        <is>
          <t>Connection/member/bearing check report</t>
        </is>
      </c>
      <c r="D143" s="2" t="inlineStr">
        <is>
          <t>Global forces and verified materials</t>
        </is>
      </c>
      <c r="E143" s="2" t="inlineStr">
        <is>
          <t>TBC in project DCI/MCI</t>
        </is>
      </c>
      <c r="F143" s="2" t="inlineStr">
        <is>
          <t>TBC</t>
        </is>
      </c>
      <c r="G143" s="2" t="inlineStr">
        <is>
          <t>NOT SUBMITTED</t>
        </is>
      </c>
      <c r="H143" s="2" t="inlineStr">
        <is>
          <t>No signed approval evidence</t>
        </is>
      </c>
      <c r="I143" s="2" t="inlineStr">
        <is>
          <t>Engineering</t>
        </is>
      </c>
    </row>
    <row r="144">
      <c r="A144" s="2" t="inlineStr">
        <is>
          <t>SHV-B09-GA-R0</t>
        </is>
      </c>
      <c r="B144" s="2" t="inlineStr">
        <is>
          <t>SCA-SC1</t>
        </is>
      </c>
      <c r="C144" s="2" t="inlineStr">
        <is>
          <t>General arrangement and geometry details</t>
        </is>
      </c>
      <c r="D144" s="2" t="inlineStr">
        <is>
          <t>Accepted mother analysis</t>
        </is>
      </c>
      <c r="E144" s="2" t="inlineStr">
        <is>
          <t>TBC in project DCI/MCI</t>
        </is>
      </c>
      <c r="F144" s="2" t="inlineStr">
        <is>
          <t>TBC</t>
        </is>
      </c>
      <c r="G144" s="2" t="inlineStr">
        <is>
          <t>NOT SUBMITTED</t>
        </is>
      </c>
      <c r="H144" s="2" t="inlineStr">
        <is>
          <t>No signed approval evidence</t>
        </is>
      </c>
      <c r="I144" s="2" t="inlineStr">
        <is>
          <t>Engineering</t>
        </is>
      </c>
    </row>
    <row r="145">
      <c r="A145" s="2" t="inlineStr">
        <is>
          <t>SHV-B09-SHOP-R0</t>
        </is>
      </c>
      <c r="B145" s="2" t="inlineStr">
        <is>
          <t>SCA-SC1</t>
        </is>
      </c>
      <c r="C145" s="2" t="inlineStr">
        <is>
          <t>Shop member, weld, joint and erection details</t>
        </is>
      </c>
      <c r="D145" s="2" t="inlineStr">
        <is>
          <t>GA and checked connection calculations</t>
        </is>
      </c>
      <c r="E145" s="2" t="inlineStr">
        <is>
          <t>TBC in project DCI/MCI</t>
        </is>
      </c>
      <c r="F145" s="2" t="inlineStr">
        <is>
          <t>TBC</t>
        </is>
      </c>
      <c r="G145" s="2" t="inlineStr">
        <is>
          <t>NOT SUBMITTED</t>
        </is>
      </c>
      <c r="H145" s="2" t="inlineStr">
        <is>
          <t>No signed approval evidence</t>
        </is>
      </c>
      <c r="I145" s="2" t="inlineStr">
        <is>
          <t>Engineering</t>
        </is>
      </c>
    </row>
    <row r="146">
      <c r="A146" s="2" t="inlineStr">
        <is>
          <t>SHV-B09-BRG-R0</t>
        </is>
      </c>
      <c r="B146" s="2" t="inlineStr">
        <is>
          <t>SCA-SC1</t>
        </is>
      </c>
      <c r="C146" s="2" t="inlineStr">
        <is>
          <t>Bearing, guides, setting and restraints</t>
        </is>
      </c>
      <c r="D146" s="2" t="inlineStr">
        <is>
          <t>Movement/thrust and temperature envelope</t>
        </is>
      </c>
      <c r="E146" s="2" t="inlineStr">
        <is>
          <t>TBC in project DCI/MCI</t>
        </is>
      </c>
      <c r="F146" s="2" t="inlineStr">
        <is>
          <t>TBC</t>
        </is>
      </c>
      <c r="G146" s="2" t="inlineStr">
        <is>
          <t>NOT SUBMITTED</t>
        </is>
      </c>
      <c r="H146" s="2" t="inlineStr">
        <is>
          <t>No signed approval evidence</t>
        </is>
      </c>
      <c r="I146" s="2" t="inlineStr">
        <is>
          <t>Engineering</t>
        </is>
      </c>
    </row>
    <row r="147">
      <c r="A147" s="2" t="inlineStr">
        <is>
          <t>SHV-B09-TMP-R0</t>
        </is>
      </c>
      <c r="B147" s="2" t="inlineStr">
        <is>
          <t>SCA-SC1</t>
        </is>
      </c>
      <c r="C147" s="2" t="inlineStr">
        <is>
          <t>Temporary supports/stability and strengthening details</t>
        </is>
      </c>
      <c r="D147" s="2" t="inlineStr">
        <is>
          <t>Stage analyses and surveyed condition</t>
        </is>
      </c>
      <c r="E147" s="2" t="inlineStr">
        <is>
          <t>TBC in project DCI/MCI</t>
        </is>
      </c>
      <c r="F147" s="2" t="inlineStr">
        <is>
          <t>TBC</t>
        </is>
      </c>
      <c r="G147" s="2" t="inlineStr">
        <is>
          <t>NOT SUBMITTED</t>
        </is>
      </c>
      <c r="H147" s="2" t="inlineStr">
        <is>
          <t>No signed approval evidence</t>
        </is>
      </c>
      <c r="I147" s="2" t="inlineStr">
        <is>
          <t>Engineering</t>
        </is>
      </c>
    </row>
    <row r="148">
      <c r="A148" s="2" t="inlineStr">
        <is>
          <t>SHV-B09-LFT-R0</t>
        </is>
      </c>
      <c r="B148" s="2" t="inlineStr">
        <is>
          <t>SCA-SC1</t>
        </is>
      </c>
      <c r="C148" s="2" t="inlineStr">
        <is>
          <t>Lift/rigging/padeye/loadout procedure and drawings</t>
        </is>
      </c>
      <c r="D148" s="2" t="inlineStr">
        <is>
          <t>PRE/vessel/weight/COG</t>
        </is>
      </c>
      <c r="E148" s="2" t="inlineStr">
        <is>
          <t>TBC in project DCI/MCI</t>
        </is>
      </c>
      <c r="F148" s="2" t="inlineStr">
        <is>
          <t>TBC</t>
        </is>
      </c>
      <c r="G148" s="2" t="inlineStr">
        <is>
          <t>NOT SUBMITTED</t>
        </is>
      </c>
      <c r="H148" s="2" t="inlineStr">
        <is>
          <t>No signed approval evidence</t>
        </is>
      </c>
      <c r="I148" s="2" t="inlineStr">
        <is>
          <t>Engineering</t>
        </is>
      </c>
    </row>
    <row r="149">
      <c r="A149" s="2" t="inlineStr">
        <is>
          <t>SHV-B09-MTO-R0</t>
        </is>
      </c>
      <c r="B149" s="2" t="inlineStr">
        <is>
          <t>SCA-SC1</t>
        </is>
      </c>
      <c r="C149" s="2" t="inlineStr">
        <is>
          <t>Detailed structural and services MTO</t>
        </is>
      </c>
      <c r="D149" s="2" t="inlineStr">
        <is>
          <t>Released details and class specifications</t>
        </is>
      </c>
      <c r="E149" s="2" t="inlineStr">
        <is>
          <t>TBC in project DCI/MCI</t>
        </is>
      </c>
      <c r="F149" s="2" t="inlineStr">
        <is>
          <t>TBC</t>
        </is>
      </c>
      <c r="G149" s="2" t="inlineStr">
        <is>
          <t>NOT SUBMITTED</t>
        </is>
      </c>
      <c r="H149" s="2" t="inlineStr">
        <is>
          <t>No signed approval evidence</t>
        </is>
      </c>
      <c r="I149" s="2" t="inlineStr">
        <is>
          <t>Engineering</t>
        </is>
      </c>
    </row>
    <row r="150">
      <c r="A150" s="2" t="inlineStr">
        <is>
          <t>SHV-B09-IWP-R0</t>
        </is>
      </c>
      <c r="B150" s="2" t="inlineStr">
        <is>
          <t>SCA-SC1</t>
        </is>
      </c>
      <c r="C150" s="2" t="inlineStr">
        <is>
          <t>Installation/service-transfer/demolition work pack</t>
        </is>
      </c>
      <c r="D150" s="2" t="inlineStr">
        <is>
          <t>Design, material, access and approved sequence</t>
        </is>
      </c>
      <c r="E150" s="2" t="inlineStr">
        <is>
          <t>TBC in project DCI/MCI</t>
        </is>
      </c>
      <c r="F150" s="2" t="inlineStr">
        <is>
          <t>TBC</t>
        </is>
      </c>
      <c r="G150" s="2" t="inlineStr">
        <is>
          <t>NOT SUBMITTED</t>
        </is>
      </c>
      <c r="H150" s="2" t="inlineStr">
        <is>
          <t>No signed approval evidence</t>
        </is>
      </c>
      <c r="I150" s="2" t="inlineStr">
        <is>
          <t>Engineering</t>
        </is>
      </c>
    </row>
    <row r="151">
      <c r="A151" s="2" t="inlineStr">
        <is>
          <t>SHV-B09-ITP-R0</t>
        </is>
      </c>
      <c r="B151" s="2" t="inlineStr">
        <is>
          <t>SCA-SC1</t>
        </is>
      </c>
      <c r="C151" s="2" t="inlineStr">
        <is>
          <t>Inspection and test plan/records index</t>
        </is>
      </c>
      <c r="D151" s="2" t="inlineStr">
        <is>
          <t>Applicable QA specifications</t>
        </is>
      </c>
      <c r="E151" s="2" t="inlineStr">
        <is>
          <t>TBC in project DCI/MCI</t>
        </is>
      </c>
      <c r="F151" s="2" t="inlineStr">
        <is>
          <t>TBC</t>
        </is>
      </c>
      <c r="G151" s="2" t="inlineStr">
        <is>
          <t>NOT SUBMITTED</t>
        </is>
      </c>
      <c r="H151" s="2" t="inlineStr">
        <is>
          <t>No signed approval evidence</t>
        </is>
      </c>
      <c r="I151" s="2" t="inlineStr">
        <is>
          <t>QA/Completions</t>
        </is>
      </c>
    </row>
    <row r="152">
      <c r="A152" s="2" t="inlineStr">
        <is>
          <t>SHV-B09-TEST-R0</t>
        </is>
      </c>
      <c r="B152" s="2" t="inlineStr">
        <is>
          <t>SCA-SC1</t>
        </is>
      </c>
      <c r="C152" s="2" t="inlineStr">
        <is>
          <t>Service reinstatement and acceptance procedures</t>
        </is>
      </c>
      <c r="D152" s="2" t="inlineStr">
        <is>
          <t>Approved system boundaries</t>
        </is>
      </c>
      <c r="E152" s="2" t="inlineStr">
        <is>
          <t>TBC in project DCI/MCI</t>
        </is>
      </c>
      <c r="F152" s="2" t="inlineStr">
        <is>
          <t>TBC</t>
        </is>
      </c>
      <c r="G152" s="2" t="inlineStr">
        <is>
          <t>NOT SUBMITTED</t>
        </is>
      </c>
      <c r="H152" s="2" t="inlineStr">
        <is>
          <t>No signed approval evidence</t>
        </is>
      </c>
      <c r="I152" s="2" t="inlineStr">
        <is>
          <t>Engineering</t>
        </is>
      </c>
    </row>
    <row r="153">
      <c r="A153" s="2" t="inlineStr">
        <is>
          <t>SHV-B09-ASB-R0</t>
        </is>
      </c>
      <c r="B153" s="2" t="inlineStr">
        <is>
          <t>SCA-SC1</t>
        </is>
      </c>
      <c r="C153" s="2" t="inlineStr">
        <is>
          <t>As-built/native model/vendor dossier</t>
        </is>
      </c>
      <c r="D153" s="2" t="inlineStr">
        <is>
          <t>Verified final configuration</t>
        </is>
      </c>
      <c r="E153" s="2" t="inlineStr">
        <is>
          <t>TBC in project DCI/MCI</t>
        </is>
      </c>
      <c r="F153" s="2" t="inlineStr">
        <is>
          <t>TBC</t>
        </is>
      </c>
      <c r="G153" s="2" t="inlineStr">
        <is>
          <t>NOT SUBMITTED</t>
        </is>
      </c>
      <c r="H153" s="2" t="inlineStr">
        <is>
          <t>No signed approval evidence</t>
        </is>
      </c>
      <c r="I153" s="2" t="inlineStr">
        <is>
          <t>Engineering</t>
        </is>
      </c>
    </row>
    <row r="154">
      <c r="A154" s="2" t="inlineStr">
        <is>
          <t>SHV-B09-TO-R0</t>
        </is>
      </c>
      <c r="B154" s="2" t="inlineStr">
        <is>
          <t>SCA-SC1</t>
        </is>
      </c>
      <c r="C154" s="2" t="inlineStr">
        <is>
          <t>Turnover and acceptance dossier</t>
        </is>
      </c>
      <c r="D154" s="2" t="inlineStr">
        <is>
          <t>Completed records/punch closure</t>
        </is>
      </c>
      <c r="E154" s="2" t="inlineStr">
        <is>
          <t>TBC in project DCI/MCI</t>
        </is>
      </c>
      <c r="F154" s="2" t="inlineStr">
        <is>
          <t>TBC</t>
        </is>
      </c>
      <c r="G154" s="2" t="inlineStr">
        <is>
          <t>NOT SUBMITTED</t>
        </is>
      </c>
      <c r="H154" s="2" t="inlineStr">
        <is>
          <t>No signed approval evidence</t>
        </is>
      </c>
      <c r="I154" s="2" t="inlineStr">
        <is>
          <t>QA/Completions</t>
        </is>
      </c>
    </row>
    <row r="155">
      <c r="A155" s="2" t="inlineStr">
        <is>
          <t>SHV-B10-DB-R0</t>
        </is>
      </c>
      <c r="B155" s="2" t="inlineStr">
        <is>
          <t>SCA-SCF</t>
        </is>
      </c>
      <c r="C155" s="2" t="inlineStr">
        <is>
          <t>Bridge-specific design basis</t>
        </is>
      </c>
      <c r="D155" s="2" t="inlineStr">
        <is>
          <t>Survey and controlling criteria</t>
        </is>
      </c>
      <c r="E155" s="2" t="inlineStr">
        <is>
          <t>TBC in project DCI/MCI</t>
        </is>
      </c>
      <c r="F155" s="2" t="inlineStr">
        <is>
          <t>TBC</t>
        </is>
      </c>
      <c r="G155" s="2" t="inlineStr">
        <is>
          <t>NOT SUBMITTED</t>
        </is>
      </c>
      <c r="H155" s="2" t="inlineStr">
        <is>
          <t>No signed approval evidence</t>
        </is>
      </c>
      <c r="I155" s="2" t="inlineStr">
        <is>
          <t>Engineering</t>
        </is>
      </c>
    </row>
    <row r="156">
      <c r="A156" s="2" t="inlineStr">
        <is>
          <t>SHV-B10-SUR-R0</t>
        </is>
      </c>
      <c r="B156" s="2" t="inlineStr">
        <is>
          <t>SCA-SCF</t>
        </is>
      </c>
      <c r="C156" s="2" t="inlineStr">
        <is>
          <t>Pre-engineering/condition survey dossier</t>
        </is>
      </c>
      <c r="D156" s="2" t="inlineStr">
        <is>
          <t>Access, survey and NDT</t>
        </is>
      </c>
      <c r="E156" s="2" t="inlineStr">
        <is>
          <t>TBC in project DCI/MCI</t>
        </is>
      </c>
      <c r="F156" s="2" t="inlineStr">
        <is>
          <t>TBC</t>
        </is>
      </c>
      <c r="G156" s="2" t="inlineStr">
        <is>
          <t>NOT SUBMITTED</t>
        </is>
      </c>
      <c r="H156" s="2" t="inlineStr">
        <is>
          <t>No signed approval evidence</t>
        </is>
      </c>
      <c r="I156" s="2" t="inlineStr">
        <is>
          <t>Engineering</t>
        </is>
      </c>
    </row>
    <row r="157">
      <c r="A157" s="2" t="inlineStr">
        <is>
          <t>SHV-B10-ANA-R0</t>
        </is>
      </c>
      <c r="B157" s="2" t="inlineStr">
        <is>
          <t>SCA-SCF</t>
        </is>
      </c>
      <c r="C157" s="2" t="inlineStr">
        <is>
          <t>Global bridge/serviceability/fatigue/VIV analysis</t>
        </is>
      </c>
      <c r="D157" s="2" t="inlineStr">
        <is>
          <t>DB/SUR accepted</t>
        </is>
      </c>
      <c r="E157" s="2" t="inlineStr">
        <is>
          <t>TBC in project DCI/MCI</t>
        </is>
      </c>
      <c r="F157" s="2" t="inlineStr">
        <is>
          <t>TBC</t>
        </is>
      </c>
      <c r="G157" s="2" t="inlineStr">
        <is>
          <t>NOT SUBMITTED</t>
        </is>
      </c>
      <c r="H157" s="2" t="inlineStr">
        <is>
          <t>No signed approval evidence</t>
        </is>
      </c>
      <c r="I157" s="2" t="inlineStr">
        <is>
          <t>Engineering</t>
        </is>
      </c>
    </row>
    <row r="158">
      <c r="A158" s="2" t="inlineStr">
        <is>
          <t>SHV-B10-PRE-R0</t>
        </is>
      </c>
      <c r="B158" s="2" t="inlineStr">
        <is>
          <t>SCA-SCF</t>
        </is>
      </c>
      <c r="C158" s="2" t="inlineStr">
        <is>
          <t>Preservice lift/transport/temporary-stage analysis</t>
        </is>
      </c>
      <c r="D158" s="2" t="inlineStr">
        <is>
          <t>Module envelope and vessel inputs</t>
        </is>
      </c>
      <c r="E158" s="2" t="inlineStr">
        <is>
          <t>TBC in project DCI/MCI</t>
        </is>
      </c>
      <c r="F158" s="2" t="inlineStr">
        <is>
          <t>TBC</t>
        </is>
      </c>
      <c r="G158" s="2" t="inlineStr">
        <is>
          <t>NOT SUBMITTED</t>
        </is>
      </c>
      <c r="H158" s="2" t="inlineStr">
        <is>
          <t>No signed approval evidence</t>
        </is>
      </c>
      <c r="I158" s="2" t="inlineStr">
        <is>
          <t>Engineering</t>
        </is>
      </c>
    </row>
    <row r="159">
      <c r="A159" s="2" t="inlineStr">
        <is>
          <t>SHV-B10-SUP-R0</t>
        </is>
      </c>
      <c r="B159" s="2" t="inlineStr">
        <is>
          <t>SCA-SCF</t>
        </is>
      </c>
      <c r="C159" s="2" t="inlineStr">
        <is>
          <t>Landing/deck/support and interface reaction report</t>
        </is>
      </c>
      <c r="D159" s="2" t="inlineStr">
        <is>
          <t>Bridge/piping reactions</t>
        </is>
      </c>
      <c r="E159" s="2" t="inlineStr">
        <is>
          <t>TBC in project DCI/MCI</t>
        </is>
      </c>
      <c r="F159" s="2" t="inlineStr">
        <is>
          <t>TBC</t>
        </is>
      </c>
      <c r="G159" s="2" t="inlineStr">
        <is>
          <t>NOT SUBMITTED</t>
        </is>
      </c>
      <c r="H159" s="2" t="inlineStr">
        <is>
          <t>No signed approval evidence</t>
        </is>
      </c>
      <c r="I159" s="2" t="inlineStr">
        <is>
          <t>Engineering</t>
        </is>
      </c>
    </row>
    <row r="160">
      <c r="A160" s="2" t="inlineStr">
        <is>
          <t>SHV-B10-JNT-R0</t>
        </is>
      </c>
      <c r="B160" s="2" t="inlineStr">
        <is>
          <t>SCA-SCF</t>
        </is>
      </c>
      <c r="C160" s="2" t="inlineStr">
        <is>
          <t>Connection/member/bearing check report</t>
        </is>
      </c>
      <c r="D160" s="2" t="inlineStr">
        <is>
          <t>Global forces and verified materials</t>
        </is>
      </c>
      <c r="E160" s="2" t="inlineStr">
        <is>
          <t>TBC in project DCI/MCI</t>
        </is>
      </c>
      <c r="F160" s="2" t="inlineStr">
        <is>
          <t>TBC</t>
        </is>
      </c>
      <c r="G160" s="2" t="inlineStr">
        <is>
          <t>NOT SUBMITTED</t>
        </is>
      </c>
      <c r="H160" s="2" t="inlineStr">
        <is>
          <t>No signed approval evidence</t>
        </is>
      </c>
      <c r="I160" s="2" t="inlineStr">
        <is>
          <t>Engineering</t>
        </is>
      </c>
    </row>
    <row r="161">
      <c r="A161" s="2" t="inlineStr">
        <is>
          <t>SHV-B10-GA-R0</t>
        </is>
      </c>
      <c r="B161" s="2" t="inlineStr">
        <is>
          <t>SCA-SCF</t>
        </is>
      </c>
      <c r="C161" s="2" t="inlineStr">
        <is>
          <t>General arrangement and geometry details</t>
        </is>
      </c>
      <c r="D161" s="2" t="inlineStr">
        <is>
          <t>Accepted mother analysis</t>
        </is>
      </c>
      <c r="E161" s="2" t="inlineStr">
        <is>
          <t>TBC in project DCI/MCI</t>
        </is>
      </c>
      <c r="F161" s="2" t="inlineStr">
        <is>
          <t>TBC</t>
        </is>
      </c>
      <c r="G161" s="2" t="inlineStr">
        <is>
          <t>NOT SUBMITTED</t>
        </is>
      </c>
      <c r="H161" s="2" t="inlineStr">
        <is>
          <t>No signed approval evidence</t>
        </is>
      </c>
      <c r="I161" s="2" t="inlineStr">
        <is>
          <t>Engineering</t>
        </is>
      </c>
    </row>
    <row r="162">
      <c r="A162" s="2" t="inlineStr">
        <is>
          <t>SHV-B10-SHOP-R0</t>
        </is>
      </c>
      <c r="B162" s="2" t="inlineStr">
        <is>
          <t>SCA-SCF</t>
        </is>
      </c>
      <c r="C162" s="2" t="inlineStr">
        <is>
          <t>Shop member, weld, joint and erection details</t>
        </is>
      </c>
      <c r="D162" s="2" t="inlineStr">
        <is>
          <t>GA and checked connection calculations</t>
        </is>
      </c>
      <c r="E162" s="2" t="inlineStr">
        <is>
          <t>TBC in project DCI/MCI</t>
        </is>
      </c>
      <c r="F162" s="2" t="inlineStr">
        <is>
          <t>TBC</t>
        </is>
      </c>
      <c r="G162" s="2" t="inlineStr">
        <is>
          <t>NOT SUBMITTED</t>
        </is>
      </c>
      <c r="H162" s="2" t="inlineStr">
        <is>
          <t>No signed approval evidence</t>
        </is>
      </c>
      <c r="I162" s="2" t="inlineStr">
        <is>
          <t>Engineering</t>
        </is>
      </c>
    </row>
    <row r="163">
      <c r="A163" s="2" t="inlineStr">
        <is>
          <t>SHV-B10-BRG-R0</t>
        </is>
      </c>
      <c r="B163" s="2" t="inlineStr">
        <is>
          <t>SCA-SCF</t>
        </is>
      </c>
      <c r="C163" s="2" t="inlineStr">
        <is>
          <t>Bearing, guides, setting and restraints</t>
        </is>
      </c>
      <c r="D163" s="2" t="inlineStr">
        <is>
          <t>Movement/thrust and temperature envelope</t>
        </is>
      </c>
      <c r="E163" s="2" t="inlineStr">
        <is>
          <t>TBC in project DCI/MCI</t>
        </is>
      </c>
      <c r="F163" s="2" t="inlineStr">
        <is>
          <t>TBC</t>
        </is>
      </c>
      <c r="G163" s="2" t="inlineStr">
        <is>
          <t>NOT SUBMITTED</t>
        </is>
      </c>
      <c r="H163" s="2" t="inlineStr">
        <is>
          <t>No signed approval evidence</t>
        </is>
      </c>
      <c r="I163" s="2" t="inlineStr">
        <is>
          <t>Engineering</t>
        </is>
      </c>
    </row>
    <row r="164">
      <c r="A164" s="2" t="inlineStr">
        <is>
          <t>SHV-B10-TMP-R0</t>
        </is>
      </c>
      <c r="B164" s="2" t="inlineStr">
        <is>
          <t>SCA-SCF</t>
        </is>
      </c>
      <c r="C164" s="2" t="inlineStr">
        <is>
          <t>Temporary supports/stability and strengthening details</t>
        </is>
      </c>
      <c r="D164" s="2" t="inlineStr">
        <is>
          <t>Stage analyses and surveyed condition</t>
        </is>
      </c>
      <c r="E164" s="2" t="inlineStr">
        <is>
          <t>TBC in project DCI/MCI</t>
        </is>
      </c>
      <c r="F164" s="2" t="inlineStr">
        <is>
          <t>TBC</t>
        </is>
      </c>
      <c r="G164" s="2" t="inlineStr">
        <is>
          <t>NOT SUBMITTED</t>
        </is>
      </c>
      <c r="H164" s="2" t="inlineStr">
        <is>
          <t>No signed approval evidence</t>
        </is>
      </c>
      <c r="I164" s="2" t="inlineStr">
        <is>
          <t>Engineering</t>
        </is>
      </c>
    </row>
    <row r="165">
      <c r="A165" s="2" t="inlineStr">
        <is>
          <t>SHV-B10-LFT-R0</t>
        </is>
      </c>
      <c r="B165" s="2" t="inlineStr">
        <is>
          <t>SCA-SCF</t>
        </is>
      </c>
      <c r="C165" s="2" t="inlineStr">
        <is>
          <t>Lift/rigging/padeye/loadout procedure and drawings</t>
        </is>
      </c>
      <c r="D165" s="2" t="inlineStr">
        <is>
          <t>PRE/vessel/weight/COG</t>
        </is>
      </c>
      <c r="E165" s="2" t="inlineStr">
        <is>
          <t>TBC in project DCI/MCI</t>
        </is>
      </c>
      <c r="F165" s="2" t="inlineStr">
        <is>
          <t>TBC</t>
        </is>
      </c>
      <c r="G165" s="2" t="inlineStr">
        <is>
          <t>NOT SUBMITTED</t>
        </is>
      </c>
      <c r="H165" s="2" t="inlineStr">
        <is>
          <t>No signed approval evidence</t>
        </is>
      </c>
      <c r="I165" s="2" t="inlineStr">
        <is>
          <t>Engineering</t>
        </is>
      </c>
    </row>
    <row r="166">
      <c r="A166" s="2" t="inlineStr">
        <is>
          <t>SHV-B10-MTO-R0</t>
        </is>
      </c>
      <c r="B166" s="2" t="inlineStr">
        <is>
          <t>SCA-SCF</t>
        </is>
      </c>
      <c r="C166" s="2" t="inlineStr">
        <is>
          <t>Detailed structural and services MTO</t>
        </is>
      </c>
      <c r="D166" s="2" t="inlineStr">
        <is>
          <t>Released details and class specifications</t>
        </is>
      </c>
      <c r="E166" s="2" t="inlineStr">
        <is>
          <t>TBC in project DCI/MCI</t>
        </is>
      </c>
      <c r="F166" s="2" t="inlineStr">
        <is>
          <t>TBC</t>
        </is>
      </c>
      <c r="G166" s="2" t="inlineStr">
        <is>
          <t>NOT SUBMITTED</t>
        </is>
      </c>
      <c r="H166" s="2" t="inlineStr">
        <is>
          <t>No signed approval evidence</t>
        </is>
      </c>
      <c r="I166" s="2" t="inlineStr">
        <is>
          <t>Engineering</t>
        </is>
      </c>
    </row>
    <row r="167">
      <c r="A167" s="2" t="inlineStr">
        <is>
          <t>SHV-B10-IWP-R0</t>
        </is>
      </c>
      <c r="B167" s="2" t="inlineStr">
        <is>
          <t>SCA-SCF</t>
        </is>
      </c>
      <c r="C167" s="2" t="inlineStr">
        <is>
          <t>Installation/service-transfer/demolition work pack</t>
        </is>
      </c>
      <c r="D167" s="2" t="inlineStr">
        <is>
          <t>Design, material, access and approved sequence</t>
        </is>
      </c>
      <c r="E167" s="2" t="inlineStr">
        <is>
          <t>TBC in project DCI/MCI</t>
        </is>
      </c>
      <c r="F167" s="2" t="inlineStr">
        <is>
          <t>TBC</t>
        </is>
      </c>
      <c r="G167" s="2" t="inlineStr">
        <is>
          <t>NOT SUBMITTED</t>
        </is>
      </c>
      <c r="H167" s="2" t="inlineStr">
        <is>
          <t>No signed approval evidence</t>
        </is>
      </c>
      <c r="I167" s="2" t="inlineStr">
        <is>
          <t>Engineering</t>
        </is>
      </c>
    </row>
    <row r="168">
      <c r="A168" s="2" t="inlineStr">
        <is>
          <t>SHV-B10-ITP-R0</t>
        </is>
      </c>
      <c r="B168" s="2" t="inlineStr">
        <is>
          <t>SCA-SCF</t>
        </is>
      </c>
      <c r="C168" s="2" t="inlineStr">
        <is>
          <t>Inspection and test plan/records index</t>
        </is>
      </c>
      <c r="D168" s="2" t="inlineStr">
        <is>
          <t>Applicable QA specifications</t>
        </is>
      </c>
      <c r="E168" s="2" t="inlineStr">
        <is>
          <t>TBC in project DCI/MCI</t>
        </is>
      </c>
      <c r="F168" s="2" t="inlineStr">
        <is>
          <t>TBC</t>
        </is>
      </c>
      <c r="G168" s="2" t="inlineStr">
        <is>
          <t>NOT SUBMITTED</t>
        </is>
      </c>
      <c r="H168" s="2" t="inlineStr">
        <is>
          <t>No signed approval evidence</t>
        </is>
      </c>
      <c r="I168" s="2" t="inlineStr">
        <is>
          <t>QA/Completions</t>
        </is>
      </c>
    </row>
    <row r="169">
      <c r="A169" s="2" t="inlineStr">
        <is>
          <t>SHV-B10-TEST-R0</t>
        </is>
      </c>
      <c r="B169" s="2" t="inlineStr">
        <is>
          <t>SCA-SCF</t>
        </is>
      </c>
      <c r="C169" s="2" t="inlineStr">
        <is>
          <t>Service reinstatement and acceptance procedures</t>
        </is>
      </c>
      <c r="D169" s="2" t="inlineStr">
        <is>
          <t>Approved system boundaries</t>
        </is>
      </c>
      <c r="E169" s="2" t="inlineStr">
        <is>
          <t>TBC in project DCI/MCI</t>
        </is>
      </c>
      <c r="F169" s="2" t="inlineStr">
        <is>
          <t>TBC</t>
        </is>
      </c>
      <c r="G169" s="2" t="inlineStr">
        <is>
          <t>NOT SUBMITTED</t>
        </is>
      </c>
      <c r="H169" s="2" t="inlineStr">
        <is>
          <t>No signed approval evidence</t>
        </is>
      </c>
      <c r="I169" s="2" t="inlineStr">
        <is>
          <t>Engineering</t>
        </is>
      </c>
    </row>
    <row r="170">
      <c r="A170" s="2" t="inlineStr">
        <is>
          <t>SHV-B10-ASB-R0</t>
        </is>
      </c>
      <c r="B170" s="2" t="inlineStr">
        <is>
          <t>SCA-SCF</t>
        </is>
      </c>
      <c r="C170" s="2" t="inlineStr">
        <is>
          <t>As-built/native model/vendor dossier</t>
        </is>
      </c>
      <c r="D170" s="2" t="inlineStr">
        <is>
          <t>Verified final configuration</t>
        </is>
      </c>
      <c r="E170" s="2" t="inlineStr">
        <is>
          <t>TBC in project DCI/MCI</t>
        </is>
      </c>
      <c r="F170" s="2" t="inlineStr">
        <is>
          <t>TBC</t>
        </is>
      </c>
      <c r="G170" s="2" t="inlineStr">
        <is>
          <t>NOT SUBMITTED</t>
        </is>
      </c>
      <c r="H170" s="2" t="inlineStr">
        <is>
          <t>No signed approval evidence</t>
        </is>
      </c>
      <c r="I170" s="2" t="inlineStr">
        <is>
          <t>Engineering</t>
        </is>
      </c>
    </row>
    <row r="171">
      <c r="A171" s="2" t="inlineStr">
        <is>
          <t>SHV-B10-TO-R0</t>
        </is>
      </c>
      <c r="B171" s="2" t="inlineStr">
        <is>
          <t>SCA-SCF</t>
        </is>
      </c>
      <c r="C171" s="2" t="inlineStr">
        <is>
          <t>Turnover and acceptance dossier</t>
        </is>
      </c>
      <c r="D171" s="2" t="inlineStr">
        <is>
          <t>Completed records/punch closure</t>
        </is>
      </c>
      <c r="E171" s="2" t="inlineStr">
        <is>
          <t>TBC in project DCI/MCI</t>
        </is>
      </c>
      <c r="F171" s="2" t="inlineStr">
        <is>
          <t>TBC</t>
        </is>
      </c>
      <c r="G171" s="2" t="inlineStr">
        <is>
          <t>NOT SUBMITTED</t>
        </is>
      </c>
      <c r="H171" s="2" t="inlineStr">
        <is>
          <t>No signed approval evidence</t>
        </is>
      </c>
      <c r="I171" s="2" t="inlineStr">
        <is>
          <t>QA/Completions</t>
        </is>
      </c>
    </row>
    <row r="172">
      <c r="A172" s="2" t="inlineStr">
        <is>
          <t>SHV-PLAT-ICP</t>
        </is>
      </c>
      <c r="B172" s="2" t="inlineStr">
        <is>
          <t>ICP</t>
        </is>
      </c>
      <c r="C172" s="2" t="inlineStr">
        <is>
          <t>Global deck inplace assessment</t>
        </is>
      </c>
      <c r="D172" s="2" t="inlineStr">
        <is>
          <t>Verified geometry + reactions</t>
        </is>
      </c>
      <c r="E172" s="2" t="inlineStr">
        <is>
          <t>TBC</t>
        </is>
      </c>
      <c r="F172" s="2" t="inlineStr">
        <is>
          <t>TBC</t>
        </is>
      </c>
      <c r="G172" s="2" t="inlineStr">
        <is>
          <t>NOT SUBMITTED</t>
        </is>
      </c>
      <c r="H172" s="2" t="inlineStr">
        <is>
          <t>Combined1 Annexure1 p2</t>
        </is>
      </c>
      <c r="I172" s="2" t="inlineStr">
        <is>
          <t>Structural</t>
        </is>
      </c>
    </row>
    <row r="173">
      <c r="A173" s="2" t="inlineStr">
        <is>
          <t>SHV-PLAT-ICG</t>
        </is>
      </c>
      <c r="B173" s="2" t="inlineStr">
        <is>
          <t>ICG</t>
        </is>
      </c>
      <c r="C173" s="2" t="inlineStr">
        <is>
          <t>Global deck inplace assessment</t>
        </is>
      </c>
      <c r="D173" s="2" t="inlineStr">
        <is>
          <t>Verified geometry + reactions</t>
        </is>
      </c>
      <c r="E173" s="2" t="inlineStr">
        <is>
          <t>TBC</t>
        </is>
      </c>
      <c r="F173" s="2" t="inlineStr">
        <is>
          <t>TBC</t>
        </is>
      </c>
      <c r="G173" s="2" t="inlineStr">
        <is>
          <t>NOT SUBMITTED</t>
        </is>
      </c>
      <c r="H173" s="2" t="inlineStr">
        <is>
          <t>Combined1 Annexure1 p2</t>
        </is>
      </c>
      <c r="I173" s="2" t="inlineStr">
        <is>
          <t>Structural</t>
        </is>
      </c>
    </row>
    <row r="174">
      <c r="A174" s="2" t="inlineStr">
        <is>
          <t>SHV-PLAT-ICW</t>
        </is>
      </c>
      <c r="B174" s="2" t="inlineStr">
        <is>
          <t>ICW</t>
        </is>
      </c>
      <c r="C174" s="2" t="inlineStr">
        <is>
          <t>Global deck inplace assessment</t>
        </is>
      </c>
      <c r="D174" s="2" t="inlineStr">
        <is>
          <t>Verified geometry + reactions</t>
        </is>
      </c>
      <c r="E174" s="2" t="inlineStr">
        <is>
          <t>TBC</t>
        </is>
      </c>
      <c r="F174" s="2" t="inlineStr">
        <is>
          <t>TBC</t>
        </is>
      </c>
      <c r="G174" s="2" t="inlineStr">
        <is>
          <t>NOT SUBMITTED</t>
        </is>
      </c>
      <c r="H174" s="2" t="inlineStr">
        <is>
          <t>Combined1 Annexure1 p2</t>
        </is>
      </c>
      <c r="I174" s="2" t="inlineStr">
        <is>
          <t>Structural</t>
        </is>
      </c>
    </row>
    <row r="175">
      <c r="A175" s="2" t="inlineStr">
        <is>
          <t>SHV-PLAT-BHS</t>
        </is>
      </c>
      <c r="B175" s="2" t="inlineStr">
        <is>
          <t>BHS</t>
        </is>
      </c>
      <c r="C175" s="2" t="inlineStr">
        <is>
          <t>Global deck inplace assessment</t>
        </is>
      </c>
      <c r="D175" s="2" t="inlineStr">
        <is>
          <t>Verified geometry + reactions</t>
        </is>
      </c>
      <c r="E175" s="2" t="inlineStr">
        <is>
          <t>TBC</t>
        </is>
      </c>
      <c r="F175" s="2" t="inlineStr">
        <is>
          <t>TBC</t>
        </is>
      </c>
      <c r="G175" s="2" t="inlineStr">
        <is>
          <t>NOT SUBMITTED</t>
        </is>
      </c>
      <c r="H175" s="2" t="inlineStr">
        <is>
          <t>Combined1 Annexure1 p2</t>
        </is>
      </c>
      <c r="I175" s="2" t="inlineStr">
        <is>
          <t>Structural</t>
        </is>
      </c>
    </row>
    <row r="176">
      <c r="A176" s="2" t="inlineStr">
        <is>
          <t>SHV-PLAT-SLQ</t>
        </is>
      </c>
      <c r="B176" s="2" t="inlineStr">
        <is>
          <t>SLQ</t>
        </is>
      </c>
      <c r="C176" s="2" t="inlineStr">
        <is>
          <t>Global deck inplace assessment</t>
        </is>
      </c>
      <c r="D176" s="2" t="inlineStr">
        <is>
          <t>Verified geometry + reactions</t>
        </is>
      </c>
      <c r="E176" s="2" t="inlineStr">
        <is>
          <t>TBC</t>
        </is>
      </c>
      <c r="F176" s="2" t="inlineStr">
        <is>
          <t>TBC</t>
        </is>
      </c>
      <c r="G176" s="2" t="inlineStr">
        <is>
          <t>NOT SUBMITTED</t>
        </is>
      </c>
      <c r="H176" s="2" t="inlineStr">
        <is>
          <t>Combined1 Annexure1 p2</t>
        </is>
      </c>
      <c r="I176" s="2" t="inlineStr">
        <is>
          <t>Structural</t>
        </is>
      </c>
    </row>
    <row r="177">
      <c r="A177" s="2" t="inlineStr">
        <is>
          <t>SHV-PLAT-WIS</t>
        </is>
      </c>
      <c r="B177" s="2" t="inlineStr">
        <is>
          <t>WIS</t>
        </is>
      </c>
      <c r="C177" s="2" t="inlineStr">
        <is>
          <t>Local deck inplace assessment</t>
        </is>
      </c>
      <c r="D177" s="2" t="inlineStr">
        <is>
          <t>Verified geometry + reactions</t>
        </is>
      </c>
      <c r="E177" s="2" t="inlineStr">
        <is>
          <t>TBC</t>
        </is>
      </c>
      <c r="F177" s="2" t="inlineStr">
        <is>
          <t>TBC</t>
        </is>
      </c>
      <c r="G177" s="2" t="inlineStr">
        <is>
          <t>NOT SUBMITTED</t>
        </is>
      </c>
      <c r="H177" s="2" t="inlineStr">
        <is>
          <t>Combined1 Annexure1 p2</t>
        </is>
      </c>
      <c r="I177" s="2" t="inlineStr">
        <is>
          <t>Structural</t>
        </is>
      </c>
    </row>
    <row r="178">
      <c r="A178" s="2" t="inlineStr">
        <is>
          <t>SHV-PLAT-NOQ/NQO</t>
        </is>
      </c>
      <c r="B178" s="2" t="inlineStr">
        <is>
          <t>NOQ/NQO</t>
        </is>
      </c>
      <c r="C178" s="2" t="inlineStr">
        <is>
          <t>Local — name query deck inplace assessment</t>
        </is>
      </c>
      <c r="D178" s="2" t="inlineStr">
        <is>
          <t>Verified geometry + reactions</t>
        </is>
      </c>
      <c r="E178" s="2" t="inlineStr">
        <is>
          <t>TBC</t>
        </is>
      </c>
      <c r="F178" s="2" t="inlineStr">
        <is>
          <t>TBC</t>
        </is>
      </c>
      <c r="G178" s="2" t="inlineStr">
        <is>
          <t>NOT SUBMITTED</t>
        </is>
      </c>
      <c r="H178" s="2" t="inlineStr">
        <is>
          <t>Combined1 Annexure1 p2</t>
        </is>
      </c>
      <c r="I178" s="2" t="inlineStr">
        <is>
          <t>Structural</t>
        </is>
      </c>
    </row>
    <row r="179">
      <c r="A179" s="2" t="inlineStr">
        <is>
          <t>SHV-PLAT-NQD</t>
        </is>
      </c>
      <c r="B179" s="2" t="inlineStr">
        <is>
          <t>NQD</t>
        </is>
      </c>
      <c r="C179" s="2" t="inlineStr">
        <is>
          <t>Local deck inplace assessment</t>
        </is>
      </c>
      <c r="D179" s="2" t="inlineStr">
        <is>
          <t>Verified geometry + reactions</t>
        </is>
      </c>
      <c r="E179" s="2" t="inlineStr">
        <is>
          <t>TBC</t>
        </is>
      </c>
      <c r="F179" s="2" t="inlineStr">
        <is>
          <t>TBC</t>
        </is>
      </c>
      <c r="G179" s="2" t="inlineStr">
        <is>
          <t>NOT SUBMITTED</t>
        </is>
      </c>
      <c r="H179" s="2" t="inlineStr">
        <is>
          <t>Combined1 Annexure1 p2</t>
        </is>
      </c>
      <c r="I179" s="2" t="inlineStr">
        <is>
          <t>Structural</t>
        </is>
      </c>
    </row>
    <row r="180">
      <c r="A180" s="2" t="inlineStr">
        <is>
          <t>SHV-PLAT-WIN</t>
        </is>
      </c>
      <c r="B180" s="2" t="inlineStr">
        <is>
          <t>WIN</t>
        </is>
      </c>
      <c r="C180" s="2" t="inlineStr">
        <is>
          <t>Local deck inplace assessment</t>
        </is>
      </c>
      <c r="D180" s="2" t="inlineStr">
        <is>
          <t>Verified geometry + reactions</t>
        </is>
      </c>
      <c r="E180" s="2" t="inlineStr">
        <is>
          <t>TBC</t>
        </is>
      </c>
      <c r="F180" s="2" t="inlineStr">
        <is>
          <t>TBC</t>
        </is>
      </c>
      <c r="G180" s="2" t="inlineStr">
        <is>
          <t>NOT SUBMITTED</t>
        </is>
      </c>
      <c r="H180" s="2" t="inlineStr">
        <is>
          <t>Combined1 Annexure1 p2</t>
        </is>
      </c>
      <c r="I180" s="2" t="inlineStr">
        <is>
          <t>Structural</t>
        </is>
      </c>
    </row>
    <row r="181">
      <c r="A181" s="2" t="inlineStr">
        <is>
          <t>SHV-PLAT-NC</t>
        </is>
      </c>
      <c r="B181" s="2" t="inlineStr">
        <is>
          <t>NC</t>
        </is>
      </c>
      <c r="C181" s="2" t="inlineStr">
        <is>
          <t>Local deck inplace assessment</t>
        </is>
      </c>
      <c r="D181" s="2" t="inlineStr">
        <is>
          <t>Verified geometry + reactions</t>
        </is>
      </c>
      <c r="E181" s="2" t="inlineStr">
        <is>
          <t>TBC</t>
        </is>
      </c>
      <c r="F181" s="2" t="inlineStr">
        <is>
          <t>TBC</t>
        </is>
      </c>
      <c r="G181" s="2" t="inlineStr">
        <is>
          <t>NOT SUBMITTED</t>
        </is>
      </c>
      <c r="H181" s="2" t="inlineStr">
        <is>
          <t>Combined1 Annexure1 p2</t>
        </is>
      </c>
      <c r="I181" s="2" t="inlineStr">
        <is>
          <t>Structural</t>
        </is>
      </c>
    </row>
    <row r="182">
      <c r="A182" s="2" t="inlineStr">
        <is>
          <t>SHV-PLAT-SC1</t>
        </is>
      </c>
      <c r="B182" s="2" t="inlineStr">
        <is>
          <t>SC1</t>
        </is>
      </c>
      <c r="C182" s="2" t="inlineStr">
        <is>
          <t>Local deck inplace assessment</t>
        </is>
      </c>
      <c r="D182" s="2" t="inlineStr">
        <is>
          <t>Verified geometry + reactions</t>
        </is>
      </c>
      <c r="E182" s="2" t="inlineStr">
        <is>
          <t>TBC</t>
        </is>
      </c>
      <c r="F182" s="2" t="inlineStr">
        <is>
          <t>TBC</t>
        </is>
      </c>
      <c r="G182" s="2" t="inlineStr">
        <is>
          <t>NOT SUBMITTED</t>
        </is>
      </c>
      <c r="H182" s="2" t="inlineStr">
        <is>
          <t>Combined1 Annexure1 p2</t>
        </is>
      </c>
      <c r="I182" s="2" t="inlineStr">
        <is>
          <t>Structural</t>
        </is>
      </c>
    </row>
    <row r="183">
      <c r="A183" s="2" t="inlineStr">
        <is>
          <t>SHV-PLAT-SCA</t>
        </is>
      </c>
      <c r="B183" s="2" t="inlineStr">
        <is>
          <t>SCA</t>
        </is>
      </c>
      <c r="C183" s="2" t="inlineStr">
        <is>
          <t>Local deck inplace assessment</t>
        </is>
      </c>
      <c r="D183" s="2" t="inlineStr">
        <is>
          <t>Verified geometry + reactions</t>
        </is>
      </c>
      <c r="E183" s="2" t="inlineStr">
        <is>
          <t>TBC</t>
        </is>
      </c>
      <c r="F183" s="2" t="inlineStr">
        <is>
          <t>TBC</t>
        </is>
      </c>
      <c r="G183" s="2" t="inlineStr">
        <is>
          <t>NOT SUBMITTED</t>
        </is>
      </c>
      <c r="H183" s="2" t="inlineStr">
        <is>
          <t>Combined1 Annexure1 p2</t>
        </is>
      </c>
      <c r="I183" s="2" t="inlineStr">
        <is>
          <t>Structural</t>
        </is>
      </c>
    </row>
    <row r="184">
      <c r="A184" s="2" t="inlineStr">
        <is>
          <t>SHV-PLAT-SCF</t>
        </is>
      </c>
      <c r="B184" s="2" t="inlineStr">
        <is>
          <t>SCF</t>
        </is>
      </c>
      <c r="C184" s="2" t="inlineStr">
        <is>
          <t>Local deck inplace assessment</t>
        </is>
      </c>
      <c r="D184" s="2" t="inlineStr">
        <is>
          <t>Verified geometry + reactions</t>
        </is>
      </c>
      <c r="E184" s="2" t="inlineStr">
        <is>
          <t>TBC</t>
        </is>
      </c>
      <c r="F184" s="2" t="inlineStr">
        <is>
          <t>TBC</t>
        </is>
      </c>
      <c r="G184" s="2" t="inlineStr">
        <is>
          <t>NOT SUBMITTED</t>
        </is>
      </c>
      <c r="H184" s="2" t="inlineStr">
        <is>
          <t>Combined1 Annexure1 p2</t>
        </is>
      </c>
      <c r="I184" s="2" t="inlineStr">
        <is>
          <t>Structural</t>
        </is>
      </c>
    </row>
  </sheetData>
  <autoFilter ref="A1:I18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s>
  <sheetData>
    <row r="1">
      <c r="A1" s="1" t="inlineStr">
        <is>
          <t>Bridge</t>
        </is>
      </c>
      <c r="B1" s="1" t="inlineStr">
        <is>
          <t>Source drawing</t>
        </is>
      </c>
      <c r="C1" s="1" t="inlineStr">
        <is>
          <t>Source PDF page</t>
        </is>
      </c>
      <c r="D1" s="1" t="inlineStr">
        <is>
          <t>Use</t>
        </is>
      </c>
      <c r="E1" s="1" t="inlineStr">
        <is>
          <t>Open issue</t>
        </is>
      </c>
    </row>
    <row r="2">
      <c r="A2" s="2" t="inlineStr">
        <is>
          <t>ICW–ICG LD</t>
        </is>
      </c>
      <c r="B2" s="2" t="inlineStr">
        <is>
          <t>B774-101-83-43-0001</t>
        </is>
      </c>
      <c r="C2" s="2" t="inlineStr">
        <is>
          <t>Combined1 p27</t>
        </is>
      </c>
      <c r="D2" s="2" t="inlineStr">
        <is>
          <t>Tender GA/source detailing</t>
        </is>
      </c>
      <c r="E2" s="2" t="inlineStr">
        <is>
          <t>RegisterRev0 vs titleRevA; survey verification</t>
        </is>
      </c>
    </row>
    <row r="3">
      <c r="A3" s="2" t="inlineStr">
        <is>
          <t>ICP–ICG LD</t>
        </is>
      </c>
      <c r="B3" s="2" t="inlineStr">
        <is>
          <t>B774-102-83-43-0001 sheets1–2</t>
        </is>
      </c>
      <c r="C3" s="2" t="inlineStr">
        <is>
          <t>Combined1 pp31–32</t>
        </is>
      </c>
      <c r="D3" s="2" t="inlineStr">
        <is>
          <t>Tender GA/source detailing</t>
        </is>
      </c>
      <c r="E3" s="2" t="inlineStr">
        <is>
          <t>Mother calculation and survey required</t>
        </is>
      </c>
    </row>
    <row r="4">
      <c r="A4" s="2" t="inlineStr">
        <is>
          <t>BHS–SLQ</t>
        </is>
      </c>
      <c r="B4" s="2" t="inlineStr">
        <is>
          <t>B774-103-83-43-0001</t>
        </is>
      </c>
      <c r="C4" s="2" t="inlineStr">
        <is>
          <t>Combined1 p36</t>
        </is>
      </c>
      <c r="D4" s="2" t="inlineStr">
        <is>
          <t>Tender replacement GA</t>
        </is>
      </c>
      <c r="E4" s="2" t="inlineStr">
        <is>
          <t>Bearing orientation/camber/services resolution</t>
        </is>
      </c>
    </row>
    <row r="5">
      <c r="A5" s="2" t="inlineStr">
        <is>
          <t>BHS–SLQ old removal</t>
        </is>
      </c>
      <c r="B5" s="2" t="inlineStr">
        <is>
          <t>B774-103-83-43-0006</t>
        </is>
      </c>
      <c r="C5" s="2" t="inlineStr">
        <is>
          <t>Combined1 p41</t>
        </is>
      </c>
      <c r="D5" s="2" t="inlineStr">
        <is>
          <t>Tender removal reference</t>
        </is>
      </c>
      <c r="E5" s="2" t="inlineStr">
        <is>
          <t>Approved service transfer/temporary stability required</t>
        </is>
      </c>
    </row>
    <row r="6">
      <c r="A6" s="2" t="inlineStr">
        <is>
          <t>All bridges</t>
        </is>
      </c>
      <c r="B6" s="2" t="inlineStr">
        <is>
          <t>MTO Drawings IRT and Combined1 register</t>
        </is>
      </c>
      <c r="C6" s="2" t="inlineStr">
        <is>
          <t>MTOIRT34pages; Combined1 pp3–5</t>
        </is>
      </c>
      <c r="D6" s="2" t="inlineStr">
        <is>
          <t>Strengthening/landing/general detail sources</t>
        </is>
      </c>
      <c r="E6" s="2" t="inlineStr">
        <is>
          <t>Map34entry updated register vs older38 before omission decisions</t>
        </is>
      </c>
    </row>
  </sheetData>
  <autoFilter ref="A1:E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6"/>
  <sheetViews>
    <sheetView zoomScale="80"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s>
  <sheetData>
    <row r="1">
      <c r="A1" s="1" t="inlineStr">
        <is>
          <t>Package</t>
        </is>
      </c>
      <c r="B1" s="1" t="inlineStr">
        <is>
          <t>Scope</t>
        </is>
      </c>
      <c r="C1" s="1" t="inlineStr">
        <is>
          <t>Engineering input</t>
        </is>
      </c>
      <c r="D1" s="1" t="inlineStr">
        <is>
          <t>Quantity/compliance basis</t>
        </is>
      </c>
      <c r="E1" s="1" t="inlineStr">
        <is>
          <t>Owner</t>
        </is>
      </c>
      <c r="F1" s="1" t="inlineStr">
        <is>
          <t>Price</t>
        </is>
      </c>
      <c r="G1" s="1" t="inlineStr">
        <is>
          <t>Supplier date</t>
        </is>
      </c>
      <c r="H1" s="1" t="inlineStr">
        <is>
          <t>Release gate</t>
        </is>
      </c>
      <c r="I1" s="1" t="inlineStr">
        <is>
          <t>Status</t>
        </is>
      </c>
    </row>
    <row r="2">
      <c r="A2" s="2" t="inlineStr">
        <is>
          <t>STEEL-B01</t>
        </is>
      </c>
      <c r="B2" s="2" t="inlineStr">
        <is>
          <t>ICW-ICG UD structural material</t>
        </is>
      </c>
      <c r="C2" s="2" t="inlineStr">
        <is>
          <t>B01-MTO/AFC + PS</t>
        </is>
      </c>
      <c r="D2" s="2" t="inlineStr">
        <is>
          <t>Verified member/plate BOM; grade; heat/MTC/origin</t>
        </is>
      </c>
      <c r="E2" s="2" t="inlineStr">
        <is>
          <t>Procurement</t>
        </is>
      </c>
      <c r="F2" s="2" t="inlineStr">
        <is>
          <t>UNPRICED</t>
        </is>
      </c>
      <c r="G2" s="2" t="inlineStr">
        <is>
          <t>UNCONFIRMED</t>
        </is>
      </c>
      <c r="H2" s="2" t="inlineStr">
        <is>
          <t>PS/material inspection release</t>
        </is>
      </c>
      <c r="I2" s="2" t="inlineStr">
        <is>
          <t>OPEN</t>
        </is>
      </c>
    </row>
    <row r="3">
      <c r="A3" s="2" t="inlineStr">
        <is>
          <t>STEEL-B02</t>
        </is>
      </c>
      <c r="B3" s="2" t="inlineStr">
        <is>
          <t>ICW-ICG LD structural material</t>
        </is>
      </c>
      <c r="C3" s="2" t="inlineStr">
        <is>
          <t>B02-MTO/AFC + PS</t>
        </is>
      </c>
      <c r="D3" s="2" t="inlineStr">
        <is>
          <t>Verified member/plate BOM; grade; heat/MTC/origin</t>
        </is>
      </c>
      <c r="E3" s="2" t="inlineStr">
        <is>
          <t>Procurement</t>
        </is>
      </c>
      <c r="F3" s="2" t="inlineStr">
        <is>
          <t>UNPRICED</t>
        </is>
      </c>
      <c r="G3" s="2" t="inlineStr">
        <is>
          <t>UNCONFIRMED</t>
        </is>
      </c>
      <c r="H3" s="2" t="inlineStr">
        <is>
          <t>PS/material inspection release</t>
        </is>
      </c>
      <c r="I3" s="2" t="inlineStr">
        <is>
          <t>OPEN</t>
        </is>
      </c>
    </row>
    <row r="4">
      <c r="A4" s="2" t="inlineStr">
        <is>
          <t>STEEL-B03</t>
        </is>
      </c>
      <c r="B4" s="2" t="inlineStr">
        <is>
          <t>ICG-ICP UD structural material</t>
        </is>
      </c>
      <c r="C4" s="2" t="inlineStr">
        <is>
          <t>B03-MTO/AFC + PS</t>
        </is>
      </c>
      <c r="D4" s="2" t="inlineStr">
        <is>
          <t>Verified member/plate BOM; grade; heat/MTC/origin</t>
        </is>
      </c>
      <c r="E4" s="2" t="inlineStr">
        <is>
          <t>Procurement</t>
        </is>
      </c>
      <c r="F4" s="2" t="inlineStr">
        <is>
          <t>UNPRICED</t>
        </is>
      </c>
      <c r="G4" s="2" t="inlineStr">
        <is>
          <t>UNCONFIRMED</t>
        </is>
      </c>
      <c r="H4" s="2" t="inlineStr">
        <is>
          <t>PS/material inspection release</t>
        </is>
      </c>
      <c r="I4" s="2" t="inlineStr">
        <is>
          <t>OPEN</t>
        </is>
      </c>
    </row>
    <row r="5">
      <c r="A5" s="2" t="inlineStr">
        <is>
          <t>STEEL-B04</t>
        </is>
      </c>
      <c r="B5" s="2" t="inlineStr">
        <is>
          <t>ICG-ICP LD structural material</t>
        </is>
      </c>
      <c r="C5" s="2" t="inlineStr">
        <is>
          <t>B04-MTO/AFC + PS</t>
        </is>
      </c>
      <c r="D5" s="2" t="inlineStr">
        <is>
          <t>Verified member/plate BOM; grade; heat/MTC/origin</t>
        </is>
      </c>
      <c r="E5" s="2" t="inlineStr">
        <is>
          <t>Procurement</t>
        </is>
      </c>
      <c r="F5" s="2" t="inlineStr">
        <is>
          <t>UNPRICED</t>
        </is>
      </c>
      <c r="G5" s="2" t="inlineStr">
        <is>
          <t>UNCONFIRMED</t>
        </is>
      </c>
      <c r="H5" s="2" t="inlineStr">
        <is>
          <t>PS/material inspection release</t>
        </is>
      </c>
      <c r="I5" s="2" t="inlineStr">
        <is>
          <t>OPEN</t>
        </is>
      </c>
    </row>
    <row r="6">
      <c r="A6" s="2" t="inlineStr">
        <is>
          <t>STEEL-B05</t>
        </is>
      </c>
      <c r="B6" s="2" t="inlineStr">
        <is>
          <t>BHS-SLQ structural material</t>
        </is>
      </c>
      <c r="C6" s="2" t="inlineStr">
        <is>
          <t>B05-MTO/AFC + PS</t>
        </is>
      </c>
      <c r="D6" s="2" t="inlineStr">
        <is>
          <t>Verified member/plate BOM; grade; heat/MTC/origin</t>
        </is>
      </c>
      <c r="E6" s="2" t="inlineStr">
        <is>
          <t>Procurement</t>
        </is>
      </c>
      <c r="F6" s="2" t="inlineStr">
        <is>
          <t>UNPRICED</t>
        </is>
      </c>
      <c r="G6" s="2" t="inlineStr">
        <is>
          <t>UNCONFIRMED</t>
        </is>
      </c>
      <c r="H6" s="2" t="inlineStr">
        <is>
          <t>PS/material inspection release</t>
        </is>
      </c>
      <c r="I6" s="2" t="inlineStr">
        <is>
          <t>OPEN</t>
        </is>
      </c>
    </row>
    <row r="7">
      <c r="A7" s="2" t="inlineStr">
        <is>
          <t>STEEL-B06</t>
        </is>
      </c>
      <c r="B7" s="2" t="inlineStr">
        <is>
          <t>SLQ-WIS structural material</t>
        </is>
      </c>
      <c r="C7" s="2" t="inlineStr">
        <is>
          <t>B06-MTO/AFC + PS</t>
        </is>
      </c>
      <c r="D7" s="2" t="inlineStr">
        <is>
          <t>Verified member/plate BOM; grade; heat/MTC/origin</t>
        </is>
      </c>
      <c r="E7" s="2" t="inlineStr">
        <is>
          <t>Procurement</t>
        </is>
      </c>
      <c r="F7" s="2" t="inlineStr">
        <is>
          <t>UNPRICED</t>
        </is>
      </c>
      <c r="G7" s="2" t="inlineStr">
        <is>
          <t>UNCONFIRMED</t>
        </is>
      </c>
      <c r="H7" s="2" t="inlineStr">
        <is>
          <t>PS/material inspection release</t>
        </is>
      </c>
      <c r="I7" s="2" t="inlineStr">
        <is>
          <t>OPEN</t>
        </is>
      </c>
    </row>
    <row r="8">
      <c r="A8" s="2" t="inlineStr">
        <is>
          <t>STEEL-B07</t>
        </is>
      </c>
      <c r="B8" s="2" t="inlineStr">
        <is>
          <t>NQO-NQD structural material</t>
        </is>
      </c>
      <c r="C8" s="2" t="inlineStr">
        <is>
          <t>B07-MTO/AFC + PS</t>
        </is>
      </c>
      <c r="D8" s="2" t="inlineStr">
        <is>
          <t>Verified member/plate BOM; grade; heat/MTC/origin</t>
        </is>
      </c>
      <c r="E8" s="2" t="inlineStr">
        <is>
          <t>Procurement</t>
        </is>
      </c>
      <c r="F8" s="2" t="inlineStr">
        <is>
          <t>UNPRICED</t>
        </is>
      </c>
      <c r="G8" s="2" t="inlineStr">
        <is>
          <t>UNCONFIRMED</t>
        </is>
      </c>
      <c r="H8" s="2" t="inlineStr">
        <is>
          <t>PS/material inspection release</t>
        </is>
      </c>
      <c r="I8" s="2" t="inlineStr">
        <is>
          <t>OPEN</t>
        </is>
      </c>
    </row>
    <row r="9">
      <c r="A9" s="2" t="inlineStr">
        <is>
          <t>STEEL-B08</t>
        </is>
      </c>
      <c r="B9" s="2" t="inlineStr">
        <is>
          <t>WIN-NC structural material</t>
        </is>
      </c>
      <c r="C9" s="2" t="inlineStr">
        <is>
          <t>B08-MTO/AFC + PS</t>
        </is>
      </c>
      <c r="D9" s="2" t="inlineStr">
        <is>
          <t>Verified member/plate BOM; grade; heat/MTC/origin</t>
        </is>
      </c>
      <c r="E9" s="2" t="inlineStr">
        <is>
          <t>Procurement</t>
        </is>
      </c>
      <c r="F9" s="2" t="inlineStr">
        <is>
          <t>UNPRICED</t>
        </is>
      </c>
      <c r="G9" s="2" t="inlineStr">
        <is>
          <t>UNCONFIRMED</t>
        </is>
      </c>
      <c r="H9" s="2" t="inlineStr">
        <is>
          <t>PS/material inspection release</t>
        </is>
      </c>
      <c r="I9" s="2" t="inlineStr">
        <is>
          <t>OPEN</t>
        </is>
      </c>
    </row>
    <row r="10">
      <c r="A10" s="2" t="inlineStr">
        <is>
          <t>STEEL-B09</t>
        </is>
      </c>
      <c r="B10" s="2" t="inlineStr">
        <is>
          <t>SCA-SC1 structural material</t>
        </is>
      </c>
      <c r="C10" s="2" t="inlineStr">
        <is>
          <t>B09-MTO/AFC + PS</t>
        </is>
      </c>
      <c r="D10" s="2" t="inlineStr">
        <is>
          <t>Verified member/plate BOM; grade; heat/MTC/origin</t>
        </is>
      </c>
      <c r="E10" s="2" t="inlineStr">
        <is>
          <t>Procurement</t>
        </is>
      </c>
      <c r="F10" s="2" t="inlineStr">
        <is>
          <t>UNPRICED</t>
        </is>
      </c>
      <c r="G10" s="2" t="inlineStr">
        <is>
          <t>UNCONFIRMED</t>
        </is>
      </c>
      <c r="H10" s="2" t="inlineStr">
        <is>
          <t>PS/material inspection release</t>
        </is>
      </c>
      <c r="I10" s="2" t="inlineStr">
        <is>
          <t>OPEN</t>
        </is>
      </c>
    </row>
    <row r="11">
      <c r="A11" s="2" t="inlineStr">
        <is>
          <t>STEEL-B10</t>
        </is>
      </c>
      <c r="B11" s="2" t="inlineStr">
        <is>
          <t>SCA-SCF structural material</t>
        </is>
      </c>
      <c r="C11" s="2" t="inlineStr">
        <is>
          <t>B10-MTO/AFC + PS</t>
        </is>
      </c>
      <c r="D11" s="2" t="inlineStr">
        <is>
          <t>Verified member/plate BOM; grade; heat/MTC/origin</t>
        </is>
      </c>
      <c r="E11" s="2" t="inlineStr">
        <is>
          <t>Procurement</t>
        </is>
      </c>
      <c r="F11" s="2" t="inlineStr">
        <is>
          <t>UNPRICED</t>
        </is>
      </c>
      <c r="G11" s="2" t="inlineStr">
        <is>
          <t>UNCONFIRMED</t>
        </is>
      </c>
      <c r="H11" s="2" t="inlineStr">
        <is>
          <t>PS/material inspection release</t>
        </is>
      </c>
      <c r="I11" s="2" t="inlineStr">
        <is>
          <t>OPEN</t>
        </is>
      </c>
    </row>
    <row r="12">
      <c r="A12" s="2" t="inlineStr">
        <is>
          <t>BEAR</t>
        </is>
      </c>
      <c r="B12" s="2" t="inlineStr">
        <is>
          <t>Bearings, sliding interfaces and guides</t>
        </is>
      </c>
      <c r="C12" s="2" t="inlineStr">
        <is>
          <t>Applicable approved requisition/PS/service scope</t>
        </is>
      </c>
      <c r="D12" s="2" t="inlineStr">
        <is>
          <t>Quantity/specification/applicability to be confirmed</t>
        </is>
      </c>
      <c r="E12" s="2" t="inlineStr">
        <is>
          <t>Engineering</t>
        </is>
      </c>
      <c r="F12" s="2" t="inlineStr">
        <is>
          <t>UNPRICED</t>
        </is>
      </c>
      <c r="G12" s="2" t="inlineStr">
        <is>
          <t>UNCONFIRMED</t>
        </is>
      </c>
      <c r="H12" s="2" t="inlineStr">
        <is>
          <t>Applicable QA/company readiness release</t>
        </is>
      </c>
      <c r="I12" s="2" t="inlineStr">
        <is>
          <t>OPEN</t>
        </is>
      </c>
    </row>
    <row r="13">
      <c r="A13" s="2" t="inlineStr">
        <is>
          <t>GRAT</t>
        </is>
      </c>
      <c r="B13" s="2" t="inlineStr">
        <is>
          <t>Grating, handrail and GI sheet supply</t>
        </is>
      </c>
      <c r="C13" s="2" t="inlineStr">
        <is>
          <t>Applicable approved requisition/PS/service scope</t>
        </is>
      </c>
      <c r="D13" s="2" t="inlineStr">
        <is>
          <t>Quantity/specification/applicability to be confirmed</t>
        </is>
      </c>
      <c r="E13" s="2" t="inlineStr">
        <is>
          <t>Procurement</t>
        </is>
      </c>
      <c r="F13" s="2" t="inlineStr">
        <is>
          <t>UNPRICED</t>
        </is>
      </c>
      <c r="G13" s="2" t="inlineStr">
        <is>
          <t>UNCONFIRMED</t>
        </is>
      </c>
      <c r="H13" s="2" t="inlineStr">
        <is>
          <t>Applicable QA/company readiness release</t>
        </is>
      </c>
      <c r="I13" s="2" t="inlineStr">
        <is>
          <t>OPEN</t>
        </is>
      </c>
    </row>
    <row r="14">
      <c r="A14" s="2" t="inlineStr">
        <is>
          <t>PIPE</t>
        </is>
      </c>
      <c r="B14" s="2" t="inlineStr">
        <is>
          <t>Piping tie-ins, fittings and supports</t>
        </is>
      </c>
      <c r="C14" s="2" t="inlineStr">
        <is>
          <t>Applicable approved requisition/PS/service scope</t>
        </is>
      </c>
      <c r="D14" s="2" t="inlineStr">
        <is>
          <t>Quantity/specification/applicability to be confirmed</t>
        </is>
      </c>
      <c r="E14" s="2" t="inlineStr">
        <is>
          <t>Piping</t>
        </is>
      </c>
      <c r="F14" s="2" t="inlineStr">
        <is>
          <t>UNPRICED</t>
        </is>
      </c>
      <c r="G14" s="2" t="inlineStr">
        <is>
          <t>UNCONFIRMED</t>
        </is>
      </c>
      <c r="H14" s="2" t="inlineStr">
        <is>
          <t>Applicable QA/company readiness release</t>
        </is>
      </c>
      <c r="I14" s="2" t="inlineStr">
        <is>
          <t>OPEN</t>
        </is>
      </c>
    </row>
    <row r="15">
      <c r="A15" s="2" t="inlineStr">
        <is>
          <t>ELEC</t>
        </is>
      </c>
      <c r="B15" s="2" t="inlineStr">
        <is>
          <t>Electrical materials and bonding</t>
        </is>
      </c>
      <c r="C15" s="2" t="inlineStr">
        <is>
          <t>Applicable approved requisition/PS/service scope</t>
        </is>
      </c>
      <c r="D15" s="2" t="inlineStr">
        <is>
          <t>Quantity/specification/applicability to be confirmed</t>
        </is>
      </c>
      <c r="E15" s="2" t="inlineStr">
        <is>
          <t>Electrical</t>
        </is>
      </c>
      <c r="F15" s="2" t="inlineStr">
        <is>
          <t>UNPRICED</t>
        </is>
      </c>
      <c r="G15" s="2" t="inlineStr">
        <is>
          <t>UNCONFIRMED</t>
        </is>
      </c>
      <c r="H15" s="2" t="inlineStr">
        <is>
          <t>Applicable QA/company readiness release</t>
        </is>
      </c>
      <c r="I15" s="2" t="inlineStr">
        <is>
          <t>OPEN</t>
        </is>
      </c>
    </row>
    <row r="16">
      <c r="A16" s="2" t="inlineStr">
        <is>
          <t>INST</t>
        </is>
      </c>
      <c r="B16" s="2" t="inlineStr">
        <is>
          <t>Instrumentation/cable interface materials</t>
        </is>
      </c>
      <c r="C16" s="2" t="inlineStr">
        <is>
          <t>Applicable approved requisition/PS/service scope</t>
        </is>
      </c>
      <c r="D16" s="2" t="inlineStr">
        <is>
          <t>Quantity/specification/applicability to be confirmed</t>
        </is>
      </c>
      <c r="E16" s="2" t="inlineStr">
        <is>
          <t>Instrumentation</t>
        </is>
      </c>
      <c r="F16" s="2" t="inlineStr">
        <is>
          <t>UNPRICED</t>
        </is>
      </c>
      <c r="G16" s="2" t="inlineStr">
        <is>
          <t>UNCONFIRMED</t>
        </is>
      </c>
      <c r="H16" s="2" t="inlineStr">
        <is>
          <t>Applicable QA/company readiness release</t>
        </is>
      </c>
      <c r="I16" s="2" t="inlineStr">
        <is>
          <t>OPEN</t>
        </is>
      </c>
    </row>
    <row r="17">
      <c r="A17" s="2" t="inlineStr">
        <is>
          <t>COAT</t>
        </is>
      </c>
      <c r="B17" s="2" t="inlineStr">
        <is>
          <t>Qualified coating system supply</t>
        </is>
      </c>
      <c r="C17" s="2" t="inlineStr">
        <is>
          <t>Applicable approved requisition/PS/service scope</t>
        </is>
      </c>
      <c r="D17" s="2" t="inlineStr">
        <is>
          <t>Quantity/specification/applicability to be confirmed</t>
        </is>
      </c>
      <c r="E17" s="2" t="inlineStr">
        <is>
          <t>Coating</t>
        </is>
      </c>
      <c r="F17" s="2" t="inlineStr">
        <is>
          <t>UNPRICED</t>
        </is>
      </c>
      <c r="G17" s="2" t="inlineStr">
        <is>
          <t>UNCONFIRMED</t>
        </is>
      </c>
      <c r="H17" s="2" t="inlineStr">
        <is>
          <t>Applicable QA/company readiness release</t>
        </is>
      </c>
      <c r="I17" s="2" t="inlineStr">
        <is>
          <t>OPEN</t>
        </is>
      </c>
    </row>
    <row r="18">
      <c r="A18" s="2" t="inlineStr">
        <is>
          <t>NDT</t>
        </is>
      </c>
      <c r="B18" s="2" t="inlineStr">
        <is>
          <t>NDT, welding qualification and consumables</t>
        </is>
      </c>
      <c r="C18" s="2" t="inlineStr">
        <is>
          <t>Applicable approved requisition/PS/service scope</t>
        </is>
      </c>
      <c r="D18" s="2" t="inlineStr">
        <is>
          <t>Quantity/specification/applicability to be confirmed</t>
        </is>
      </c>
      <c r="E18" s="2" t="inlineStr">
        <is>
          <t>QA</t>
        </is>
      </c>
      <c r="F18" s="2" t="inlineStr">
        <is>
          <t>UNPRICED</t>
        </is>
      </c>
      <c r="G18" s="2" t="inlineStr">
        <is>
          <t>UNCONFIRMED</t>
        </is>
      </c>
      <c r="H18" s="2" t="inlineStr">
        <is>
          <t>Applicable QA/company readiness release</t>
        </is>
      </c>
      <c r="I18" s="2" t="inlineStr">
        <is>
          <t>OPEN</t>
        </is>
      </c>
    </row>
    <row r="19">
      <c r="A19" s="2" t="inlineStr">
        <is>
          <t>MAR</t>
        </is>
      </c>
      <c r="B19" s="2" t="inlineStr">
        <is>
          <t>Heavy-lift and accommodation spread readiness</t>
        </is>
      </c>
      <c r="C19" s="2" t="inlineStr">
        <is>
          <t>Applicable approved requisition/PS/service scope</t>
        </is>
      </c>
      <c r="D19" s="2" t="inlineStr">
        <is>
          <t>Quantity/specification/applicability to be confirmed</t>
        </is>
      </c>
      <c r="E19" s="2" t="inlineStr">
        <is>
          <t>Marine</t>
        </is>
      </c>
      <c r="F19" s="2" t="inlineStr">
        <is>
          <t>UNPRICED</t>
        </is>
      </c>
      <c r="G19" s="2" t="inlineStr">
        <is>
          <t>UNCONFIRMED</t>
        </is>
      </c>
      <c r="H19" s="2" t="inlineStr">
        <is>
          <t>Applicable QA/company readiness release</t>
        </is>
      </c>
      <c r="I19" s="2" t="inlineStr">
        <is>
          <t>OPEN</t>
        </is>
      </c>
    </row>
    <row r="20">
      <c r="A20" s="2" t="inlineStr">
        <is>
          <t>CARGO</t>
        </is>
      </c>
      <c r="B20" s="2" t="inlineStr">
        <is>
          <t>Cargo vessel and shore-base readiness</t>
        </is>
      </c>
      <c r="C20" s="2" t="inlineStr">
        <is>
          <t>Applicable approved requisition/PS/service scope</t>
        </is>
      </c>
      <c r="D20" s="2" t="inlineStr">
        <is>
          <t>Quantity/specification/applicability to be confirmed</t>
        </is>
      </c>
      <c r="E20" s="2" t="inlineStr">
        <is>
          <t>Logistics</t>
        </is>
      </c>
      <c r="F20" s="2" t="inlineStr">
        <is>
          <t>UNPRICED</t>
        </is>
      </c>
      <c r="G20" s="2" t="inlineStr">
        <is>
          <t>UNCONFIRMED</t>
        </is>
      </c>
      <c r="H20" s="2" t="inlineStr">
        <is>
          <t>Applicable QA/company readiness release</t>
        </is>
      </c>
      <c r="I20" s="2" t="inlineStr">
        <is>
          <t>OPEN</t>
        </is>
      </c>
    </row>
    <row r="21">
      <c r="A21" s="2" t="inlineStr">
        <is>
          <t>SURV</t>
        </is>
      </c>
      <c r="B21" s="2" t="inlineStr">
        <is>
          <t>Survey services mobilisation</t>
        </is>
      </c>
      <c r="C21" s="2" t="inlineStr">
        <is>
          <t>Applicable approved requisition/PS/service scope</t>
        </is>
      </c>
      <c r="D21" s="2" t="inlineStr">
        <is>
          <t>Quantity/specification/applicability to be confirmed</t>
        </is>
      </c>
      <c r="E21" s="2" t="inlineStr">
        <is>
          <t>Survey</t>
        </is>
      </c>
      <c r="F21" s="2" t="inlineStr">
        <is>
          <t>UNPRICED</t>
        </is>
      </c>
      <c r="G21" s="2" t="inlineStr">
        <is>
          <t>UNCONFIRMED</t>
        </is>
      </c>
      <c r="H21" s="2" t="inlineStr">
        <is>
          <t>Applicable QA/company readiness release</t>
        </is>
      </c>
      <c r="I21" s="2" t="inlineStr">
        <is>
          <t>OPEN</t>
        </is>
      </c>
    </row>
    <row r="22">
      <c r="A22" s="2" t="inlineStr">
        <is>
          <t>DES</t>
        </is>
      </c>
      <c r="B22" s="2" t="inlineStr">
        <is>
          <t>Design agency capacity confirmation</t>
        </is>
      </c>
      <c r="C22" s="2" t="inlineStr">
        <is>
          <t>Applicable approved requisition/PS/service scope</t>
        </is>
      </c>
      <c r="D22" s="2" t="inlineStr">
        <is>
          <t>Quantity/specification/applicability to be confirmed</t>
        </is>
      </c>
      <c r="E22" s="2" t="inlineStr">
        <is>
          <t>Engineering</t>
        </is>
      </c>
      <c r="F22" s="2" t="inlineStr">
        <is>
          <t>UNPRICED</t>
        </is>
      </c>
      <c r="G22" s="2" t="inlineStr">
        <is>
          <t>UNCONFIRMED</t>
        </is>
      </c>
      <c r="H22" s="2" t="inlineStr">
        <is>
          <t>Applicable QA/company readiness release</t>
        </is>
      </c>
      <c r="I22" s="2" t="inlineStr">
        <is>
          <t>OPEN</t>
        </is>
      </c>
    </row>
    <row r="23">
      <c r="A23" s="2" t="inlineStr">
        <is>
          <t>TPI</t>
        </is>
      </c>
      <c r="B23" s="2" t="inlineStr">
        <is>
          <t>TPI/CA services and audit arrangements</t>
        </is>
      </c>
      <c r="C23" s="2" t="inlineStr">
        <is>
          <t>Applicable approved requisition/PS/service scope</t>
        </is>
      </c>
      <c r="D23" s="2" t="inlineStr">
        <is>
          <t>Quantity/specification/applicability to be confirmed</t>
        </is>
      </c>
      <c r="E23" s="2" t="inlineStr">
        <is>
          <t>QA</t>
        </is>
      </c>
      <c r="F23" s="2" t="inlineStr">
        <is>
          <t>UNPRICED</t>
        </is>
      </c>
      <c r="G23" s="2" t="inlineStr">
        <is>
          <t>UNCONFIRMED</t>
        </is>
      </c>
      <c r="H23" s="2" t="inlineStr">
        <is>
          <t>Applicable QA/company readiness release</t>
        </is>
      </c>
      <c r="I23" s="2" t="inlineStr">
        <is>
          <t>OPEN</t>
        </is>
      </c>
    </row>
    <row r="24">
      <c r="A24" s="2" t="inlineStr">
        <is>
          <t>SCAF</t>
        </is>
      </c>
      <c r="B24" s="2" t="inlineStr">
        <is>
          <t>Scaffolding/access and temporary works supply</t>
        </is>
      </c>
      <c r="C24" s="2" t="inlineStr">
        <is>
          <t>Applicable approved requisition/PS/service scope</t>
        </is>
      </c>
      <c r="D24" s="2" t="inlineStr">
        <is>
          <t>Quantity/specification/applicability to be confirmed</t>
        </is>
      </c>
      <c r="E24" s="2" t="inlineStr">
        <is>
          <t>Construction</t>
        </is>
      </c>
      <c r="F24" s="2" t="inlineStr">
        <is>
          <t>UNPRICED</t>
        </is>
      </c>
      <c r="G24" s="2" t="inlineStr">
        <is>
          <t>UNCONFIRMED</t>
        </is>
      </c>
      <c r="H24" s="2" t="inlineStr">
        <is>
          <t>Applicable QA/company readiness release</t>
        </is>
      </c>
      <c r="I24" s="2" t="inlineStr">
        <is>
          <t>OPEN</t>
        </is>
      </c>
    </row>
    <row r="25">
      <c r="A25" s="2" t="inlineStr">
        <is>
          <t>PPE</t>
        </is>
      </c>
      <c r="B25" s="2" t="inlineStr">
        <is>
          <t>Certified PPE and training readiness</t>
        </is>
      </c>
      <c r="C25" s="2" t="inlineStr">
        <is>
          <t>Applicable approved requisition/PS/service scope</t>
        </is>
      </c>
      <c r="D25" s="2" t="inlineStr">
        <is>
          <t>Quantity/specification/applicability to be confirmed</t>
        </is>
      </c>
      <c r="E25" s="2" t="inlineStr">
        <is>
          <t>HSE</t>
        </is>
      </c>
      <c r="F25" s="2" t="inlineStr">
        <is>
          <t>UNPRICED</t>
        </is>
      </c>
      <c r="G25" s="2" t="inlineStr">
        <is>
          <t>UNCONFIRMED</t>
        </is>
      </c>
      <c r="H25" s="2" t="inlineStr">
        <is>
          <t>Applicable QA/company readiness release</t>
        </is>
      </c>
      <c r="I25" s="2" t="inlineStr">
        <is>
          <t>OPEN</t>
        </is>
      </c>
    </row>
    <row r="26">
      <c r="A26" s="2" t="inlineStr">
        <is>
          <t>TRAY</t>
        </is>
      </c>
      <c r="B26" s="2" t="inlineStr">
        <is>
          <t>Cable trays and support steel interfaces</t>
        </is>
      </c>
      <c r="C26" s="2" t="inlineStr">
        <is>
          <t>Applicable approved requisition/PS/service scope</t>
        </is>
      </c>
      <c r="D26" s="2" t="inlineStr">
        <is>
          <t>Quantity/specification/applicability to be confirmed</t>
        </is>
      </c>
      <c r="E26" s="2" t="inlineStr">
        <is>
          <t>Electrical</t>
        </is>
      </c>
      <c r="F26" s="2" t="inlineStr">
        <is>
          <t>UNPRICED</t>
        </is>
      </c>
      <c r="G26" s="2" t="inlineStr">
        <is>
          <t>UNCONFIRMED</t>
        </is>
      </c>
      <c r="H26" s="2" t="inlineStr">
        <is>
          <t>Applicable QA/company readiness release</t>
        </is>
      </c>
      <c r="I26" s="2" t="inlineStr">
        <is>
          <t>OPEN</t>
        </is>
      </c>
    </row>
  </sheetData>
  <autoFilter ref="A1:I2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21"/>
  <sheetViews>
    <sheetView zoomScale="80"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 width="27" customWidth="1" min="11" max="11"/>
    <col width="27" customWidth="1" min="12" max="12"/>
    <col width="27" customWidth="1" min="13" max="13"/>
    <col width="27" customWidth="1" min="14" max="14"/>
    <col width="27" customWidth="1" min="15" max="15"/>
    <col width="27" customWidth="1" min="16" max="16"/>
    <col width="27" customWidth="1" min="17" max="17"/>
  </cols>
  <sheetData>
    <row r="1">
      <c r="A1" s="1" t="inlineStr">
        <is>
          <t>IWP</t>
        </is>
      </c>
      <c r="B1" s="1" t="inlineStr">
        <is>
          <t>Bridge</t>
        </is>
      </c>
      <c r="C1" s="1" t="inlineStr">
        <is>
          <t>Task</t>
        </is>
      </c>
      <c r="D1" s="1" t="inlineStr">
        <is>
          <t>Unit</t>
        </is>
      </c>
      <c r="E1" s="1" t="inlineStr">
        <is>
          <t>Verified quantity</t>
        </is>
      </c>
      <c r="F1" s="1" t="inlineStr">
        <is>
          <t>Evidence index</t>
        </is>
      </c>
      <c r="G1" s="1" t="inlineStr">
        <is>
          <t>AFC</t>
        </is>
      </c>
      <c r="H1" s="1" t="inlineStr">
        <is>
          <t>Material</t>
        </is>
      </c>
      <c r="I1" s="1" t="inlineStr">
        <is>
          <t>Access PTW</t>
        </is>
      </c>
      <c r="J1" s="1" t="inlineStr">
        <is>
          <t>Crew tools</t>
        </is>
      </c>
      <c r="K1" s="1" t="inlineStr">
        <is>
          <t>ITP QA</t>
        </is>
      </c>
      <c r="L1" s="1" t="inlineStr">
        <is>
          <t>Marine SIMOPS</t>
        </is>
      </c>
      <c r="M1" s="1" t="inlineStr">
        <is>
          <t>Method</t>
        </is>
      </c>
      <c r="N1" s="1" t="inlineStr">
        <is>
          <t>Company release</t>
        </is>
      </c>
      <c r="O1" s="1" t="inlineStr">
        <is>
          <t>Readiness screen</t>
        </is>
      </c>
      <c r="P1" s="1" t="inlineStr">
        <is>
          <t>Acceptance evidence</t>
        </is>
      </c>
      <c r="Q1" s="1" t="inlineStr">
        <is>
          <t>Authorised release</t>
        </is>
      </c>
    </row>
    <row r="2">
      <c r="A2" s="2" t="inlineStr">
        <is>
          <t>B01-SUR</t>
        </is>
      </c>
      <c r="B2" s="2" t="inlineStr">
        <is>
          <t>ICW-ICG UD</t>
        </is>
      </c>
      <c r="C2" s="2" t="inlineStr">
        <is>
          <t>Survey and verified access</t>
        </is>
      </c>
      <c r="D2" s="2" t="inlineStr">
        <is>
          <t>survey pack</t>
        </is>
      </c>
      <c r="E2" s="2" t="n"/>
      <c r="F2" s="2" t="n"/>
      <c r="G2" s="2" t="n"/>
      <c r="H2" s="2" t="n"/>
      <c r="I2" s="2" t="n"/>
      <c r="J2" s="2" t="n"/>
      <c r="K2" s="2" t="n"/>
      <c r="L2" s="2" t="n"/>
      <c r="M2" s="2" t="n"/>
      <c r="N2" s="2" t="n"/>
      <c r="O2" s="2">
        <f>IF(COUNTIF(G2:N2,"YES")=8,"VERIFY EVIDENCE","HOLD")</f>
        <v/>
      </c>
      <c r="P2" s="2" t="inlineStr">
        <is>
          <t>Accepted geometry/NDT</t>
        </is>
      </c>
      <c r="Q2" s="2" t="inlineStr">
        <is>
          <t>NOT RELEASED</t>
        </is>
      </c>
    </row>
    <row r="3">
      <c r="A3" s="2" t="inlineStr">
        <is>
          <t>B01-ENG</t>
        </is>
      </c>
      <c r="B3" s="2" t="inlineStr">
        <is>
          <t>ICW-ICG UD</t>
        </is>
      </c>
      <c r="C3" s="2" t="inlineStr">
        <is>
          <t>Design/detail/MTO release</t>
        </is>
      </c>
      <c r="D3" s="2" t="inlineStr">
        <is>
          <t>document pack</t>
        </is>
      </c>
      <c r="E3" s="2" t="n"/>
      <c r="F3" s="2" t="n"/>
      <c r="G3" s="2" t="n"/>
      <c r="H3" s="2" t="n"/>
      <c r="I3" s="2" t="n"/>
      <c r="J3" s="2" t="n"/>
      <c r="K3" s="2" t="n"/>
      <c r="L3" s="2" t="n"/>
      <c r="M3" s="2" t="n"/>
      <c r="N3" s="2" t="n"/>
      <c r="O3" s="2">
        <f>IF(COUNTIF(G3:N3,"YES")=8,"VERIFY EVIDENCE","HOLD")</f>
        <v/>
      </c>
      <c r="P3" s="2" t="inlineStr">
        <is>
          <t>Checked analysis and AFC index</t>
        </is>
      </c>
      <c r="Q3" s="2" t="inlineStr">
        <is>
          <t>NOT RELEASED</t>
        </is>
      </c>
    </row>
    <row r="4">
      <c r="A4" s="2" t="inlineStr">
        <is>
          <t>B01-MAT</t>
        </is>
      </c>
      <c r="B4" s="2" t="inlineStr">
        <is>
          <t>ICW-ICG UD</t>
        </is>
      </c>
      <c r="C4" s="2" t="inlineStr">
        <is>
          <t>Material and traceability receipt</t>
        </is>
      </c>
      <c r="D4" s="2" t="inlineStr">
        <is>
          <t>BOM item</t>
        </is>
      </c>
      <c r="E4" s="2" t="n"/>
      <c r="F4" s="2" t="n"/>
      <c r="G4" s="2" t="n"/>
      <c r="H4" s="2" t="n"/>
      <c r="I4" s="2" t="n"/>
      <c r="J4" s="2" t="n"/>
      <c r="K4" s="2" t="n"/>
      <c r="L4" s="2" t="n"/>
      <c r="M4" s="2" t="n"/>
      <c r="N4" s="2" t="n"/>
      <c r="O4" s="2">
        <f>IF(COUNTIF(G4:N4,"YES")=8,"VERIFY EVIDENCE","HOLD")</f>
        <v/>
      </c>
      <c r="P4" s="2" t="inlineStr">
        <is>
          <t>PS/MTC/origin and TPI release</t>
        </is>
      </c>
      <c r="Q4" s="2" t="inlineStr">
        <is>
          <t>NOT RELEASED</t>
        </is>
      </c>
    </row>
    <row r="5">
      <c r="A5" s="2" t="inlineStr">
        <is>
          <t>B01-FAB</t>
        </is>
      </c>
      <c r="B5" s="2" t="inlineStr">
        <is>
          <t>ICW-ICG UD</t>
        </is>
      </c>
      <c r="C5" s="2" t="inlineStr">
        <is>
          <t>Fabrication and connection work</t>
        </is>
      </c>
      <c r="D5" s="2" t="inlineStr">
        <is>
          <t>member/weld/BOM</t>
        </is>
      </c>
      <c r="E5" s="2" t="n"/>
      <c r="F5" s="2" t="n"/>
      <c r="G5" s="2" t="n"/>
      <c r="H5" s="2" t="n"/>
      <c r="I5" s="2" t="n"/>
      <c r="J5" s="2" t="n"/>
      <c r="K5" s="2" t="n"/>
      <c r="L5" s="2" t="n"/>
      <c r="M5" s="2" t="n"/>
      <c r="N5" s="2" t="n"/>
      <c r="O5" s="2">
        <f>IF(COUNTIF(G5:N5,"YES")=8,"VERIFY EVIDENCE","HOLD")</f>
        <v/>
      </c>
      <c r="P5" s="2" t="inlineStr">
        <is>
          <t>WPS/welder/NDT/dimension records</t>
        </is>
      </c>
      <c r="Q5" s="2" t="inlineStr">
        <is>
          <t>NOT RELEASED</t>
        </is>
      </c>
    </row>
    <row r="6">
      <c r="A6" s="2" t="inlineStr">
        <is>
          <t>B01-COAT</t>
        </is>
      </c>
      <c r="B6" s="2" t="inlineStr">
        <is>
          <t>ICW-ICG UD</t>
        </is>
      </c>
      <c r="C6" s="2" t="inlineStr">
        <is>
          <t>Preparation/coating/curing</t>
        </is>
      </c>
      <c r="D6" s="2" t="inlineStr">
        <is>
          <t>m2 by system</t>
        </is>
      </c>
      <c r="E6" s="2" t="n"/>
      <c r="F6" s="2" t="n"/>
      <c r="G6" s="2" t="n"/>
      <c r="H6" s="2" t="n"/>
      <c r="I6" s="2" t="n"/>
      <c r="J6" s="2" t="n"/>
      <c r="K6" s="2" t="n"/>
      <c r="L6" s="2" t="n"/>
      <c r="M6" s="2" t="n"/>
      <c r="N6" s="2" t="n"/>
      <c r="O6" s="2">
        <f>IF(COUNTIF(G6:N6,"YES")=8,"VERIFY EVIDENCE","HOLD")</f>
        <v/>
      </c>
      <c r="P6" s="2" t="inlineStr">
        <is>
          <t>Accepted surface/environment/DFT records</t>
        </is>
      </c>
      <c r="Q6" s="2" t="inlineStr">
        <is>
          <t>NOT RELEASED</t>
        </is>
      </c>
    </row>
    <row r="7">
      <c r="A7" s="2" t="inlineStr">
        <is>
          <t>B01-LOAD</t>
        </is>
      </c>
      <c r="B7" s="2" t="inlineStr">
        <is>
          <t>ICW-ICG UD</t>
        </is>
      </c>
      <c r="C7" s="2" t="inlineStr">
        <is>
          <t>Loadout/transport/receipt</t>
        </is>
      </c>
      <c r="D7" s="2" t="inlineStr">
        <is>
          <t>module</t>
        </is>
      </c>
      <c r="E7" s="2" t="n"/>
      <c r="F7" s="2" t="n"/>
      <c r="G7" s="2" t="n"/>
      <c r="H7" s="2" t="n"/>
      <c r="I7" s="2" t="n"/>
      <c r="J7" s="2" t="n"/>
      <c r="K7" s="2" t="n"/>
      <c r="L7" s="2" t="n"/>
      <c r="M7" s="2" t="n"/>
      <c r="N7" s="2" t="n"/>
      <c r="O7" s="2">
        <f>IF(COUNTIF(G7:N7,"YES")=8,"VERIFY EVIDENCE","HOLD")</f>
        <v/>
      </c>
      <c r="P7" s="2" t="inlineStr">
        <is>
          <t>Weight/COG/rigging/sea-fastening approval</t>
        </is>
      </c>
      <c r="Q7" s="2" t="inlineStr">
        <is>
          <t>NOT RELEASED</t>
        </is>
      </c>
    </row>
    <row r="8">
      <c r="A8" s="2" t="inlineStr">
        <is>
          <t>B01-SUP</t>
        </is>
      </c>
      <c r="B8" s="2" t="inlineStr">
        <is>
          <t>ICW-ICG UD</t>
        </is>
      </c>
      <c r="C8" s="2" t="inlineStr">
        <is>
          <t>Support strengthening and temporary stability</t>
        </is>
      </c>
      <c r="D8" s="2" t="inlineStr">
        <is>
          <t>member/joint</t>
        </is>
      </c>
      <c r="E8" s="2" t="n"/>
      <c r="F8" s="2" t="n"/>
      <c r="G8" s="2" t="n"/>
      <c r="H8" s="2" t="n"/>
      <c r="I8" s="2" t="n"/>
      <c r="J8" s="2" t="n"/>
      <c r="K8" s="2" t="n"/>
      <c r="L8" s="2" t="n"/>
      <c r="M8" s="2" t="n"/>
      <c r="N8" s="2" t="n"/>
      <c r="O8" s="2">
        <f>IF(COUNTIF(G8:N8,"YES")=8,"VERIFY EVIDENCE","HOLD")</f>
        <v/>
      </c>
      <c r="P8" s="2" t="inlineStr">
        <is>
          <t>Approved stage analysis and inspected installation</t>
        </is>
      </c>
      <c r="Q8" s="2" t="inlineStr">
        <is>
          <t>NOT RELEASED</t>
        </is>
      </c>
    </row>
    <row r="9">
      <c r="A9" s="2" t="inlineStr">
        <is>
          <t>B01-INST</t>
        </is>
      </c>
      <c r="B9" s="2" t="inlineStr">
        <is>
          <t>ICW-ICG UD</t>
        </is>
      </c>
      <c r="C9" s="2" t="inlineStr">
        <is>
          <t>Bridge installation/strengthening</t>
        </is>
      </c>
      <c r="D9" s="2" t="inlineStr">
        <is>
          <t>member/module</t>
        </is>
      </c>
      <c r="E9" s="2" t="n"/>
      <c r="F9" s="2" t="n"/>
      <c r="G9" s="2" t="n"/>
      <c r="H9" s="2" t="n"/>
      <c r="I9" s="2" t="n"/>
      <c r="J9" s="2" t="n"/>
      <c r="K9" s="2" t="n"/>
      <c r="L9" s="2" t="n"/>
      <c r="M9" s="2" t="n"/>
      <c r="N9" s="2" t="n"/>
      <c r="O9" s="2">
        <f>IF(COUNTIF(G9:N9,"YES")=8,"VERIFY EVIDENCE","HOLD")</f>
        <v/>
      </c>
      <c r="P9" s="2" t="inlineStr">
        <is>
          <t>PTW and engineered method accepted</t>
        </is>
      </c>
      <c r="Q9" s="2" t="inlineStr">
        <is>
          <t>NOT RELEASED</t>
        </is>
      </c>
    </row>
    <row r="10">
      <c r="A10" s="2" t="inlineStr">
        <is>
          <t>B01-SERV</t>
        </is>
      </c>
      <c r="B10" s="2" t="inlineStr">
        <is>
          <t>ICW-ICG UD</t>
        </is>
      </c>
      <c r="C10" s="2" t="inlineStr">
        <is>
          <t>Service transfer/testing</t>
        </is>
      </c>
      <c r="D10" s="2" t="inlineStr">
        <is>
          <t>line/circuit/system</t>
        </is>
      </c>
      <c r="E10" s="2" t="n"/>
      <c r="F10" s="2" t="n"/>
      <c r="G10" s="2" t="n"/>
      <c r="H10" s="2" t="n"/>
      <c r="I10" s="2" t="n"/>
      <c r="J10" s="2" t="n"/>
      <c r="K10" s="2" t="n"/>
      <c r="L10" s="2" t="n"/>
      <c r="M10" s="2" t="n"/>
      <c r="N10" s="2" t="n"/>
      <c r="O10" s="2">
        <f>IF(COUNTIF(G10:N10,"YES")=8,"VERIFY EVIDENCE","HOLD")</f>
        <v/>
      </c>
      <c r="P10" s="2" t="inlineStr">
        <is>
          <t>Isolation/test boundary/operations acceptance</t>
        </is>
      </c>
      <c r="Q10" s="2" t="inlineStr">
        <is>
          <t>NOT RELEASED</t>
        </is>
      </c>
    </row>
    <row r="11">
      <c r="A11" s="2" t="inlineStr">
        <is>
          <t>B01-DEM</t>
        </is>
      </c>
      <c r="B11" s="2" t="inlineStr">
        <is>
          <t>ICW-ICG UD</t>
        </is>
      </c>
      <c r="C11" s="2" t="inlineStr">
        <is>
          <t>Removal/scrap backload</t>
        </is>
      </c>
      <c r="D11" s="2" t="inlineStr">
        <is>
          <t>item/MT</t>
        </is>
      </c>
      <c r="E11" s="2" t="n"/>
      <c r="F11" s="2" t="n"/>
      <c r="G11" s="2" t="n"/>
      <c r="H11" s="2" t="n"/>
      <c r="I11" s="2" t="n"/>
      <c r="J11" s="2" t="n"/>
      <c r="K11" s="2" t="n"/>
      <c r="L11" s="2" t="n"/>
      <c r="M11" s="2" t="n"/>
      <c r="N11" s="2" t="n"/>
      <c r="O11" s="2">
        <f>IF(COUNTIF(G11:N11,"YES")=8,"VERIFY EVIDENCE","HOLD")</f>
        <v/>
      </c>
      <c r="P11" s="2" t="inlineStr">
        <is>
          <t>Accepted support/service sequence and disposal receipt</t>
        </is>
      </c>
      <c r="Q11" s="2" t="inlineStr">
        <is>
          <t>NOT RELEASED</t>
        </is>
      </c>
    </row>
    <row r="12">
      <c r="A12" s="2" t="inlineStr">
        <is>
          <t>B01-PUNCH</t>
        </is>
      </c>
      <c r="B12" s="2" t="inlineStr">
        <is>
          <t>ICW-ICG UD</t>
        </is>
      </c>
      <c r="C12" s="2" t="inlineStr">
        <is>
          <t>Inspection/punch closure</t>
        </is>
      </c>
      <c r="D12" s="2" t="inlineStr">
        <is>
          <t>punch item</t>
        </is>
      </c>
      <c r="E12" s="2" t="n"/>
      <c r="F12" s="2" t="n"/>
      <c r="G12" s="2" t="n"/>
      <c r="H12" s="2" t="n"/>
      <c r="I12" s="2" t="n"/>
      <c r="J12" s="2" t="n"/>
      <c r="K12" s="2" t="n"/>
      <c r="L12" s="2" t="n"/>
      <c r="M12" s="2" t="n"/>
      <c r="N12" s="2" t="n"/>
      <c r="O12" s="2">
        <f>IF(COUNTIF(G12:N12,"YES")=8,"VERIFY EVIDENCE","HOLD")</f>
        <v/>
      </c>
      <c r="P12" s="2" t="inlineStr">
        <is>
          <t>Accepted ITR and blocking-punch closure</t>
        </is>
      </c>
      <c r="Q12" s="2" t="inlineStr">
        <is>
          <t>NOT RELEASED</t>
        </is>
      </c>
    </row>
    <row r="13">
      <c r="A13" s="2" t="inlineStr">
        <is>
          <t>B01-TURN</t>
        </is>
      </c>
      <c r="B13" s="2" t="inlineStr">
        <is>
          <t>ICW-ICG UD</t>
        </is>
      </c>
      <c r="C13" s="2" t="inlineStr">
        <is>
          <t>As-built/turnover</t>
        </is>
      </c>
      <c r="D13" s="2" t="inlineStr">
        <is>
          <t>dossier</t>
        </is>
      </c>
      <c r="E13" s="2" t="n"/>
      <c r="F13" s="2" t="n"/>
      <c r="G13" s="2" t="n"/>
      <c r="H13" s="2" t="n"/>
      <c r="I13" s="2" t="n"/>
      <c r="J13" s="2" t="n"/>
      <c r="K13" s="2" t="n"/>
      <c r="L13" s="2" t="n"/>
      <c r="M13" s="2" t="n"/>
      <c r="N13" s="2" t="n"/>
      <c r="O13" s="2">
        <f>IF(COUNTIF(G13:N13,"YES")=8,"VERIFY EVIDENCE","HOLD")</f>
        <v/>
      </c>
      <c r="P13" s="2" t="inlineStr">
        <is>
          <t>Accepted bridge/system completion</t>
        </is>
      </c>
      <c r="Q13" s="2" t="inlineStr">
        <is>
          <t>NOT RELEASED</t>
        </is>
      </c>
    </row>
    <row r="14">
      <c r="A14" s="2" t="inlineStr">
        <is>
          <t>B02-SUR</t>
        </is>
      </c>
      <c r="B14" s="2" t="inlineStr">
        <is>
          <t>ICW-ICG LD</t>
        </is>
      </c>
      <c r="C14" s="2" t="inlineStr">
        <is>
          <t>Survey and verified access</t>
        </is>
      </c>
      <c r="D14" s="2" t="inlineStr">
        <is>
          <t>survey pack</t>
        </is>
      </c>
      <c r="E14" s="2" t="n"/>
      <c r="F14" s="2" t="n"/>
      <c r="G14" s="2" t="n"/>
      <c r="H14" s="2" t="n"/>
      <c r="I14" s="2" t="n"/>
      <c r="J14" s="2" t="n"/>
      <c r="K14" s="2" t="n"/>
      <c r="L14" s="2" t="n"/>
      <c r="M14" s="2" t="n"/>
      <c r="N14" s="2" t="n"/>
      <c r="O14" s="2">
        <f>IF(COUNTIF(G14:N14,"YES")=8,"VERIFY EVIDENCE","HOLD")</f>
        <v/>
      </c>
      <c r="P14" s="2" t="inlineStr">
        <is>
          <t>Accepted geometry/NDT</t>
        </is>
      </c>
      <c r="Q14" s="2" t="inlineStr">
        <is>
          <t>NOT RELEASED</t>
        </is>
      </c>
    </row>
    <row r="15">
      <c r="A15" s="2" t="inlineStr">
        <is>
          <t>B02-ENG</t>
        </is>
      </c>
      <c r="B15" s="2" t="inlineStr">
        <is>
          <t>ICW-ICG LD</t>
        </is>
      </c>
      <c r="C15" s="2" t="inlineStr">
        <is>
          <t>Design/detail/MTO release</t>
        </is>
      </c>
      <c r="D15" s="2" t="inlineStr">
        <is>
          <t>document pack</t>
        </is>
      </c>
      <c r="E15" s="2" t="n"/>
      <c r="F15" s="2" t="n"/>
      <c r="G15" s="2" t="n"/>
      <c r="H15" s="2" t="n"/>
      <c r="I15" s="2" t="n"/>
      <c r="J15" s="2" t="n"/>
      <c r="K15" s="2" t="n"/>
      <c r="L15" s="2" t="n"/>
      <c r="M15" s="2" t="n"/>
      <c r="N15" s="2" t="n"/>
      <c r="O15" s="2">
        <f>IF(COUNTIF(G15:N15,"YES")=8,"VERIFY EVIDENCE","HOLD")</f>
        <v/>
      </c>
      <c r="P15" s="2" t="inlineStr">
        <is>
          <t>Checked analysis and AFC index</t>
        </is>
      </c>
      <c r="Q15" s="2" t="inlineStr">
        <is>
          <t>NOT RELEASED</t>
        </is>
      </c>
    </row>
    <row r="16">
      <c r="A16" s="2" t="inlineStr">
        <is>
          <t>B02-MAT</t>
        </is>
      </c>
      <c r="B16" s="2" t="inlineStr">
        <is>
          <t>ICW-ICG LD</t>
        </is>
      </c>
      <c r="C16" s="2" t="inlineStr">
        <is>
          <t>Material and traceability receipt</t>
        </is>
      </c>
      <c r="D16" s="2" t="inlineStr">
        <is>
          <t>BOM item</t>
        </is>
      </c>
      <c r="E16" s="2" t="n"/>
      <c r="F16" s="2" t="n"/>
      <c r="G16" s="2" t="n"/>
      <c r="H16" s="2" t="n"/>
      <c r="I16" s="2" t="n"/>
      <c r="J16" s="2" t="n"/>
      <c r="K16" s="2" t="n"/>
      <c r="L16" s="2" t="n"/>
      <c r="M16" s="2" t="n"/>
      <c r="N16" s="2" t="n"/>
      <c r="O16" s="2">
        <f>IF(COUNTIF(G16:N16,"YES")=8,"VERIFY EVIDENCE","HOLD")</f>
        <v/>
      </c>
      <c r="P16" s="2" t="inlineStr">
        <is>
          <t>PS/MTC/origin and TPI release</t>
        </is>
      </c>
      <c r="Q16" s="2" t="inlineStr">
        <is>
          <t>NOT RELEASED</t>
        </is>
      </c>
    </row>
    <row r="17">
      <c r="A17" s="2" t="inlineStr">
        <is>
          <t>B02-FAB</t>
        </is>
      </c>
      <c r="B17" s="2" t="inlineStr">
        <is>
          <t>ICW-ICG LD</t>
        </is>
      </c>
      <c r="C17" s="2" t="inlineStr">
        <is>
          <t>Fabrication and connection work</t>
        </is>
      </c>
      <c r="D17" s="2" t="inlineStr">
        <is>
          <t>member/weld/BOM</t>
        </is>
      </c>
      <c r="E17" s="2" t="n"/>
      <c r="F17" s="2" t="n"/>
      <c r="G17" s="2" t="n"/>
      <c r="H17" s="2" t="n"/>
      <c r="I17" s="2" t="n"/>
      <c r="J17" s="2" t="n"/>
      <c r="K17" s="2" t="n"/>
      <c r="L17" s="2" t="n"/>
      <c r="M17" s="2" t="n"/>
      <c r="N17" s="2" t="n"/>
      <c r="O17" s="2">
        <f>IF(COUNTIF(G17:N17,"YES")=8,"VERIFY EVIDENCE","HOLD")</f>
        <v/>
      </c>
      <c r="P17" s="2" t="inlineStr">
        <is>
          <t>WPS/welder/NDT/dimension records</t>
        </is>
      </c>
      <c r="Q17" s="2" t="inlineStr">
        <is>
          <t>NOT RELEASED</t>
        </is>
      </c>
    </row>
    <row r="18">
      <c r="A18" s="2" t="inlineStr">
        <is>
          <t>B02-COAT</t>
        </is>
      </c>
      <c r="B18" s="2" t="inlineStr">
        <is>
          <t>ICW-ICG LD</t>
        </is>
      </c>
      <c r="C18" s="2" t="inlineStr">
        <is>
          <t>Preparation/coating/curing</t>
        </is>
      </c>
      <c r="D18" s="2" t="inlineStr">
        <is>
          <t>m2 by system</t>
        </is>
      </c>
      <c r="E18" s="2" t="n"/>
      <c r="F18" s="2" t="n"/>
      <c r="G18" s="2" t="n"/>
      <c r="H18" s="2" t="n"/>
      <c r="I18" s="2" t="n"/>
      <c r="J18" s="2" t="n"/>
      <c r="K18" s="2" t="n"/>
      <c r="L18" s="2" t="n"/>
      <c r="M18" s="2" t="n"/>
      <c r="N18" s="2" t="n"/>
      <c r="O18" s="2">
        <f>IF(COUNTIF(G18:N18,"YES")=8,"VERIFY EVIDENCE","HOLD")</f>
        <v/>
      </c>
      <c r="P18" s="2" t="inlineStr">
        <is>
          <t>Accepted surface/environment/DFT records</t>
        </is>
      </c>
      <c r="Q18" s="2" t="inlineStr">
        <is>
          <t>NOT RELEASED</t>
        </is>
      </c>
    </row>
    <row r="19">
      <c r="A19" s="2" t="inlineStr">
        <is>
          <t>B02-LOAD</t>
        </is>
      </c>
      <c r="B19" s="2" t="inlineStr">
        <is>
          <t>ICW-ICG LD</t>
        </is>
      </c>
      <c r="C19" s="2" t="inlineStr">
        <is>
          <t>Loadout/transport/receipt</t>
        </is>
      </c>
      <c r="D19" s="2" t="inlineStr">
        <is>
          <t>module</t>
        </is>
      </c>
      <c r="E19" s="2" t="n"/>
      <c r="F19" s="2" t="n"/>
      <c r="G19" s="2" t="n"/>
      <c r="H19" s="2" t="n"/>
      <c r="I19" s="2" t="n"/>
      <c r="J19" s="2" t="n"/>
      <c r="K19" s="2" t="n"/>
      <c r="L19" s="2" t="n"/>
      <c r="M19" s="2" t="n"/>
      <c r="N19" s="2" t="n"/>
      <c r="O19" s="2">
        <f>IF(COUNTIF(G19:N19,"YES")=8,"VERIFY EVIDENCE","HOLD")</f>
        <v/>
      </c>
      <c r="P19" s="2" t="inlineStr">
        <is>
          <t>Weight/COG/rigging/sea-fastening approval</t>
        </is>
      </c>
      <c r="Q19" s="2" t="inlineStr">
        <is>
          <t>NOT RELEASED</t>
        </is>
      </c>
    </row>
    <row r="20">
      <c r="A20" s="2" t="inlineStr">
        <is>
          <t>B02-SUP</t>
        </is>
      </c>
      <c r="B20" s="2" t="inlineStr">
        <is>
          <t>ICW-ICG LD</t>
        </is>
      </c>
      <c r="C20" s="2" t="inlineStr">
        <is>
          <t>Support strengthening and temporary stability</t>
        </is>
      </c>
      <c r="D20" s="2" t="inlineStr">
        <is>
          <t>member/joint</t>
        </is>
      </c>
      <c r="E20" s="2" t="n"/>
      <c r="F20" s="2" t="n"/>
      <c r="G20" s="2" t="n"/>
      <c r="H20" s="2" t="n"/>
      <c r="I20" s="2" t="n"/>
      <c r="J20" s="2" t="n"/>
      <c r="K20" s="2" t="n"/>
      <c r="L20" s="2" t="n"/>
      <c r="M20" s="2" t="n"/>
      <c r="N20" s="2" t="n"/>
      <c r="O20" s="2">
        <f>IF(COUNTIF(G20:N20,"YES")=8,"VERIFY EVIDENCE","HOLD")</f>
        <v/>
      </c>
      <c r="P20" s="2" t="inlineStr">
        <is>
          <t>Approved stage analysis and inspected installation</t>
        </is>
      </c>
      <c r="Q20" s="2" t="inlineStr">
        <is>
          <t>NOT RELEASED</t>
        </is>
      </c>
    </row>
    <row r="21">
      <c r="A21" s="2" t="inlineStr">
        <is>
          <t>B02-INST</t>
        </is>
      </c>
      <c r="B21" s="2" t="inlineStr">
        <is>
          <t>ICW-ICG LD</t>
        </is>
      </c>
      <c r="C21" s="2" t="inlineStr">
        <is>
          <t>Bridge installation/strengthening</t>
        </is>
      </c>
      <c r="D21" s="2" t="inlineStr">
        <is>
          <t>member/module</t>
        </is>
      </c>
      <c r="E21" s="2" t="n"/>
      <c r="F21" s="2" t="n"/>
      <c r="G21" s="2" t="n"/>
      <c r="H21" s="2" t="n"/>
      <c r="I21" s="2" t="n"/>
      <c r="J21" s="2" t="n"/>
      <c r="K21" s="2" t="n"/>
      <c r="L21" s="2" t="n"/>
      <c r="M21" s="2" t="n"/>
      <c r="N21" s="2" t="n"/>
      <c r="O21" s="2">
        <f>IF(COUNTIF(G21:N21,"YES")=8,"VERIFY EVIDENCE","HOLD")</f>
        <v/>
      </c>
      <c r="P21" s="2" t="inlineStr">
        <is>
          <t>PTW and engineered method accepted</t>
        </is>
      </c>
      <c r="Q21" s="2" t="inlineStr">
        <is>
          <t>NOT RELEASED</t>
        </is>
      </c>
    </row>
    <row r="22">
      <c r="A22" s="2" t="inlineStr">
        <is>
          <t>B02-SERV</t>
        </is>
      </c>
      <c r="B22" s="2" t="inlineStr">
        <is>
          <t>ICW-ICG LD</t>
        </is>
      </c>
      <c r="C22" s="2" t="inlineStr">
        <is>
          <t>Service transfer/testing</t>
        </is>
      </c>
      <c r="D22" s="2" t="inlineStr">
        <is>
          <t>line/circuit/system</t>
        </is>
      </c>
      <c r="E22" s="2" t="n"/>
      <c r="F22" s="2" t="n"/>
      <c r="G22" s="2" t="n"/>
      <c r="H22" s="2" t="n"/>
      <c r="I22" s="2" t="n"/>
      <c r="J22" s="2" t="n"/>
      <c r="K22" s="2" t="n"/>
      <c r="L22" s="2" t="n"/>
      <c r="M22" s="2" t="n"/>
      <c r="N22" s="2" t="n"/>
      <c r="O22" s="2">
        <f>IF(COUNTIF(G22:N22,"YES")=8,"VERIFY EVIDENCE","HOLD")</f>
        <v/>
      </c>
      <c r="P22" s="2" t="inlineStr">
        <is>
          <t>Isolation/test boundary/operations acceptance</t>
        </is>
      </c>
      <c r="Q22" s="2" t="inlineStr">
        <is>
          <t>NOT RELEASED</t>
        </is>
      </c>
    </row>
    <row r="23">
      <c r="A23" s="2" t="inlineStr">
        <is>
          <t>B02-DEM</t>
        </is>
      </c>
      <c r="B23" s="2" t="inlineStr">
        <is>
          <t>ICW-ICG LD</t>
        </is>
      </c>
      <c r="C23" s="2" t="inlineStr">
        <is>
          <t>Removal/scrap backload</t>
        </is>
      </c>
      <c r="D23" s="2" t="inlineStr">
        <is>
          <t>item/MT</t>
        </is>
      </c>
      <c r="E23" s="2" t="n"/>
      <c r="F23" s="2" t="n"/>
      <c r="G23" s="2" t="n"/>
      <c r="H23" s="2" t="n"/>
      <c r="I23" s="2" t="n"/>
      <c r="J23" s="2" t="n"/>
      <c r="K23" s="2" t="n"/>
      <c r="L23" s="2" t="n"/>
      <c r="M23" s="2" t="n"/>
      <c r="N23" s="2" t="n"/>
      <c r="O23" s="2">
        <f>IF(COUNTIF(G23:N23,"YES")=8,"VERIFY EVIDENCE","HOLD")</f>
        <v/>
      </c>
      <c r="P23" s="2" t="inlineStr">
        <is>
          <t>Accepted support/service sequence and disposal receipt</t>
        </is>
      </c>
      <c r="Q23" s="2" t="inlineStr">
        <is>
          <t>NOT RELEASED</t>
        </is>
      </c>
    </row>
    <row r="24">
      <c r="A24" s="2" t="inlineStr">
        <is>
          <t>B02-PUNCH</t>
        </is>
      </c>
      <c r="B24" s="2" t="inlineStr">
        <is>
          <t>ICW-ICG LD</t>
        </is>
      </c>
      <c r="C24" s="2" t="inlineStr">
        <is>
          <t>Inspection/punch closure</t>
        </is>
      </c>
      <c r="D24" s="2" t="inlineStr">
        <is>
          <t>punch item</t>
        </is>
      </c>
      <c r="E24" s="2" t="n"/>
      <c r="F24" s="2" t="n"/>
      <c r="G24" s="2" t="n"/>
      <c r="H24" s="2" t="n"/>
      <c r="I24" s="2" t="n"/>
      <c r="J24" s="2" t="n"/>
      <c r="K24" s="2" t="n"/>
      <c r="L24" s="2" t="n"/>
      <c r="M24" s="2" t="n"/>
      <c r="N24" s="2" t="n"/>
      <c r="O24" s="2">
        <f>IF(COUNTIF(G24:N24,"YES")=8,"VERIFY EVIDENCE","HOLD")</f>
        <v/>
      </c>
      <c r="P24" s="2" t="inlineStr">
        <is>
          <t>Accepted ITR and blocking-punch closure</t>
        </is>
      </c>
      <c r="Q24" s="2" t="inlineStr">
        <is>
          <t>NOT RELEASED</t>
        </is>
      </c>
    </row>
    <row r="25">
      <c r="A25" s="2" t="inlineStr">
        <is>
          <t>B02-TURN</t>
        </is>
      </c>
      <c r="B25" s="2" t="inlineStr">
        <is>
          <t>ICW-ICG LD</t>
        </is>
      </c>
      <c r="C25" s="2" t="inlineStr">
        <is>
          <t>As-built/turnover</t>
        </is>
      </c>
      <c r="D25" s="2" t="inlineStr">
        <is>
          <t>dossier</t>
        </is>
      </c>
      <c r="E25" s="2" t="n"/>
      <c r="F25" s="2" t="n"/>
      <c r="G25" s="2" t="n"/>
      <c r="H25" s="2" t="n"/>
      <c r="I25" s="2" t="n"/>
      <c r="J25" s="2" t="n"/>
      <c r="K25" s="2" t="n"/>
      <c r="L25" s="2" t="n"/>
      <c r="M25" s="2" t="n"/>
      <c r="N25" s="2" t="n"/>
      <c r="O25" s="2">
        <f>IF(COUNTIF(G25:N25,"YES")=8,"VERIFY EVIDENCE","HOLD")</f>
        <v/>
      </c>
      <c r="P25" s="2" t="inlineStr">
        <is>
          <t>Accepted bridge/system completion</t>
        </is>
      </c>
      <c r="Q25" s="2" t="inlineStr">
        <is>
          <t>NOT RELEASED</t>
        </is>
      </c>
    </row>
    <row r="26">
      <c r="A26" s="2" t="inlineStr">
        <is>
          <t>B03-SUR</t>
        </is>
      </c>
      <c r="B26" s="2" t="inlineStr">
        <is>
          <t>ICG-ICP UD</t>
        </is>
      </c>
      <c r="C26" s="2" t="inlineStr">
        <is>
          <t>Survey and verified access</t>
        </is>
      </c>
      <c r="D26" s="2" t="inlineStr">
        <is>
          <t>survey pack</t>
        </is>
      </c>
      <c r="E26" s="2" t="n"/>
      <c r="F26" s="2" t="n"/>
      <c r="G26" s="2" t="n"/>
      <c r="H26" s="2" t="n"/>
      <c r="I26" s="2" t="n"/>
      <c r="J26" s="2" t="n"/>
      <c r="K26" s="2" t="n"/>
      <c r="L26" s="2" t="n"/>
      <c r="M26" s="2" t="n"/>
      <c r="N26" s="2" t="n"/>
      <c r="O26" s="2">
        <f>IF(COUNTIF(G26:N26,"YES")=8,"VERIFY EVIDENCE","HOLD")</f>
        <v/>
      </c>
      <c r="P26" s="2" t="inlineStr">
        <is>
          <t>Accepted geometry/NDT</t>
        </is>
      </c>
      <c r="Q26" s="2" t="inlineStr">
        <is>
          <t>NOT RELEASED</t>
        </is>
      </c>
    </row>
    <row r="27">
      <c r="A27" s="2" t="inlineStr">
        <is>
          <t>B03-ENG</t>
        </is>
      </c>
      <c r="B27" s="2" t="inlineStr">
        <is>
          <t>ICG-ICP UD</t>
        </is>
      </c>
      <c r="C27" s="2" t="inlineStr">
        <is>
          <t>Design/detail/MTO release</t>
        </is>
      </c>
      <c r="D27" s="2" t="inlineStr">
        <is>
          <t>document pack</t>
        </is>
      </c>
      <c r="E27" s="2" t="n"/>
      <c r="F27" s="2" t="n"/>
      <c r="G27" s="2" t="n"/>
      <c r="H27" s="2" t="n"/>
      <c r="I27" s="2" t="n"/>
      <c r="J27" s="2" t="n"/>
      <c r="K27" s="2" t="n"/>
      <c r="L27" s="2" t="n"/>
      <c r="M27" s="2" t="n"/>
      <c r="N27" s="2" t="n"/>
      <c r="O27" s="2">
        <f>IF(COUNTIF(G27:N27,"YES")=8,"VERIFY EVIDENCE","HOLD")</f>
        <v/>
      </c>
      <c r="P27" s="2" t="inlineStr">
        <is>
          <t>Checked analysis and AFC index</t>
        </is>
      </c>
      <c r="Q27" s="2" t="inlineStr">
        <is>
          <t>NOT RELEASED</t>
        </is>
      </c>
    </row>
    <row r="28">
      <c r="A28" s="2" t="inlineStr">
        <is>
          <t>B03-MAT</t>
        </is>
      </c>
      <c r="B28" s="2" t="inlineStr">
        <is>
          <t>ICG-ICP UD</t>
        </is>
      </c>
      <c r="C28" s="2" t="inlineStr">
        <is>
          <t>Material and traceability receipt</t>
        </is>
      </c>
      <c r="D28" s="2" t="inlineStr">
        <is>
          <t>BOM item</t>
        </is>
      </c>
      <c r="E28" s="2" t="n"/>
      <c r="F28" s="2" t="n"/>
      <c r="G28" s="2" t="n"/>
      <c r="H28" s="2" t="n"/>
      <c r="I28" s="2" t="n"/>
      <c r="J28" s="2" t="n"/>
      <c r="K28" s="2" t="n"/>
      <c r="L28" s="2" t="n"/>
      <c r="M28" s="2" t="n"/>
      <c r="N28" s="2" t="n"/>
      <c r="O28" s="2">
        <f>IF(COUNTIF(G28:N28,"YES")=8,"VERIFY EVIDENCE","HOLD")</f>
        <v/>
      </c>
      <c r="P28" s="2" t="inlineStr">
        <is>
          <t>PS/MTC/origin and TPI release</t>
        </is>
      </c>
      <c r="Q28" s="2" t="inlineStr">
        <is>
          <t>NOT RELEASED</t>
        </is>
      </c>
    </row>
    <row r="29">
      <c r="A29" s="2" t="inlineStr">
        <is>
          <t>B03-FAB</t>
        </is>
      </c>
      <c r="B29" s="2" t="inlineStr">
        <is>
          <t>ICG-ICP UD</t>
        </is>
      </c>
      <c r="C29" s="2" t="inlineStr">
        <is>
          <t>Fabrication and connection work</t>
        </is>
      </c>
      <c r="D29" s="2" t="inlineStr">
        <is>
          <t>member/weld/BOM</t>
        </is>
      </c>
      <c r="E29" s="2" t="n"/>
      <c r="F29" s="2" t="n"/>
      <c r="G29" s="2" t="n"/>
      <c r="H29" s="2" t="n"/>
      <c r="I29" s="2" t="n"/>
      <c r="J29" s="2" t="n"/>
      <c r="K29" s="2" t="n"/>
      <c r="L29" s="2" t="n"/>
      <c r="M29" s="2" t="n"/>
      <c r="N29" s="2" t="n"/>
      <c r="O29" s="2">
        <f>IF(COUNTIF(G29:N29,"YES")=8,"VERIFY EVIDENCE","HOLD")</f>
        <v/>
      </c>
      <c r="P29" s="2" t="inlineStr">
        <is>
          <t>WPS/welder/NDT/dimension records</t>
        </is>
      </c>
      <c r="Q29" s="2" t="inlineStr">
        <is>
          <t>NOT RELEASED</t>
        </is>
      </c>
    </row>
    <row r="30">
      <c r="A30" s="2" t="inlineStr">
        <is>
          <t>B03-COAT</t>
        </is>
      </c>
      <c r="B30" s="2" t="inlineStr">
        <is>
          <t>ICG-ICP UD</t>
        </is>
      </c>
      <c r="C30" s="2" t="inlineStr">
        <is>
          <t>Preparation/coating/curing</t>
        </is>
      </c>
      <c r="D30" s="2" t="inlineStr">
        <is>
          <t>m2 by system</t>
        </is>
      </c>
      <c r="E30" s="2" t="n"/>
      <c r="F30" s="2" t="n"/>
      <c r="G30" s="2" t="n"/>
      <c r="H30" s="2" t="n"/>
      <c r="I30" s="2" t="n"/>
      <c r="J30" s="2" t="n"/>
      <c r="K30" s="2" t="n"/>
      <c r="L30" s="2" t="n"/>
      <c r="M30" s="2" t="n"/>
      <c r="N30" s="2" t="n"/>
      <c r="O30" s="2">
        <f>IF(COUNTIF(G30:N30,"YES")=8,"VERIFY EVIDENCE","HOLD")</f>
        <v/>
      </c>
      <c r="P30" s="2" t="inlineStr">
        <is>
          <t>Accepted surface/environment/DFT records</t>
        </is>
      </c>
      <c r="Q30" s="2" t="inlineStr">
        <is>
          <t>NOT RELEASED</t>
        </is>
      </c>
    </row>
    <row r="31">
      <c r="A31" s="2" t="inlineStr">
        <is>
          <t>B03-LOAD</t>
        </is>
      </c>
      <c r="B31" s="2" t="inlineStr">
        <is>
          <t>ICG-ICP UD</t>
        </is>
      </c>
      <c r="C31" s="2" t="inlineStr">
        <is>
          <t>Loadout/transport/receipt</t>
        </is>
      </c>
      <c r="D31" s="2" t="inlineStr">
        <is>
          <t>module</t>
        </is>
      </c>
      <c r="E31" s="2" t="n"/>
      <c r="F31" s="2" t="n"/>
      <c r="G31" s="2" t="n"/>
      <c r="H31" s="2" t="n"/>
      <c r="I31" s="2" t="n"/>
      <c r="J31" s="2" t="n"/>
      <c r="K31" s="2" t="n"/>
      <c r="L31" s="2" t="n"/>
      <c r="M31" s="2" t="n"/>
      <c r="N31" s="2" t="n"/>
      <c r="O31" s="2">
        <f>IF(COUNTIF(G31:N31,"YES")=8,"VERIFY EVIDENCE","HOLD")</f>
        <v/>
      </c>
      <c r="P31" s="2" t="inlineStr">
        <is>
          <t>Weight/COG/rigging/sea-fastening approval</t>
        </is>
      </c>
      <c r="Q31" s="2" t="inlineStr">
        <is>
          <t>NOT RELEASED</t>
        </is>
      </c>
    </row>
    <row r="32">
      <c r="A32" s="2" t="inlineStr">
        <is>
          <t>B03-SUP</t>
        </is>
      </c>
      <c r="B32" s="2" t="inlineStr">
        <is>
          <t>ICG-ICP UD</t>
        </is>
      </c>
      <c r="C32" s="2" t="inlineStr">
        <is>
          <t>Support strengthening and temporary stability</t>
        </is>
      </c>
      <c r="D32" s="2" t="inlineStr">
        <is>
          <t>member/joint</t>
        </is>
      </c>
      <c r="E32" s="2" t="n"/>
      <c r="F32" s="2" t="n"/>
      <c r="G32" s="2" t="n"/>
      <c r="H32" s="2" t="n"/>
      <c r="I32" s="2" t="n"/>
      <c r="J32" s="2" t="n"/>
      <c r="K32" s="2" t="n"/>
      <c r="L32" s="2" t="n"/>
      <c r="M32" s="2" t="n"/>
      <c r="N32" s="2" t="n"/>
      <c r="O32" s="2">
        <f>IF(COUNTIF(G32:N32,"YES")=8,"VERIFY EVIDENCE","HOLD")</f>
        <v/>
      </c>
      <c r="P32" s="2" t="inlineStr">
        <is>
          <t>Approved stage analysis and inspected installation</t>
        </is>
      </c>
      <c r="Q32" s="2" t="inlineStr">
        <is>
          <t>NOT RELEASED</t>
        </is>
      </c>
    </row>
    <row r="33">
      <c r="A33" s="2" t="inlineStr">
        <is>
          <t>B03-INST</t>
        </is>
      </c>
      <c r="B33" s="2" t="inlineStr">
        <is>
          <t>ICG-ICP UD</t>
        </is>
      </c>
      <c r="C33" s="2" t="inlineStr">
        <is>
          <t>Bridge installation/strengthening</t>
        </is>
      </c>
      <c r="D33" s="2" t="inlineStr">
        <is>
          <t>member/module</t>
        </is>
      </c>
      <c r="E33" s="2" t="n"/>
      <c r="F33" s="2" t="n"/>
      <c r="G33" s="2" t="n"/>
      <c r="H33" s="2" t="n"/>
      <c r="I33" s="2" t="n"/>
      <c r="J33" s="2" t="n"/>
      <c r="K33" s="2" t="n"/>
      <c r="L33" s="2" t="n"/>
      <c r="M33" s="2" t="n"/>
      <c r="N33" s="2" t="n"/>
      <c r="O33" s="2">
        <f>IF(COUNTIF(G33:N33,"YES")=8,"VERIFY EVIDENCE","HOLD")</f>
        <v/>
      </c>
      <c r="P33" s="2" t="inlineStr">
        <is>
          <t>PTW and engineered method accepted</t>
        </is>
      </c>
      <c r="Q33" s="2" t="inlineStr">
        <is>
          <t>NOT RELEASED</t>
        </is>
      </c>
    </row>
    <row r="34">
      <c r="A34" s="2" t="inlineStr">
        <is>
          <t>B03-SERV</t>
        </is>
      </c>
      <c r="B34" s="2" t="inlineStr">
        <is>
          <t>ICG-ICP UD</t>
        </is>
      </c>
      <c r="C34" s="2" t="inlineStr">
        <is>
          <t>Service transfer/testing</t>
        </is>
      </c>
      <c r="D34" s="2" t="inlineStr">
        <is>
          <t>line/circuit/system</t>
        </is>
      </c>
      <c r="E34" s="2" t="n"/>
      <c r="F34" s="2" t="n"/>
      <c r="G34" s="2" t="n"/>
      <c r="H34" s="2" t="n"/>
      <c r="I34" s="2" t="n"/>
      <c r="J34" s="2" t="n"/>
      <c r="K34" s="2" t="n"/>
      <c r="L34" s="2" t="n"/>
      <c r="M34" s="2" t="n"/>
      <c r="N34" s="2" t="n"/>
      <c r="O34" s="2">
        <f>IF(COUNTIF(G34:N34,"YES")=8,"VERIFY EVIDENCE","HOLD")</f>
        <v/>
      </c>
      <c r="P34" s="2" t="inlineStr">
        <is>
          <t>Isolation/test boundary/operations acceptance</t>
        </is>
      </c>
      <c r="Q34" s="2" t="inlineStr">
        <is>
          <t>NOT RELEASED</t>
        </is>
      </c>
    </row>
    <row r="35">
      <c r="A35" s="2" t="inlineStr">
        <is>
          <t>B03-DEM</t>
        </is>
      </c>
      <c r="B35" s="2" t="inlineStr">
        <is>
          <t>ICG-ICP UD</t>
        </is>
      </c>
      <c r="C35" s="2" t="inlineStr">
        <is>
          <t>Removal/scrap backload</t>
        </is>
      </c>
      <c r="D35" s="2" t="inlineStr">
        <is>
          <t>item/MT</t>
        </is>
      </c>
      <c r="E35" s="2" t="n"/>
      <c r="F35" s="2" t="n"/>
      <c r="G35" s="2" t="n"/>
      <c r="H35" s="2" t="n"/>
      <c r="I35" s="2" t="n"/>
      <c r="J35" s="2" t="n"/>
      <c r="K35" s="2" t="n"/>
      <c r="L35" s="2" t="n"/>
      <c r="M35" s="2" t="n"/>
      <c r="N35" s="2" t="n"/>
      <c r="O35" s="2">
        <f>IF(COUNTIF(G35:N35,"YES")=8,"VERIFY EVIDENCE","HOLD")</f>
        <v/>
      </c>
      <c r="P35" s="2" t="inlineStr">
        <is>
          <t>Accepted support/service sequence and disposal receipt</t>
        </is>
      </c>
      <c r="Q35" s="2" t="inlineStr">
        <is>
          <t>NOT RELEASED</t>
        </is>
      </c>
    </row>
    <row r="36">
      <c r="A36" s="2" t="inlineStr">
        <is>
          <t>B03-PUNCH</t>
        </is>
      </c>
      <c r="B36" s="2" t="inlineStr">
        <is>
          <t>ICG-ICP UD</t>
        </is>
      </c>
      <c r="C36" s="2" t="inlineStr">
        <is>
          <t>Inspection/punch closure</t>
        </is>
      </c>
      <c r="D36" s="2" t="inlineStr">
        <is>
          <t>punch item</t>
        </is>
      </c>
      <c r="E36" s="2" t="n"/>
      <c r="F36" s="2" t="n"/>
      <c r="G36" s="2" t="n"/>
      <c r="H36" s="2" t="n"/>
      <c r="I36" s="2" t="n"/>
      <c r="J36" s="2" t="n"/>
      <c r="K36" s="2" t="n"/>
      <c r="L36" s="2" t="n"/>
      <c r="M36" s="2" t="n"/>
      <c r="N36" s="2" t="n"/>
      <c r="O36" s="2">
        <f>IF(COUNTIF(G36:N36,"YES")=8,"VERIFY EVIDENCE","HOLD")</f>
        <v/>
      </c>
      <c r="P36" s="2" t="inlineStr">
        <is>
          <t>Accepted ITR and blocking-punch closure</t>
        </is>
      </c>
      <c r="Q36" s="2" t="inlineStr">
        <is>
          <t>NOT RELEASED</t>
        </is>
      </c>
    </row>
    <row r="37">
      <c r="A37" s="2" t="inlineStr">
        <is>
          <t>B03-TURN</t>
        </is>
      </c>
      <c r="B37" s="2" t="inlineStr">
        <is>
          <t>ICG-ICP UD</t>
        </is>
      </c>
      <c r="C37" s="2" t="inlineStr">
        <is>
          <t>As-built/turnover</t>
        </is>
      </c>
      <c r="D37" s="2" t="inlineStr">
        <is>
          <t>dossier</t>
        </is>
      </c>
      <c r="E37" s="2" t="n"/>
      <c r="F37" s="2" t="n"/>
      <c r="G37" s="2" t="n"/>
      <c r="H37" s="2" t="n"/>
      <c r="I37" s="2" t="n"/>
      <c r="J37" s="2" t="n"/>
      <c r="K37" s="2" t="n"/>
      <c r="L37" s="2" t="n"/>
      <c r="M37" s="2" t="n"/>
      <c r="N37" s="2" t="n"/>
      <c r="O37" s="2">
        <f>IF(COUNTIF(G37:N37,"YES")=8,"VERIFY EVIDENCE","HOLD")</f>
        <v/>
      </c>
      <c r="P37" s="2" t="inlineStr">
        <is>
          <t>Accepted bridge/system completion</t>
        </is>
      </c>
      <c r="Q37" s="2" t="inlineStr">
        <is>
          <t>NOT RELEASED</t>
        </is>
      </c>
    </row>
    <row r="38">
      <c r="A38" s="2" t="inlineStr">
        <is>
          <t>B04-SUR</t>
        </is>
      </c>
      <c r="B38" s="2" t="inlineStr">
        <is>
          <t>ICG-ICP LD</t>
        </is>
      </c>
      <c r="C38" s="2" t="inlineStr">
        <is>
          <t>Survey and verified access</t>
        </is>
      </c>
      <c r="D38" s="2" t="inlineStr">
        <is>
          <t>survey pack</t>
        </is>
      </c>
      <c r="E38" s="2" t="n"/>
      <c r="F38" s="2" t="n"/>
      <c r="G38" s="2" t="n"/>
      <c r="H38" s="2" t="n"/>
      <c r="I38" s="2" t="n"/>
      <c r="J38" s="2" t="n"/>
      <c r="K38" s="2" t="n"/>
      <c r="L38" s="2" t="n"/>
      <c r="M38" s="2" t="n"/>
      <c r="N38" s="2" t="n"/>
      <c r="O38" s="2">
        <f>IF(COUNTIF(G38:N38,"YES")=8,"VERIFY EVIDENCE","HOLD")</f>
        <v/>
      </c>
      <c r="P38" s="2" t="inlineStr">
        <is>
          <t>Accepted geometry/NDT</t>
        </is>
      </c>
      <c r="Q38" s="2" t="inlineStr">
        <is>
          <t>NOT RELEASED</t>
        </is>
      </c>
    </row>
    <row r="39">
      <c r="A39" s="2" t="inlineStr">
        <is>
          <t>B04-ENG</t>
        </is>
      </c>
      <c r="B39" s="2" t="inlineStr">
        <is>
          <t>ICG-ICP LD</t>
        </is>
      </c>
      <c r="C39" s="2" t="inlineStr">
        <is>
          <t>Design/detail/MTO release</t>
        </is>
      </c>
      <c r="D39" s="2" t="inlineStr">
        <is>
          <t>document pack</t>
        </is>
      </c>
      <c r="E39" s="2" t="n"/>
      <c r="F39" s="2" t="n"/>
      <c r="G39" s="2" t="n"/>
      <c r="H39" s="2" t="n"/>
      <c r="I39" s="2" t="n"/>
      <c r="J39" s="2" t="n"/>
      <c r="K39" s="2" t="n"/>
      <c r="L39" s="2" t="n"/>
      <c r="M39" s="2" t="n"/>
      <c r="N39" s="2" t="n"/>
      <c r="O39" s="2">
        <f>IF(COUNTIF(G39:N39,"YES")=8,"VERIFY EVIDENCE","HOLD")</f>
        <v/>
      </c>
      <c r="P39" s="2" t="inlineStr">
        <is>
          <t>Checked analysis and AFC index</t>
        </is>
      </c>
      <c r="Q39" s="2" t="inlineStr">
        <is>
          <t>NOT RELEASED</t>
        </is>
      </c>
    </row>
    <row r="40">
      <c r="A40" s="2" t="inlineStr">
        <is>
          <t>B04-MAT</t>
        </is>
      </c>
      <c r="B40" s="2" t="inlineStr">
        <is>
          <t>ICG-ICP LD</t>
        </is>
      </c>
      <c r="C40" s="2" t="inlineStr">
        <is>
          <t>Material and traceability receipt</t>
        </is>
      </c>
      <c r="D40" s="2" t="inlineStr">
        <is>
          <t>BOM item</t>
        </is>
      </c>
      <c r="E40" s="2" t="n"/>
      <c r="F40" s="2" t="n"/>
      <c r="G40" s="2" t="n"/>
      <c r="H40" s="2" t="n"/>
      <c r="I40" s="2" t="n"/>
      <c r="J40" s="2" t="n"/>
      <c r="K40" s="2" t="n"/>
      <c r="L40" s="2" t="n"/>
      <c r="M40" s="2" t="n"/>
      <c r="N40" s="2" t="n"/>
      <c r="O40" s="2">
        <f>IF(COUNTIF(G40:N40,"YES")=8,"VERIFY EVIDENCE","HOLD")</f>
        <v/>
      </c>
      <c r="P40" s="2" t="inlineStr">
        <is>
          <t>PS/MTC/origin and TPI release</t>
        </is>
      </c>
      <c r="Q40" s="2" t="inlineStr">
        <is>
          <t>NOT RELEASED</t>
        </is>
      </c>
    </row>
    <row r="41">
      <c r="A41" s="2" t="inlineStr">
        <is>
          <t>B04-FAB</t>
        </is>
      </c>
      <c r="B41" s="2" t="inlineStr">
        <is>
          <t>ICG-ICP LD</t>
        </is>
      </c>
      <c r="C41" s="2" t="inlineStr">
        <is>
          <t>Fabrication and connection work</t>
        </is>
      </c>
      <c r="D41" s="2" t="inlineStr">
        <is>
          <t>member/weld/BOM</t>
        </is>
      </c>
      <c r="E41" s="2" t="n"/>
      <c r="F41" s="2" t="n"/>
      <c r="G41" s="2" t="n"/>
      <c r="H41" s="2" t="n"/>
      <c r="I41" s="2" t="n"/>
      <c r="J41" s="2" t="n"/>
      <c r="K41" s="2" t="n"/>
      <c r="L41" s="2" t="n"/>
      <c r="M41" s="2" t="n"/>
      <c r="N41" s="2" t="n"/>
      <c r="O41" s="2">
        <f>IF(COUNTIF(G41:N41,"YES")=8,"VERIFY EVIDENCE","HOLD")</f>
        <v/>
      </c>
      <c r="P41" s="2" t="inlineStr">
        <is>
          <t>WPS/welder/NDT/dimension records</t>
        </is>
      </c>
      <c r="Q41" s="2" t="inlineStr">
        <is>
          <t>NOT RELEASED</t>
        </is>
      </c>
    </row>
    <row r="42">
      <c r="A42" s="2" t="inlineStr">
        <is>
          <t>B04-COAT</t>
        </is>
      </c>
      <c r="B42" s="2" t="inlineStr">
        <is>
          <t>ICG-ICP LD</t>
        </is>
      </c>
      <c r="C42" s="2" t="inlineStr">
        <is>
          <t>Preparation/coating/curing</t>
        </is>
      </c>
      <c r="D42" s="2" t="inlineStr">
        <is>
          <t>m2 by system</t>
        </is>
      </c>
      <c r="E42" s="2" t="n"/>
      <c r="F42" s="2" t="n"/>
      <c r="G42" s="2" t="n"/>
      <c r="H42" s="2" t="n"/>
      <c r="I42" s="2" t="n"/>
      <c r="J42" s="2" t="n"/>
      <c r="K42" s="2" t="n"/>
      <c r="L42" s="2" t="n"/>
      <c r="M42" s="2" t="n"/>
      <c r="N42" s="2" t="n"/>
      <c r="O42" s="2">
        <f>IF(COUNTIF(G42:N42,"YES")=8,"VERIFY EVIDENCE","HOLD")</f>
        <v/>
      </c>
      <c r="P42" s="2" t="inlineStr">
        <is>
          <t>Accepted surface/environment/DFT records</t>
        </is>
      </c>
      <c r="Q42" s="2" t="inlineStr">
        <is>
          <t>NOT RELEASED</t>
        </is>
      </c>
    </row>
    <row r="43">
      <c r="A43" s="2" t="inlineStr">
        <is>
          <t>B04-LOAD</t>
        </is>
      </c>
      <c r="B43" s="2" t="inlineStr">
        <is>
          <t>ICG-ICP LD</t>
        </is>
      </c>
      <c r="C43" s="2" t="inlineStr">
        <is>
          <t>Loadout/transport/receipt</t>
        </is>
      </c>
      <c r="D43" s="2" t="inlineStr">
        <is>
          <t>module</t>
        </is>
      </c>
      <c r="E43" s="2" t="n"/>
      <c r="F43" s="2" t="n"/>
      <c r="G43" s="2" t="n"/>
      <c r="H43" s="2" t="n"/>
      <c r="I43" s="2" t="n"/>
      <c r="J43" s="2" t="n"/>
      <c r="K43" s="2" t="n"/>
      <c r="L43" s="2" t="n"/>
      <c r="M43" s="2" t="n"/>
      <c r="N43" s="2" t="n"/>
      <c r="O43" s="2">
        <f>IF(COUNTIF(G43:N43,"YES")=8,"VERIFY EVIDENCE","HOLD")</f>
        <v/>
      </c>
      <c r="P43" s="2" t="inlineStr">
        <is>
          <t>Weight/COG/rigging/sea-fastening approval</t>
        </is>
      </c>
      <c r="Q43" s="2" t="inlineStr">
        <is>
          <t>NOT RELEASED</t>
        </is>
      </c>
    </row>
    <row r="44">
      <c r="A44" s="2" t="inlineStr">
        <is>
          <t>B04-SUP</t>
        </is>
      </c>
      <c r="B44" s="2" t="inlineStr">
        <is>
          <t>ICG-ICP LD</t>
        </is>
      </c>
      <c r="C44" s="2" t="inlineStr">
        <is>
          <t>Support strengthening and temporary stability</t>
        </is>
      </c>
      <c r="D44" s="2" t="inlineStr">
        <is>
          <t>member/joint</t>
        </is>
      </c>
      <c r="E44" s="2" t="n"/>
      <c r="F44" s="2" t="n"/>
      <c r="G44" s="2" t="n"/>
      <c r="H44" s="2" t="n"/>
      <c r="I44" s="2" t="n"/>
      <c r="J44" s="2" t="n"/>
      <c r="K44" s="2" t="n"/>
      <c r="L44" s="2" t="n"/>
      <c r="M44" s="2" t="n"/>
      <c r="N44" s="2" t="n"/>
      <c r="O44" s="2">
        <f>IF(COUNTIF(G44:N44,"YES")=8,"VERIFY EVIDENCE","HOLD")</f>
        <v/>
      </c>
      <c r="P44" s="2" t="inlineStr">
        <is>
          <t>Approved stage analysis and inspected installation</t>
        </is>
      </c>
      <c r="Q44" s="2" t="inlineStr">
        <is>
          <t>NOT RELEASED</t>
        </is>
      </c>
    </row>
    <row r="45">
      <c r="A45" s="2" t="inlineStr">
        <is>
          <t>B04-INST</t>
        </is>
      </c>
      <c r="B45" s="2" t="inlineStr">
        <is>
          <t>ICG-ICP LD</t>
        </is>
      </c>
      <c r="C45" s="2" t="inlineStr">
        <is>
          <t>Bridge installation/strengthening</t>
        </is>
      </c>
      <c r="D45" s="2" t="inlineStr">
        <is>
          <t>member/module</t>
        </is>
      </c>
      <c r="E45" s="2" t="n"/>
      <c r="F45" s="2" t="n"/>
      <c r="G45" s="2" t="n"/>
      <c r="H45" s="2" t="n"/>
      <c r="I45" s="2" t="n"/>
      <c r="J45" s="2" t="n"/>
      <c r="K45" s="2" t="n"/>
      <c r="L45" s="2" t="n"/>
      <c r="M45" s="2" t="n"/>
      <c r="N45" s="2" t="n"/>
      <c r="O45" s="2">
        <f>IF(COUNTIF(G45:N45,"YES")=8,"VERIFY EVIDENCE","HOLD")</f>
        <v/>
      </c>
      <c r="P45" s="2" t="inlineStr">
        <is>
          <t>PTW and engineered method accepted</t>
        </is>
      </c>
      <c r="Q45" s="2" t="inlineStr">
        <is>
          <t>NOT RELEASED</t>
        </is>
      </c>
    </row>
    <row r="46">
      <c r="A46" s="2" t="inlineStr">
        <is>
          <t>B04-SERV</t>
        </is>
      </c>
      <c r="B46" s="2" t="inlineStr">
        <is>
          <t>ICG-ICP LD</t>
        </is>
      </c>
      <c r="C46" s="2" t="inlineStr">
        <is>
          <t>Service transfer/testing</t>
        </is>
      </c>
      <c r="D46" s="2" t="inlineStr">
        <is>
          <t>line/circuit/system</t>
        </is>
      </c>
      <c r="E46" s="2" t="n"/>
      <c r="F46" s="2" t="n"/>
      <c r="G46" s="2" t="n"/>
      <c r="H46" s="2" t="n"/>
      <c r="I46" s="2" t="n"/>
      <c r="J46" s="2" t="n"/>
      <c r="K46" s="2" t="n"/>
      <c r="L46" s="2" t="n"/>
      <c r="M46" s="2" t="n"/>
      <c r="N46" s="2" t="n"/>
      <c r="O46" s="2">
        <f>IF(COUNTIF(G46:N46,"YES")=8,"VERIFY EVIDENCE","HOLD")</f>
        <v/>
      </c>
      <c r="P46" s="2" t="inlineStr">
        <is>
          <t>Isolation/test boundary/operations acceptance</t>
        </is>
      </c>
      <c r="Q46" s="2" t="inlineStr">
        <is>
          <t>NOT RELEASED</t>
        </is>
      </c>
    </row>
    <row r="47">
      <c r="A47" s="2" t="inlineStr">
        <is>
          <t>B04-DEM</t>
        </is>
      </c>
      <c r="B47" s="2" t="inlineStr">
        <is>
          <t>ICG-ICP LD</t>
        </is>
      </c>
      <c r="C47" s="2" t="inlineStr">
        <is>
          <t>Removal/scrap backload</t>
        </is>
      </c>
      <c r="D47" s="2" t="inlineStr">
        <is>
          <t>item/MT</t>
        </is>
      </c>
      <c r="E47" s="2" t="n"/>
      <c r="F47" s="2" t="n"/>
      <c r="G47" s="2" t="n"/>
      <c r="H47" s="2" t="n"/>
      <c r="I47" s="2" t="n"/>
      <c r="J47" s="2" t="n"/>
      <c r="K47" s="2" t="n"/>
      <c r="L47" s="2" t="n"/>
      <c r="M47" s="2" t="n"/>
      <c r="N47" s="2" t="n"/>
      <c r="O47" s="2">
        <f>IF(COUNTIF(G47:N47,"YES")=8,"VERIFY EVIDENCE","HOLD")</f>
        <v/>
      </c>
      <c r="P47" s="2" t="inlineStr">
        <is>
          <t>Accepted support/service sequence and disposal receipt</t>
        </is>
      </c>
      <c r="Q47" s="2" t="inlineStr">
        <is>
          <t>NOT RELEASED</t>
        </is>
      </c>
    </row>
    <row r="48">
      <c r="A48" s="2" t="inlineStr">
        <is>
          <t>B04-PUNCH</t>
        </is>
      </c>
      <c r="B48" s="2" t="inlineStr">
        <is>
          <t>ICG-ICP LD</t>
        </is>
      </c>
      <c r="C48" s="2" t="inlineStr">
        <is>
          <t>Inspection/punch closure</t>
        </is>
      </c>
      <c r="D48" s="2" t="inlineStr">
        <is>
          <t>punch item</t>
        </is>
      </c>
      <c r="E48" s="2" t="n"/>
      <c r="F48" s="2" t="n"/>
      <c r="G48" s="2" t="n"/>
      <c r="H48" s="2" t="n"/>
      <c r="I48" s="2" t="n"/>
      <c r="J48" s="2" t="n"/>
      <c r="K48" s="2" t="n"/>
      <c r="L48" s="2" t="n"/>
      <c r="M48" s="2" t="n"/>
      <c r="N48" s="2" t="n"/>
      <c r="O48" s="2">
        <f>IF(COUNTIF(G48:N48,"YES")=8,"VERIFY EVIDENCE","HOLD")</f>
        <v/>
      </c>
      <c r="P48" s="2" t="inlineStr">
        <is>
          <t>Accepted ITR and blocking-punch closure</t>
        </is>
      </c>
      <c r="Q48" s="2" t="inlineStr">
        <is>
          <t>NOT RELEASED</t>
        </is>
      </c>
    </row>
    <row r="49">
      <c r="A49" s="2" t="inlineStr">
        <is>
          <t>B04-TURN</t>
        </is>
      </c>
      <c r="B49" s="2" t="inlineStr">
        <is>
          <t>ICG-ICP LD</t>
        </is>
      </c>
      <c r="C49" s="2" t="inlineStr">
        <is>
          <t>As-built/turnover</t>
        </is>
      </c>
      <c r="D49" s="2" t="inlineStr">
        <is>
          <t>dossier</t>
        </is>
      </c>
      <c r="E49" s="2" t="n"/>
      <c r="F49" s="2" t="n"/>
      <c r="G49" s="2" t="n"/>
      <c r="H49" s="2" t="n"/>
      <c r="I49" s="2" t="n"/>
      <c r="J49" s="2" t="n"/>
      <c r="K49" s="2" t="n"/>
      <c r="L49" s="2" t="n"/>
      <c r="M49" s="2" t="n"/>
      <c r="N49" s="2" t="n"/>
      <c r="O49" s="2">
        <f>IF(COUNTIF(G49:N49,"YES")=8,"VERIFY EVIDENCE","HOLD")</f>
        <v/>
      </c>
      <c r="P49" s="2" t="inlineStr">
        <is>
          <t>Accepted bridge/system completion</t>
        </is>
      </c>
      <c r="Q49" s="2" t="inlineStr">
        <is>
          <t>NOT RELEASED</t>
        </is>
      </c>
    </row>
    <row r="50">
      <c r="A50" s="2" t="inlineStr">
        <is>
          <t>B05-SUR</t>
        </is>
      </c>
      <c r="B50" s="2" t="inlineStr">
        <is>
          <t>BHS-SLQ</t>
        </is>
      </c>
      <c r="C50" s="2" t="inlineStr">
        <is>
          <t>Survey and verified access</t>
        </is>
      </c>
      <c r="D50" s="2" t="inlineStr">
        <is>
          <t>survey pack</t>
        </is>
      </c>
      <c r="E50" s="2" t="n"/>
      <c r="F50" s="2" t="n"/>
      <c r="G50" s="2" t="n"/>
      <c r="H50" s="2" t="n"/>
      <c r="I50" s="2" t="n"/>
      <c r="J50" s="2" t="n"/>
      <c r="K50" s="2" t="n"/>
      <c r="L50" s="2" t="n"/>
      <c r="M50" s="2" t="n"/>
      <c r="N50" s="2" t="n"/>
      <c r="O50" s="2">
        <f>IF(COUNTIF(G50:N50,"YES")=8,"VERIFY EVIDENCE","HOLD")</f>
        <v/>
      </c>
      <c r="P50" s="2" t="inlineStr">
        <is>
          <t>Accepted geometry/NDT</t>
        </is>
      </c>
      <c r="Q50" s="2" t="inlineStr">
        <is>
          <t>NOT RELEASED</t>
        </is>
      </c>
    </row>
    <row r="51">
      <c r="A51" s="2" t="inlineStr">
        <is>
          <t>B05-ENG</t>
        </is>
      </c>
      <c r="B51" s="2" t="inlineStr">
        <is>
          <t>BHS-SLQ</t>
        </is>
      </c>
      <c r="C51" s="2" t="inlineStr">
        <is>
          <t>Design/detail/MTO release</t>
        </is>
      </c>
      <c r="D51" s="2" t="inlineStr">
        <is>
          <t>document pack</t>
        </is>
      </c>
      <c r="E51" s="2" t="n"/>
      <c r="F51" s="2" t="n"/>
      <c r="G51" s="2" t="n"/>
      <c r="H51" s="2" t="n"/>
      <c r="I51" s="2" t="n"/>
      <c r="J51" s="2" t="n"/>
      <c r="K51" s="2" t="n"/>
      <c r="L51" s="2" t="n"/>
      <c r="M51" s="2" t="n"/>
      <c r="N51" s="2" t="n"/>
      <c r="O51" s="2">
        <f>IF(COUNTIF(G51:N51,"YES")=8,"VERIFY EVIDENCE","HOLD")</f>
        <v/>
      </c>
      <c r="P51" s="2" t="inlineStr">
        <is>
          <t>Checked analysis and AFC index</t>
        </is>
      </c>
      <c r="Q51" s="2" t="inlineStr">
        <is>
          <t>NOT RELEASED</t>
        </is>
      </c>
    </row>
    <row r="52">
      <c r="A52" s="2" t="inlineStr">
        <is>
          <t>B05-MAT</t>
        </is>
      </c>
      <c r="B52" s="2" t="inlineStr">
        <is>
          <t>BHS-SLQ</t>
        </is>
      </c>
      <c r="C52" s="2" t="inlineStr">
        <is>
          <t>Material and traceability receipt</t>
        </is>
      </c>
      <c r="D52" s="2" t="inlineStr">
        <is>
          <t>BOM item</t>
        </is>
      </c>
      <c r="E52" s="2" t="n"/>
      <c r="F52" s="2" t="n"/>
      <c r="G52" s="2" t="n"/>
      <c r="H52" s="2" t="n"/>
      <c r="I52" s="2" t="n"/>
      <c r="J52" s="2" t="n"/>
      <c r="K52" s="2" t="n"/>
      <c r="L52" s="2" t="n"/>
      <c r="M52" s="2" t="n"/>
      <c r="N52" s="2" t="n"/>
      <c r="O52" s="2">
        <f>IF(COUNTIF(G52:N52,"YES")=8,"VERIFY EVIDENCE","HOLD")</f>
        <v/>
      </c>
      <c r="P52" s="2" t="inlineStr">
        <is>
          <t>PS/MTC/origin and TPI release</t>
        </is>
      </c>
      <c r="Q52" s="2" t="inlineStr">
        <is>
          <t>NOT RELEASED</t>
        </is>
      </c>
    </row>
    <row r="53">
      <c r="A53" s="2" t="inlineStr">
        <is>
          <t>B05-FAB</t>
        </is>
      </c>
      <c r="B53" s="2" t="inlineStr">
        <is>
          <t>BHS-SLQ</t>
        </is>
      </c>
      <c r="C53" s="2" t="inlineStr">
        <is>
          <t>Fabrication and connection work</t>
        </is>
      </c>
      <c r="D53" s="2" t="inlineStr">
        <is>
          <t>member/weld/BOM</t>
        </is>
      </c>
      <c r="E53" s="2" t="n"/>
      <c r="F53" s="2" t="n"/>
      <c r="G53" s="2" t="n"/>
      <c r="H53" s="2" t="n"/>
      <c r="I53" s="2" t="n"/>
      <c r="J53" s="2" t="n"/>
      <c r="K53" s="2" t="n"/>
      <c r="L53" s="2" t="n"/>
      <c r="M53" s="2" t="n"/>
      <c r="N53" s="2" t="n"/>
      <c r="O53" s="2">
        <f>IF(COUNTIF(G53:N53,"YES")=8,"VERIFY EVIDENCE","HOLD")</f>
        <v/>
      </c>
      <c r="P53" s="2" t="inlineStr">
        <is>
          <t>WPS/welder/NDT/dimension records</t>
        </is>
      </c>
      <c r="Q53" s="2" t="inlineStr">
        <is>
          <t>NOT RELEASED</t>
        </is>
      </c>
    </row>
    <row r="54">
      <c r="A54" s="2" t="inlineStr">
        <is>
          <t>B05-COAT</t>
        </is>
      </c>
      <c r="B54" s="2" t="inlineStr">
        <is>
          <t>BHS-SLQ</t>
        </is>
      </c>
      <c r="C54" s="2" t="inlineStr">
        <is>
          <t>Preparation/coating/curing</t>
        </is>
      </c>
      <c r="D54" s="2" t="inlineStr">
        <is>
          <t>m2 by system</t>
        </is>
      </c>
      <c r="E54" s="2" t="n"/>
      <c r="F54" s="2" t="n"/>
      <c r="G54" s="2" t="n"/>
      <c r="H54" s="2" t="n"/>
      <c r="I54" s="2" t="n"/>
      <c r="J54" s="2" t="n"/>
      <c r="K54" s="2" t="n"/>
      <c r="L54" s="2" t="n"/>
      <c r="M54" s="2" t="n"/>
      <c r="N54" s="2" t="n"/>
      <c r="O54" s="2">
        <f>IF(COUNTIF(G54:N54,"YES")=8,"VERIFY EVIDENCE","HOLD")</f>
        <v/>
      </c>
      <c r="P54" s="2" t="inlineStr">
        <is>
          <t>Accepted surface/environment/DFT records</t>
        </is>
      </c>
      <c r="Q54" s="2" t="inlineStr">
        <is>
          <t>NOT RELEASED</t>
        </is>
      </c>
    </row>
    <row r="55">
      <c r="A55" s="2" t="inlineStr">
        <is>
          <t>B05-LOAD</t>
        </is>
      </c>
      <c r="B55" s="2" t="inlineStr">
        <is>
          <t>BHS-SLQ</t>
        </is>
      </c>
      <c r="C55" s="2" t="inlineStr">
        <is>
          <t>Loadout/transport/receipt</t>
        </is>
      </c>
      <c r="D55" s="2" t="inlineStr">
        <is>
          <t>module</t>
        </is>
      </c>
      <c r="E55" s="2" t="n"/>
      <c r="F55" s="2" t="n"/>
      <c r="G55" s="2" t="n"/>
      <c r="H55" s="2" t="n"/>
      <c r="I55" s="2" t="n"/>
      <c r="J55" s="2" t="n"/>
      <c r="K55" s="2" t="n"/>
      <c r="L55" s="2" t="n"/>
      <c r="M55" s="2" t="n"/>
      <c r="N55" s="2" t="n"/>
      <c r="O55" s="2">
        <f>IF(COUNTIF(G55:N55,"YES")=8,"VERIFY EVIDENCE","HOLD")</f>
        <v/>
      </c>
      <c r="P55" s="2" t="inlineStr">
        <is>
          <t>Weight/COG/rigging/sea-fastening approval</t>
        </is>
      </c>
      <c r="Q55" s="2" t="inlineStr">
        <is>
          <t>NOT RELEASED</t>
        </is>
      </c>
    </row>
    <row r="56">
      <c r="A56" s="2" t="inlineStr">
        <is>
          <t>B05-SUP</t>
        </is>
      </c>
      <c r="B56" s="2" t="inlineStr">
        <is>
          <t>BHS-SLQ</t>
        </is>
      </c>
      <c r="C56" s="2" t="inlineStr">
        <is>
          <t>Support strengthening and temporary stability</t>
        </is>
      </c>
      <c r="D56" s="2" t="inlineStr">
        <is>
          <t>member/joint</t>
        </is>
      </c>
      <c r="E56" s="2" t="n"/>
      <c r="F56" s="2" t="n"/>
      <c r="G56" s="2" t="n"/>
      <c r="H56" s="2" t="n"/>
      <c r="I56" s="2" t="n"/>
      <c r="J56" s="2" t="n"/>
      <c r="K56" s="2" t="n"/>
      <c r="L56" s="2" t="n"/>
      <c r="M56" s="2" t="n"/>
      <c r="N56" s="2" t="n"/>
      <c r="O56" s="2">
        <f>IF(COUNTIF(G56:N56,"YES")=8,"VERIFY EVIDENCE","HOLD")</f>
        <v/>
      </c>
      <c r="P56" s="2" t="inlineStr">
        <is>
          <t>Approved stage analysis and inspected installation</t>
        </is>
      </c>
      <c r="Q56" s="2" t="inlineStr">
        <is>
          <t>NOT RELEASED</t>
        </is>
      </c>
    </row>
    <row r="57">
      <c r="A57" s="2" t="inlineStr">
        <is>
          <t>B05-INST</t>
        </is>
      </c>
      <c r="B57" s="2" t="inlineStr">
        <is>
          <t>BHS-SLQ</t>
        </is>
      </c>
      <c r="C57" s="2" t="inlineStr">
        <is>
          <t>Bridge installation/strengthening</t>
        </is>
      </c>
      <c r="D57" s="2" t="inlineStr">
        <is>
          <t>member/module</t>
        </is>
      </c>
      <c r="E57" s="2" t="n"/>
      <c r="F57" s="2" t="n"/>
      <c r="G57" s="2" t="n"/>
      <c r="H57" s="2" t="n"/>
      <c r="I57" s="2" t="n"/>
      <c r="J57" s="2" t="n"/>
      <c r="K57" s="2" t="n"/>
      <c r="L57" s="2" t="n"/>
      <c r="M57" s="2" t="n"/>
      <c r="N57" s="2" t="n"/>
      <c r="O57" s="2">
        <f>IF(COUNTIF(G57:N57,"YES")=8,"VERIFY EVIDENCE","HOLD")</f>
        <v/>
      </c>
      <c r="P57" s="2" t="inlineStr">
        <is>
          <t>PTW and engineered method accepted</t>
        </is>
      </c>
      <c r="Q57" s="2" t="inlineStr">
        <is>
          <t>NOT RELEASED</t>
        </is>
      </c>
    </row>
    <row r="58">
      <c r="A58" s="2" t="inlineStr">
        <is>
          <t>B05-SERV</t>
        </is>
      </c>
      <c r="B58" s="2" t="inlineStr">
        <is>
          <t>BHS-SLQ</t>
        </is>
      </c>
      <c r="C58" s="2" t="inlineStr">
        <is>
          <t>Service transfer/testing</t>
        </is>
      </c>
      <c r="D58" s="2" t="inlineStr">
        <is>
          <t>line/circuit/system</t>
        </is>
      </c>
      <c r="E58" s="2" t="n"/>
      <c r="F58" s="2" t="n"/>
      <c r="G58" s="2" t="n"/>
      <c r="H58" s="2" t="n"/>
      <c r="I58" s="2" t="n"/>
      <c r="J58" s="2" t="n"/>
      <c r="K58" s="2" t="n"/>
      <c r="L58" s="2" t="n"/>
      <c r="M58" s="2" t="n"/>
      <c r="N58" s="2" t="n"/>
      <c r="O58" s="2">
        <f>IF(COUNTIF(G58:N58,"YES")=8,"VERIFY EVIDENCE","HOLD")</f>
        <v/>
      </c>
      <c r="P58" s="2" t="inlineStr">
        <is>
          <t>Isolation/test boundary/operations acceptance</t>
        </is>
      </c>
      <c r="Q58" s="2" t="inlineStr">
        <is>
          <t>NOT RELEASED</t>
        </is>
      </c>
    </row>
    <row r="59">
      <c r="A59" s="2" t="inlineStr">
        <is>
          <t>B05-DEM</t>
        </is>
      </c>
      <c r="B59" s="2" t="inlineStr">
        <is>
          <t>BHS-SLQ</t>
        </is>
      </c>
      <c r="C59" s="2" t="inlineStr">
        <is>
          <t>Removal/scrap backload</t>
        </is>
      </c>
      <c r="D59" s="2" t="inlineStr">
        <is>
          <t>item/MT</t>
        </is>
      </c>
      <c r="E59" s="2" t="n"/>
      <c r="F59" s="2" t="n"/>
      <c r="G59" s="2" t="n"/>
      <c r="H59" s="2" t="n"/>
      <c r="I59" s="2" t="n"/>
      <c r="J59" s="2" t="n"/>
      <c r="K59" s="2" t="n"/>
      <c r="L59" s="2" t="n"/>
      <c r="M59" s="2" t="n"/>
      <c r="N59" s="2" t="n"/>
      <c r="O59" s="2">
        <f>IF(COUNTIF(G59:N59,"YES")=8,"VERIFY EVIDENCE","HOLD")</f>
        <v/>
      </c>
      <c r="P59" s="2" t="inlineStr">
        <is>
          <t>Accepted support/service sequence and disposal receipt</t>
        </is>
      </c>
      <c r="Q59" s="2" t="inlineStr">
        <is>
          <t>NOT RELEASED</t>
        </is>
      </c>
    </row>
    <row r="60">
      <c r="A60" s="2" t="inlineStr">
        <is>
          <t>B05-PUNCH</t>
        </is>
      </c>
      <c r="B60" s="2" t="inlineStr">
        <is>
          <t>BHS-SLQ</t>
        </is>
      </c>
      <c r="C60" s="2" t="inlineStr">
        <is>
          <t>Inspection/punch closure</t>
        </is>
      </c>
      <c r="D60" s="2" t="inlineStr">
        <is>
          <t>punch item</t>
        </is>
      </c>
      <c r="E60" s="2" t="n"/>
      <c r="F60" s="2" t="n"/>
      <c r="G60" s="2" t="n"/>
      <c r="H60" s="2" t="n"/>
      <c r="I60" s="2" t="n"/>
      <c r="J60" s="2" t="n"/>
      <c r="K60" s="2" t="n"/>
      <c r="L60" s="2" t="n"/>
      <c r="M60" s="2" t="n"/>
      <c r="N60" s="2" t="n"/>
      <c r="O60" s="2">
        <f>IF(COUNTIF(G60:N60,"YES")=8,"VERIFY EVIDENCE","HOLD")</f>
        <v/>
      </c>
      <c r="P60" s="2" t="inlineStr">
        <is>
          <t>Accepted ITR and blocking-punch closure</t>
        </is>
      </c>
      <c r="Q60" s="2" t="inlineStr">
        <is>
          <t>NOT RELEASED</t>
        </is>
      </c>
    </row>
    <row r="61">
      <c r="A61" s="2" t="inlineStr">
        <is>
          <t>B05-TURN</t>
        </is>
      </c>
      <c r="B61" s="2" t="inlineStr">
        <is>
          <t>BHS-SLQ</t>
        </is>
      </c>
      <c r="C61" s="2" t="inlineStr">
        <is>
          <t>As-built/turnover</t>
        </is>
      </c>
      <c r="D61" s="2" t="inlineStr">
        <is>
          <t>dossier</t>
        </is>
      </c>
      <c r="E61" s="2" t="n"/>
      <c r="F61" s="2" t="n"/>
      <c r="G61" s="2" t="n"/>
      <c r="H61" s="2" t="n"/>
      <c r="I61" s="2" t="n"/>
      <c r="J61" s="2" t="n"/>
      <c r="K61" s="2" t="n"/>
      <c r="L61" s="2" t="n"/>
      <c r="M61" s="2" t="n"/>
      <c r="N61" s="2" t="n"/>
      <c r="O61" s="2">
        <f>IF(COUNTIF(G61:N61,"YES")=8,"VERIFY EVIDENCE","HOLD")</f>
        <v/>
      </c>
      <c r="P61" s="2" t="inlineStr">
        <is>
          <t>Accepted bridge/system completion</t>
        </is>
      </c>
      <c r="Q61" s="2" t="inlineStr">
        <is>
          <t>NOT RELEASED</t>
        </is>
      </c>
    </row>
    <row r="62">
      <c r="A62" s="2" t="inlineStr">
        <is>
          <t>B06-SUR</t>
        </is>
      </c>
      <c r="B62" s="2" t="inlineStr">
        <is>
          <t>SLQ-WIS</t>
        </is>
      </c>
      <c r="C62" s="2" t="inlineStr">
        <is>
          <t>Survey and verified access</t>
        </is>
      </c>
      <c r="D62" s="2" t="inlineStr">
        <is>
          <t>survey pack</t>
        </is>
      </c>
      <c r="E62" s="2" t="n"/>
      <c r="F62" s="2" t="n"/>
      <c r="G62" s="2" t="n"/>
      <c r="H62" s="2" t="n"/>
      <c r="I62" s="2" t="n"/>
      <c r="J62" s="2" t="n"/>
      <c r="K62" s="2" t="n"/>
      <c r="L62" s="2" t="n"/>
      <c r="M62" s="2" t="n"/>
      <c r="N62" s="2" t="n"/>
      <c r="O62" s="2">
        <f>IF(COUNTIF(G62:N62,"YES")=8,"VERIFY EVIDENCE","HOLD")</f>
        <v/>
      </c>
      <c r="P62" s="2" t="inlineStr">
        <is>
          <t>Accepted geometry/NDT</t>
        </is>
      </c>
      <c r="Q62" s="2" t="inlineStr">
        <is>
          <t>NOT RELEASED</t>
        </is>
      </c>
    </row>
    <row r="63">
      <c r="A63" s="2" t="inlineStr">
        <is>
          <t>B06-ENG</t>
        </is>
      </c>
      <c r="B63" s="2" t="inlineStr">
        <is>
          <t>SLQ-WIS</t>
        </is>
      </c>
      <c r="C63" s="2" t="inlineStr">
        <is>
          <t>Design/detail/MTO release</t>
        </is>
      </c>
      <c r="D63" s="2" t="inlineStr">
        <is>
          <t>document pack</t>
        </is>
      </c>
      <c r="E63" s="2" t="n"/>
      <c r="F63" s="2" t="n"/>
      <c r="G63" s="2" t="n"/>
      <c r="H63" s="2" t="n"/>
      <c r="I63" s="2" t="n"/>
      <c r="J63" s="2" t="n"/>
      <c r="K63" s="2" t="n"/>
      <c r="L63" s="2" t="n"/>
      <c r="M63" s="2" t="n"/>
      <c r="N63" s="2" t="n"/>
      <c r="O63" s="2">
        <f>IF(COUNTIF(G63:N63,"YES")=8,"VERIFY EVIDENCE","HOLD")</f>
        <v/>
      </c>
      <c r="P63" s="2" t="inlineStr">
        <is>
          <t>Checked analysis and AFC index</t>
        </is>
      </c>
      <c r="Q63" s="2" t="inlineStr">
        <is>
          <t>NOT RELEASED</t>
        </is>
      </c>
    </row>
    <row r="64">
      <c r="A64" s="2" t="inlineStr">
        <is>
          <t>B06-MAT</t>
        </is>
      </c>
      <c r="B64" s="2" t="inlineStr">
        <is>
          <t>SLQ-WIS</t>
        </is>
      </c>
      <c r="C64" s="2" t="inlineStr">
        <is>
          <t>Material and traceability receipt</t>
        </is>
      </c>
      <c r="D64" s="2" t="inlineStr">
        <is>
          <t>BOM item</t>
        </is>
      </c>
      <c r="E64" s="2" t="n"/>
      <c r="F64" s="2" t="n"/>
      <c r="G64" s="2" t="n"/>
      <c r="H64" s="2" t="n"/>
      <c r="I64" s="2" t="n"/>
      <c r="J64" s="2" t="n"/>
      <c r="K64" s="2" t="n"/>
      <c r="L64" s="2" t="n"/>
      <c r="M64" s="2" t="n"/>
      <c r="N64" s="2" t="n"/>
      <c r="O64" s="2">
        <f>IF(COUNTIF(G64:N64,"YES")=8,"VERIFY EVIDENCE","HOLD")</f>
        <v/>
      </c>
      <c r="P64" s="2" t="inlineStr">
        <is>
          <t>PS/MTC/origin and TPI release</t>
        </is>
      </c>
      <c r="Q64" s="2" t="inlineStr">
        <is>
          <t>NOT RELEASED</t>
        </is>
      </c>
    </row>
    <row r="65">
      <c r="A65" s="2" t="inlineStr">
        <is>
          <t>B06-FAB</t>
        </is>
      </c>
      <c r="B65" s="2" t="inlineStr">
        <is>
          <t>SLQ-WIS</t>
        </is>
      </c>
      <c r="C65" s="2" t="inlineStr">
        <is>
          <t>Fabrication and connection work</t>
        </is>
      </c>
      <c r="D65" s="2" t="inlineStr">
        <is>
          <t>member/weld/BOM</t>
        </is>
      </c>
      <c r="E65" s="2" t="n"/>
      <c r="F65" s="2" t="n"/>
      <c r="G65" s="2" t="n"/>
      <c r="H65" s="2" t="n"/>
      <c r="I65" s="2" t="n"/>
      <c r="J65" s="2" t="n"/>
      <c r="K65" s="2" t="n"/>
      <c r="L65" s="2" t="n"/>
      <c r="M65" s="2" t="n"/>
      <c r="N65" s="2" t="n"/>
      <c r="O65" s="2">
        <f>IF(COUNTIF(G65:N65,"YES")=8,"VERIFY EVIDENCE","HOLD")</f>
        <v/>
      </c>
      <c r="P65" s="2" t="inlineStr">
        <is>
          <t>WPS/welder/NDT/dimension records</t>
        </is>
      </c>
      <c r="Q65" s="2" t="inlineStr">
        <is>
          <t>NOT RELEASED</t>
        </is>
      </c>
    </row>
    <row r="66">
      <c r="A66" s="2" t="inlineStr">
        <is>
          <t>B06-COAT</t>
        </is>
      </c>
      <c r="B66" s="2" t="inlineStr">
        <is>
          <t>SLQ-WIS</t>
        </is>
      </c>
      <c r="C66" s="2" t="inlineStr">
        <is>
          <t>Preparation/coating/curing</t>
        </is>
      </c>
      <c r="D66" s="2" t="inlineStr">
        <is>
          <t>m2 by system</t>
        </is>
      </c>
      <c r="E66" s="2" t="n"/>
      <c r="F66" s="2" t="n"/>
      <c r="G66" s="2" t="n"/>
      <c r="H66" s="2" t="n"/>
      <c r="I66" s="2" t="n"/>
      <c r="J66" s="2" t="n"/>
      <c r="K66" s="2" t="n"/>
      <c r="L66" s="2" t="n"/>
      <c r="M66" s="2" t="n"/>
      <c r="N66" s="2" t="n"/>
      <c r="O66" s="2">
        <f>IF(COUNTIF(G66:N66,"YES")=8,"VERIFY EVIDENCE","HOLD")</f>
        <v/>
      </c>
      <c r="P66" s="2" t="inlineStr">
        <is>
          <t>Accepted surface/environment/DFT records</t>
        </is>
      </c>
      <c r="Q66" s="2" t="inlineStr">
        <is>
          <t>NOT RELEASED</t>
        </is>
      </c>
    </row>
    <row r="67">
      <c r="A67" s="2" t="inlineStr">
        <is>
          <t>B06-LOAD</t>
        </is>
      </c>
      <c r="B67" s="2" t="inlineStr">
        <is>
          <t>SLQ-WIS</t>
        </is>
      </c>
      <c r="C67" s="2" t="inlineStr">
        <is>
          <t>Loadout/transport/receipt</t>
        </is>
      </c>
      <c r="D67" s="2" t="inlineStr">
        <is>
          <t>module</t>
        </is>
      </c>
      <c r="E67" s="2" t="n"/>
      <c r="F67" s="2" t="n"/>
      <c r="G67" s="2" t="n"/>
      <c r="H67" s="2" t="n"/>
      <c r="I67" s="2" t="n"/>
      <c r="J67" s="2" t="n"/>
      <c r="K67" s="2" t="n"/>
      <c r="L67" s="2" t="n"/>
      <c r="M67" s="2" t="n"/>
      <c r="N67" s="2" t="n"/>
      <c r="O67" s="2">
        <f>IF(COUNTIF(G67:N67,"YES")=8,"VERIFY EVIDENCE","HOLD")</f>
        <v/>
      </c>
      <c r="P67" s="2" t="inlineStr">
        <is>
          <t>Weight/COG/rigging/sea-fastening approval</t>
        </is>
      </c>
      <c r="Q67" s="2" t="inlineStr">
        <is>
          <t>NOT RELEASED</t>
        </is>
      </c>
    </row>
    <row r="68">
      <c r="A68" s="2" t="inlineStr">
        <is>
          <t>B06-SUP</t>
        </is>
      </c>
      <c r="B68" s="2" t="inlineStr">
        <is>
          <t>SLQ-WIS</t>
        </is>
      </c>
      <c r="C68" s="2" t="inlineStr">
        <is>
          <t>Support strengthening and temporary stability</t>
        </is>
      </c>
      <c r="D68" s="2" t="inlineStr">
        <is>
          <t>member/joint</t>
        </is>
      </c>
      <c r="E68" s="2" t="n"/>
      <c r="F68" s="2" t="n"/>
      <c r="G68" s="2" t="n"/>
      <c r="H68" s="2" t="n"/>
      <c r="I68" s="2" t="n"/>
      <c r="J68" s="2" t="n"/>
      <c r="K68" s="2" t="n"/>
      <c r="L68" s="2" t="n"/>
      <c r="M68" s="2" t="n"/>
      <c r="N68" s="2" t="n"/>
      <c r="O68" s="2">
        <f>IF(COUNTIF(G68:N68,"YES")=8,"VERIFY EVIDENCE","HOLD")</f>
        <v/>
      </c>
      <c r="P68" s="2" t="inlineStr">
        <is>
          <t>Approved stage analysis and inspected installation</t>
        </is>
      </c>
      <c r="Q68" s="2" t="inlineStr">
        <is>
          <t>NOT RELEASED</t>
        </is>
      </c>
    </row>
    <row r="69">
      <c r="A69" s="2" t="inlineStr">
        <is>
          <t>B06-INST</t>
        </is>
      </c>
      <c r="B69" s="2" t="inlineStr">
        <is>
          <t>SLQ-WIS</t>
        </is>
      </c>
      <c r="C69" s="2" t="inlineStr">
        <is>
          <t>Bridge installation/strengthening</t>
        </is>
      </c>
      <c r="D69" s="2" t="inlineStr">
        <is>
          <t>member/module</t>
        </is>
      </c>
      <c r="E69" s="2" t="n"/>
      <c r="F69" s="2" t="n"/>
      <c r="G69" s="2" t="n"/>
      <c r="H69" s="2" t="n"/>
      <c r="I69" s="2" t="n"/>
      <c r="J69" s="2" t="n"/>
      <c r="K69" s="2" t="n"/>
      <c r="L69" s="2" t="n"/>
      <c r="M69" s="2" t="n"/>
      <c r="N69" s="2" t="n"/>
      <c r="O69" s="2">
        <f>IF(COUNTIF(G69:N69,"YES")=8,"VERIFY EVIDENCE","HOLD")</f>
        <v/>
      </c>
      <c r="P69" s="2" t="inlineStr">
        <is>
          <t>PTW and engineered method accepted</t>
        </is>
      </c>
      <c r="Q69" s="2" t="inlineStr">
        <is>
          <t>NOT RELEASED</t>
        </is>
      </c>
    </row>
    <row r="70">
      <c r="A70" s="2" t="inlineStr">
        <is>
          <t>B06-SERV</t>
        </is>
      </c>
      <c r="B70" s="2" t="inlineStr">
        <is>
          <t>SLQ-WIS</t>
        </is>
      </c>
      <c r="C70" s="2" t="inlineStr">
        <is>
          <t>Service transfer/testing</t>
        </is>
      </c>
      <c r="D70" s="2" t="inlineStr">
        <is>
          <t>line/circuit/system</t>
        </is>
      </c>
      <c r="E70" s="2" t="n"/>
      <c r="F70" s="2" t="n"/>
      <c r="G70" s="2" t="n"/>
      <c r="H70" s="2" t="n"/>
      <c r="I70" s="2" t="n"/>
      <c r="J70" s="2" t="n"/>
      <c r="K70" s="2" t="n"/>
      <c r="L70" s="2" t="n"/>
      <c r="M70" s="2" t="n"/>
      <c r="N70" s="2" t="n"/>
      <c r="O70" s="2">
        <f>IF(COUNTIF(G70:N70,"YES")=8,"VERIFY EVIDENCE","HOLD")</f>
        <v/>
      </c>
      <c r="P70" s="2" t="inlineStr">
        <is>
          <t>Isolation/test boundary/operations acceptance</t>
        </is>
      </c>
      <c r="Q70" s="2" t="inlineStr">
        <is>
          <t>NOT RELEASED</t>
        </is>
      </c>
    </row>
    <row r="71">
      <c r="A71" s="2" t="inlineStr">
        <is>
          <t>B06-DEM</t>
        </is>
      </c>
      <c r="B71" s="2" t="inlineStr">
        <is>
          <t>SLQ-WIS</t>
        </is>
      </c>
      <c r="C71" s="2" t="inlineStr">
        <is>
          <t>Removal/scrap backload</t>
        </is>
      </c>
      <c r="D71" s="2" t="inlineStr">
        <is>
          <t>item/MT</t>
        </is>
      </c>
      <c r="E71" s="2" t="n"/>
      <c r="F71" s="2" t="n"/>
      <c r="G71" s="2" t="n"/>
      <c r="H71" s="2" t="n"/>
      <c r="I71" s="2" t="n"/>
      <c r="J71" s="2" t="n"/>
      <c r="K71" s="2" t="n"/>
      <c r="L71" s="2" t="n"/>
      <c r="M71" s="2" t="n"/>
      <c r="N71" s="2" t="n"/>
      <c r="O71" s="2">
        <f>IF(COUNTIF(G71:N71,"YES")=8,"VERIFY EVIDENCE","HOLD")</f>
        <v/>
      </c>
      <c r="P71" s="2" t="inlineStr">
        <is>
          <t>Accepted support/service sequence and disposal receipt</t>
        </is>
      </c>
      <c r="Q71" s="2" t="inlineStr">
        <is>
          <t>NOT RELEASED</t>
        </is>
      </c>
    </row>
    <row r="72">
      <c r="A72" s="2" t="inlineStr">
        <is>
          <t>B06-PUNCH</t>
        </is>
      </c>
      <c r="B72" s="2" t="inlineStr">
        <is>
          <t>SLQ-WIS</t>
        </is>
      </c>
      <c r="C72" s="2" t="inlineStr">
        <is>
          <t>Inspection/punch closure</t>
        </is>
      </c>
      <c r="D72" s="2" t="inlineStr">
        <is>
          <t>punch item</t>
        </is>
      </c>
      <c r="E72" s="2" t="n"/>
      <c r="F72" s="2" t="n"/>
      <c r="G72" s="2" t="n"/>
      <c r="H72" s="2" t="n"/>
      <c r="I72" s="2" t="n"/>
      <c r="J72" s="2" t="n"/>
      <c r="K72" s="2" t="n"/>
      <c r="L72" s="2" t="n"/>
      <c r="M72" s="2" t="n"/>
      <c r="N72" s="2" t="n"/>
      <c r="O72" s="2">
        <f>IF(COUNTIF(G72:N72,"YES")=8,"VERIFY EVIDENCE","HOLD")</f>
        <v/>
      </c>
      <c r="P72" s="2" t="inlineStr">
        <is>
          <t>Accepted ITR and blocking-punch closure</t>
        </is>
      </c>
      <c r="Q72" s="2" t="inlineStr">
        <is>
          <t>NOT RELEASED</t>
        </is>
      </c>
    </row>
    <row r="73">
      <c r="A73" s="2" t="inlineStr">
        <is>
          <t>B06-TURN</t>
        </is>
      </c>
      <c r="B73" s="2" t="inlineStr">
        <is>
          <t>SLQ-WIS</t>
        </is>
      </c>
      <c r="C73" s="2" t="inlineStr">
        <is>
          <t>As-built/turnover</t>
        </is>
      </c>
      <c r="D73" s="2" t="inlineStr">
        <is>
          <t>dossier</t>
        </is>
      </c>
      <c r="E73" s="2" t="n"/>
      <c r="F73" s="2" t="n"/>
      <c r="G73" s="2" t="n"/>
      <c r="H73" s="2" t="n"/>
      <c r="I73" s="2" t="n"/>
      <c r="J73" s="2" t="n"/>
      <c r="K73" s="2" t="n"/>
      <c r="L73" s="2" t="n"/>
      <c r="M73" s="2" t="n"/>
      <c r="N73" s="2" t="n"/>
      <c r="O73" s="2">
        <f>IF(COUNTIF(G73:N73,"YES")=8,"VERIFY EVIDENCE","HOLD")</f>
        <v/>
      </c>
      <c r="P73" s="2" t="inlineStr">
        <is>
          <t>Accepted bridge/system completion</t>
        </is>
      </c>
      <c r="Q73" s="2" t="inlineStr">
        <is>
          <t>NOT RELEASED</t>
        </is>
      </c>
    </row>
    <row r="74">
      <c r="A74" s="2" t="inlineStr">
        <is>
          <t>B07-SUR</t>
        </is>
      </c>
      <c r="B74" s="2" t="inlineStr">
        <is>
          <t>NQO-NQD</t>
        </is>
      </c>
      <c r="C74" s="2" t="inlineStr">
        <is>
          <t>Survey and verified access</t>
        </is>
      </c>
      <c r="D74" s="2" t="inlineStr">
        <is>
          <t>survey pack</t>
        </is>
      </c>
      <c r="E74" s="2" t="n"/>
      <c r="F74" s="2" t="n"/>
      <c r="G74" s="2" t="n"/>
      <c r="H74" s="2" t="n"/>
      <c r="I74" s="2" t="n"/>
      <c r="J74" s="2" t="n"/>
      <c r="K74" s="2" t="n"/>
      <c r="L74" s="2" t="n"/>
      <c r="M74" s="2" t="n"/>
      <c r="N74" s="2" t="n"/>
      <c r="O74" s="2">
        <f>IF(COUNTIF(G74:N74,"YES")=8,"VERIFY EVIDENCE","HOLD")</f>
        <v/>
      </c>
      <c r="P74" s="2" t="inlineStr">
        <is>
          <t>Accepted geometry/NDT</t>
        </is>
      </c>
      <c r="Q74" s="2" t="inlineStr">
        <is>
          <t>NOT RELEASED</t>
        </is>
      </c>
    </row>
    <row r="75">
      <c r="A75" s="2" t="inlineStr">
        <is>
          <t>B07-ENG</t>
        </is>
      </c>
      <c r="B75" s="2" t="inlineStr">
        <is>
          <t>NQO-NQD</t>
        </is>
      </c>
      <c r="C75" s="2" t="inlineStr">
        <is>
          <t>Design/detail/MTO release</t>
        </is>
      </c>
      <c r="D75" s="2" t="inlineStr">
        <is>
          <t>document pack</t>
        </is>
      </c>
      <c r="E75" s="2" t="n"/>
      <c r="F75" s="2" t="n"/>
      <c r="G75" s="2" t="n"/>
      <c r="H75" s="2" t="n"/>
      <c r="I75" s="2" t="n"/>
      <c r="J75" s="2" t="n"/>
      <c r="K75" s="2" t="n"/>
      <c r="L75" s="2" t="n"/>
      <c r="M75" s="2" t="n"/>
      <c r="N75" s="2" t="n"/>
      <c r="O75" s="2">
        <f>IF(COUNTIF(G75:N75,"YES")=8,"VERIFY EVIDENCE","HOLD")</f>
        <v/>
      </c>
      <c r="P75" s="2" t="inlineStr">
        <is>
          <t>Checked analysis and AFC index</t>
        </is>
      </c>
      <c r="Q75" s="2" t="inlineStr">
        <is>
          <t>NOT RELEASED</t>
        </is>
      </c>
    </row>
    <row r="76">
      <c r="A76" s="2" t="inlineStr">
        <is>
          <t>B07-MAT</t>
        </is>
      </c>
      <c r="B76" s="2" t="inlineStr">
        <is>
          <t>NQO-NQD</t>
        </is>
      </c>
      <c r="C76" s="2" t="inlineStr">
        <is>
          <t>Material and traceability receipt</t>
        </is>
      </c>
      <c r="D76" s="2" t="inlineStr">
        <is>
          <t>BOM item</t>
        </is>
      </c>
      <c r="E76" s="2" t="n"/>
      <c r="F76" s="2" t="n"/>
      <c r="G76" s="2" t="n"/>
      <c r="H76" s="2" t="n"/>
      <c r="I76" s="2" t="n"/>
      <c r="J76" s="2" t="n"/>
      <c r="K76" s="2" t="n"/>
      <c r="L76" s="2" t="n"/>
      <c r="M76" s="2" t="n"/>
      <c r="N76" s="2" t="n"/>
      <c r="O76" s="2">
        <f>IF(COUNTIF(G76:N76,"YES")=8,"VERIFY EVIDENCE","HOLD")</f>
        <v/>
      </c>
      <c r="P76" s="2" t="inlineStr">
        <is>
          <t>PS/MTC/origin and TPI release</t>
        </is>
      </c>
      <c r="Q76" s="2" t="inlineStr">
        <is>
          <t>NOT RELEASED</t>
        </is>
      </c>
    </row>
    <row r="77">
      <c r="A77" s="2" t="inlineStr">
        <is>
          <t>B07-FAB</t>
        </is>
      </c>
      <c r="B77" s="2" t="inlineStr">
        <is>
          <t>NQO-NQD</t>
        </is>
      </c>
      <c r="C77" s="2" t="inlineStr">
        <is>
          <t>Fabrication and connection work</t>
        </is>
      </c>
      <c r="D77" s="2" t="inlineStr">
        <is>
          <t>member/weld/BOM</t>
        </is>
      </c>
      <c r="E77" s="2" t="n"/>
      <c r="F77" s="2" t="n"/>
      <c r="G77" s="2" t="n"/>
      <c r="H77" s="2" t="n"/>
      <c r="I77" s="2" t="n"/>
      <c r="J77" s="2" t="n"/>
      <c r="K77" s="2" t="n"/>
      <c r="L77" s="2" t="n"/>
      <c r="M77" s="2" t="n"/>
      <c r="N77" s="2" t="n"/>
      <c r="O77" s="2">
        <f>IF(COUNTIF(G77:N77,"YES")=8,"VERIFY EVIDENCE","HOLD")</f>
        <v/>
      </c>
      <c r="P77" s="2" t="inlineStr">
        <is>
          <t>WPS/welder/NDT/dimension records</t>
        </is>
      </c>
      <c r="Q77" s="2" t="inlineStr">
        <is>
          <t>NOT RELEASED</t>
        </is>
      </c>
    </row>
    <row r="78">
      <c r="A78" s="2" t="inlineStr">
        <is>
          <t>B07-COAT</t>
        </is>
      </c>
      <c r="B78" s="2" t="inlineStr">
        <is>
          <t>NQO-NQD</t>
        </is>
      </c>
      <c r="C78" s="2" t="inlineStr">
        <is>
          <t>Preparation/coating/curing</t>
        </is>
      </c>
      <c r="D78" s="2" t="inlineStr">
        <is>
          <t>m2 by system</t>
        </is>
      </c>
      <c r="E78" s="2" t="n"/>
      <c r="F78" s="2" t="n"/>
      <c r="G78" s="2" t="n"/>
      <c r="H78" s="2" t="n"/>
      <c r="I78" s="2" t="n"/>
      <c r="J78" s="2" t="n"/>
      <c r="K78" s="2" t="n"/>
      <c r="L78" s="2" t="n"/>
      <c r="M78" s="2" t="n"/>
      <c r="N78" s="2" t="n"/>
      <c r="O78" s="2">
        <f>IF(COUNTIF(G78:N78,"YES")=8,"VERIFY EVIDENCE","HOLD")</f>
        <v/>
      </c>
      <c r="P78" s="2" t="inlineStr">
        <is>
          <t>Accepted surface/environment/DFT records</t>
        </is>
      </c>
      <c r="Q78" s="2" t="inlineStr">
        <is>
          <t>NOT RELEASED</t>
        </is>
      </c>
    </row>
    <row r="79">
      <c r="A79" s="2" t="inlineStr">
        <is>
          <t>B07-LOAD</t>
        </is>
      </c>
      <c r="B79" s="2" t="inlineStr">
        <is>
          <t>NQO-NQD</t>
        </is>
      </c>
      <c r="C79" s="2" t="inlineStr">
        <is>
          <t>Loadout/transport/receipt</t>
        </is>
      </c>
      <c r="D79" s="2" t="inlineStr">
        <is>
          <t>module</t>
        </is>
      </c>
      <c r="E79" s="2" t="n"/>
      <c r="F79" s="2" t="n"/>
      <c r="G79" s="2" t="n"/>
      <c r="H79" s="2" t="n"/>
      <c r="I79" s="2" t="n"/>
      <c r="J79" s="2" t="n"/>
      <c r="K79" s="2" t="n"/>
      <c r="L79" s="2" t="n"/>
      <c r="M79" s="2" t="n"/>
      <c r="N79" s="2" t="n"/>
      <c r="O79" s="2">
        <f>IF(COUNTIF(G79:N79,"YES")=8,"VERIFY EVIDENCE","HOLD")</f>
        <v/>
      </c>
      <c r="P79" s="2" t="inlineStr">
        <is>
          <t>Weight/COG/rigging/sea-fastening approval</t>
        </is>
      </c>
      <c r="Q79" s="2" t="inlineStr">
        <is>
          <t>NOT RELEASED</t>
        </is>
      </c>
    </row>
    <row r="80">
      <c r="A80" s="2" t="inlineStr">
        <is>
          <t>B07-SUP</t>
        </is>
      </c>
      <c r="B80" s="2" t="inlineStr">
        <is>
          <t>NQO-NQD</t>
        </is>
      </c>
      <c r="C80" s="2" t="inlineStr">
        <is>
          <t>Support strengthening and temporary stability</t>
        </is>
      </c>
      <c r="D80" s="2" t="inlineStr">
        <is>
          <t>member/joint</t>
        </is>
      </c>
      <c r="E80" s="2" t="n"/>
      <c r="F80" s="2" t="n"/>
      <c r="G80" s="2" t="n"/>
      <c r="H80" s="2" t="n"/>
      <c r="I80" s="2" t="n"/>
      <c r="J80" s="2" t="n"/>
      <c r="K80" s="2" t="n"/>
      <c r="L80" s="2" t="n"/>
      <c r="M80" s="2" t="n"/>
      <c r="N80" s="2" t="n"/>
      <c r="O80" s="2">
        <f>IF(COUNTIF(G80:N80,"YES")=8,"VERIFY EVIDENCE","HOLD")</f>
        <v/>
      </c>
      <c r="P80" s="2" t="inlineStr">
        <is>
          <t>Approved stage analysis and inspected installation</t>
        </is>
      </c>
      <c r="Q80" s="2" t="inlineStr">
        <is>
          <t>NOT RELEASED</t>
        </is>
      </c>
    </row>
    <row r="81">
      <c r="A81" s="2" t="inlineStr">
        <is>
          <t>B07-INST</t>
        </is>
      </c>
      <c r="B81" s="2" t="inlineStr">
        <is>
          <t>NQO-NQD</t>
        </is>
      </c>
      <c r="C81" s="2" t="inlineStr">
        <is>
          <t>Bridge installation/strengthening</t>
        </is>
      </c>
      <c r="D81" s="2" t="inlineStr">
        <is>
          <t>member/module</t>
        </is>
      </c>
      <c r="E81" s="2" t="n"/>
      <c r="F81" s="2" t="n"/>
      <c r="G81" s="2" t="n"/>
      <c r="H81" s="2" t="n"/>
      <c r="I81" s="2" t="n"/>
      <c r="J81" s="2" t="n"/>
      <c r="K81" s="2" t="n"/>
      <c r="L81" s="2" t="n"/>
      <c r="M81" s="2" t="n"/>
      <c r="N81" s="2" t="n"/>
      <c r="O81" s="2">
        <f>IF(COUNTIF(G81:N81,"YES")=8,"VERIFY EVIDENCE","HOLD")</f>
        <v/>
      </c>
      <c r="P81" s="2" t="inlineStr">
        <is>
          <t>PTW and engineered method accepted</t>
        </is>
      </c>
      <c r="Q81" s="2" t="inlineStr">
        <is>
          <t>NOT RELEASED</t>
        </is>
      </c>
    </row>
    <row r="82">
      <c r="A82" s="2" t="inlineStr">
        <is>
          <t>B07-SERV</t>
        </is>
      </c>
      <c r="B82" s="2" t="inlineStr">
        <is>
          <t>NQO-NQD</t>
        </is>
      </c>
      <c r="C82" s="2" t="inlineStr">
        <is>
          <t>Service transfer/testing</t>
        </is>
      </c>
      <c r="D82" s="2" t="inlineStr">
        <is>
          <t>line/circuit/system</t>
        </is>
      </c>
      <c r="E82" s="2" t="n"/>
      <c r="F82" s="2" t="n"/>
      <c r="G82" s="2" t="n"/>
      <c r="H82" s="2" t="n"/>
      <c r="I82" s="2" t="n"/>
      <c r="J82" s="2" t="n"/>
      <c r="K82" s="2" t="n"/>
      <c r="L82" s="2" t="n"/>
      <c r="M82" s="2" t="n"/>
      <c r="N82" s="2" t="n"/>
      <c r="O82" s="2">
        <f>IF(COUNTIF(G82:N82,"YES")=8,"VERIFY EVIDENCE","HOLD")</f>
        <v/>
      </c>
      <c r="P82" s="2" t="inlineStr">
        <is>
          <t>Isolation/test boundary/operations acceptance</t>
        </is>
      </c>
      <c r="Q82" s="2" t="inlineStr">
        <is>
          <t>NOT RELEASED</t>
        </is>
      </c>
    </row>
    <row r="83">
      <c r="A83" s="2" t="inlineStr">
        <is>
          <t>B07-DEM</t>
        </is>
      </c>
      <c r="B83" s="2" t="inlineStr">
        <is>
          <t>NQO-NQD</t>
        </is>
      </c>
      <c r="C83" s="2" t="inlineStr">
        <is>
          <t>Removal/scrap backload</t>
        </is>
      </c>
      <c r="D83" s="2" t="inlineStr">
        <is>
          <t>item/MT</t>
        </is>
      </c>
      <c r="E83" s="2" t="n"/>
      <c r="F83" s="2" t="n"/>
      <c r="G83" s="2" t="n"/>
      <c r="H83" s="2" t="n"/>
      <c r="I83" s="2" t="n"/>
      <c r="J83" s="2" t="n"/>
      <c r="K83" s="2" t="n"/>
      <c r="L83" s="2" t="n"/>
      <c r="M83" s="2" t="n"/>
      <c r="N83" s="2" t="n"/>
      <c r="O83" s="2">
        <f>IF(COUNTIF(G83:N83,"YES")=8,"VERIFY EVIDENCE","HOLD")</f>
        <v/>
      </c>
      <c r="P83" s="2" t="inlineStr">
        <is>
          <t>Accepted support/service sequence and disposal receipt</t>
        </is>
      </c>
      <c r="Q83" s="2" t="inlineStr">
        <is>
          <t>NOT RELEASED</t>
        </is>
      </c>
    </row>
    <row r="84">
      <c r="A84" s="2" t="inlineStr">
        <is>
          <t>B07-PUNCH</t>
        </is>
      </c>
      <c r="B84" s="2" t="inlineStr">
        <is>
          <t>NQO-NQD</t>
        </is>
      </c>
      <c r="C84" s="2" t="inlineStr">
        <is>
          <t>Inspection/punch closure</t>
        </is>
      </c>
      <c r="D84" s="2" t="inlineStr">
        <is>
          <t>punch item</t>
        </is>
      </c>
      <c r="E84" s="2" t="n"/>
      <c r="F84" s="2" t="n"/>
      <c r="G84" s="2" t="n"/>
      <c r="H84" s="2" t="n"/>
      <c r="I84" s="2" t="n"/>
      <c r="J84" s="2" t="n"/>
      <c r="K84" s="2" t="n"/>
      <c r="L84" s="2" t="n"/>
      <c r="M84" s="2" t="n"/>
      <c r="N84" s="2" t="n"/>
      <c r="O84" s="2">
        <f>IF(COUNTIF(G84:N84,"YES")=8,"VERIFY EVIDENCE","HOLD")</f>
        <v/>
      </c>
      <c r="P84" s="2" t="inlineStr">
        <is>
          <t>Accepted ITR and blocking-punch closure</t>
        </is>
      </c>
      <c r="Q84" s="2" t="inlineStr">
        <is>
          <t>NOT RELEASED</t>
        </is>
      </c>
    </row>
    <row r="85">
      <c r="A85" s="2" t="inlineStr">
        <is>
          <t>B07-TURN</t>
        </is>
      </c>
      <c r="B85" s="2" t="inlineStr">
        <is>
          <t>NQO-NQD</t>
        </is>
      </c>
      <c r="C85" s="2" t="inlineStr">
        <is>
          <t>As-built/turnover</t>
        </is>
      </c>
      <c r="D85" s="2" t="inlineStr">
        <is>
          <t>dossier</t>
        </is>
      </c>
      <c r="E85" s="2" t="n"/>
      <c r="F85" s="2" t="n"/>
      <c r="G85" s="2" t="n"/>
      <c r="H85" s="2" t="n"/>
      <c r="I85" s="2" t="n"/>
      <c r="J85" s="2" t="n"/>
      <c r="K85" s="2" t="n"/>
      <c r="L85" s="2" t="n"/>
      <c r="M85" s="2" t="n"/>
      <c r="N85" s="2" t="n"/>
      <c r="O85" s="2">
        <f>IF(COUNTIF(G85:N85,"YES")=8,"VERIFY EVIDENCE","HOLD")</f>
        <v/>
      </c>
      <c r="P85" s="2" t="inlineStr">
        <is>
          <t>Accepted bridge/system completion</t>
        </is>
      </c>
      <c r="Q85" s="2" t="inlineStr">
        <is>
          <t>NOT RELEASED</t>
        </is>
      </c>
    </row>
    <row r="86">
      <c r="A86" s="2" t="inlineStr">
        <is>
          <t>B08-SUR</t>
        </is>
      </c>
      <c r="B86" s="2" t="inlineStr">
        <is>
          <t>WIN-NC</t>
        </is>
      </c>
      <c r="C86" s="2" t="inlineStr">
        <is>
          <t>Survey and verified access</t>
        </is>
      </c>
      <c r="D86" s="2" t="inlineStr">
        <is>
          <t>survey pack</t>
        </is>
      </c>
      <c r="E86" s="2" t="n"/>
      <c r="F86" s="2" t="n"/>
      <c r="G86" s="2" t="n"/>
      <c r="H86" s="2" t="n"/>
      <c r="I86" s="2" t="n"/>
      <c r="J86" s="2" t="n"/>
      <c r="K86" s="2" t="n"/>
      <c r="L86" s="2" t="n"/>
      <c r="M86" s="2" t="n"/>
      <c r="N86" s="2" t="n"/>
      <c r="O86" s="2">
        <f>IF(COUNTIF(G86:N86,"YES")=8,"VERIFY EVIDENCE","HOLD")</f>
        <v/>
      </c>
      <c r="P86" s="2" t="inlineStr">
        <is>
          <t>Accepted geometry/NDT</t>
        </is>
      </c>
      <c r="Q86" s="2" t="inlineStr">
        <is>
          <t>NOT RELEASED</t>
        </is>
      </c>
    </row>
    <row r="87">
      <c r="A87" s="2" t="inlineStr">
        <is>
          <t>B08-ENG</t>
        </is>
      </c>
      <c r="B87" s="2" t="inlineStr">
        <is>
          <t>WIN-NC</t>
        </is>
      </c>
      <c r="C87" s="2" t="inlineStr">
        <is>
          <t>Design/detail/MTO release</t>
        </is>
      </c>
      <c r="D87" s="2" t="inlineStr">
        <is>
          <t>document pack</t>
        </is>
      </c>
      <c r="E87" s="2" t="n"/>
      <c r="F87" s="2" t="n"/>
      <c r="G87" s="2" t="n"/>
      <c r="H87" s="2" t="n"/>
      <c r="I87" s="2" t="n"/>
      <c r="J87" s="2" t="n"/>
      <c r="K87" s="2" t="n"/>
      <c r="L87" s="2" t="n"/>
      <c r="M87" s="2" t="n"/>
      <c r="N87" s="2" t="n"/>
      <c r="O87" s="2">
        <f>IF(COUNTIF(G87:N87,"YES")=8,"VERIFY EVIDENCE","HOLD")</f>
        <v/>
      </c>
      <c r="P87" s="2" t="inlineStr">
        <is>
          <t>Checked analysis and AFC index</t>
        </is>
      </c>
      <c r="Q87" s="2" t="inlineStr">
        <is>
          <t>NOT RELEASED</t>
        </is>
      </c>
    </row>
    <row r="88">
      <c r="A88" s="2" t="inlineStr">
        <is>
          <t>B08-MAT</t>
        </is>
      </c>
      <c r="B88" s="2" t="inlineStr">
        <is>
          <t>WIN-NC</t>
        </is>
      </c>
      <c r="C88" s="2" t="inlineStr">
        <is>
          <t>Material and traceability receipt</t>
        </is>
      </c>
      <c r="D88" s="2" t="inlineStr">
        <is>
          <t>BOM item</t>
        </is>
      </c>
      <c r="E88" s="2" t="n"/>
      <c r="F88" s="2" t="n"/>
      <c r="G88" s="2" t="n"/>
      <c r="H88" s="2" t="n"/>
      <c r="I88" s="2" t="n"/>
      <c r="J88" s="2" t="n"/>
      <c r="K88" s="2" t="n"/>
      <c r="L88" s="2" t="n"/>
      <c r="M88" s="2" t="n"/>
      <c r="N88" s="2" t="n"/>
      <c r="O88" s="2">
        <f>IF(COUNTIF(G88:N88,"YES")=8,"VERIFY EVIDENCE","HOLD")</f>
        <v/>
      </c>
      <c r="P88" s="2" t="inlineStr">
        <is>
          <t>PS/MTC/origin and TPI release</t>
        </is>
      </c>
      <c r="Q88" s="2" t="inlineStr">
        <is>
          <t>NOT RELEASED</t>
        </is>
      </c>
    </row>
    <row r="89">
      <c r="A89" s="2" t="inlineStr">
        <is>
          <t>B08-FAB</t>
        </is>
      </c>
      <c r="B89" s="2" t="inlineStr">
        <is>
          <t>WIN-NC</t>
        </is>
      </c>
      <c r="C89" s="2" t="inlineStr">
        <is>
          <t>Fabrication and connection work</t>
        </is>
      </c>
      <c r="D89" s="2" t="inlineStr">
        <is>
          <t>member/weld/BOM</t>
        </is>
      </c>
      <c r="E89" s="2" t="n"/>
      <c r="F89" s="2" t="n"/>
      <c r="G89" s="2" t="n"/>
      <c r="H89" s="2" t="n"/>
      <c r="I89" s="2" t="n"/>
      <c r="J89" s="2" t="n"/>
      <c r="K89" s="2" t="n"/>
      <c r="L89" s="2" t="n"/>
      <c r="M89" s="2" t="n"/>
      <c r="N89" s="2" t="n"/>
      <c r="O89" s="2">
        <f>IF(COUNTIF(G89:N89,"YES")=8,"VERIFY EVIDENCE","HOLD")</f>
        <v/>
      </c>
      <c r="P89" s="2" t="inlineStr">
        <is>
          <t>WPS/welder/NDT/dimension records</t>
        </is>
      </c>
      <c r="Q89" s="2" t="inlineStr">
        <is>
          <t>NOT RELEASED</t>
        </is>
      </c>
    </row>
    <row r="90">
      <c r="A90" s="2" t="inlineStr">
        <is>
          <t>B08-COAT</t>
        </is>
      </c>
      <c r="B90" s="2" t="inlineStr">
        <is>
          <t>WIN-NC</t>
        </is>
      </c>
      <c r="C90" s="2" t="inlineStr">
        <is>
          <t>Preparation/coating/curing</t>
        </is>
      </c>
      <c r="D90" s="2" t="inlineStr">
        <is>
          <t>m2 by system</t>
        </is>
      </c>
      <c r="E90" s="2" t="n"/>
      <c r="F90" s="2" t="n"/>
      <c r="G90" s="2" t="n"/>
      <c r="H90" s="2" t="n"/>
      <c r="I90" s="2" t="n"/>
      <c r="J90" s="2" t="n"/>
      <c r="K90" s="2" t="n"/>
      <c r="L90" s="2" t="n"/>
      <c r="M90" s="2" t="n"/>
      <c r="N90" s="2" t="n"/>
      <c r="O90" s="2">
        <f>IF(COUNTIF(G90:N90,"YES")=8,"VERIFY EVIDENCE","HOLD")</f>
        <v/>
      </c>
      <c r="P90" s="2" t="inlineStr">
        <is>
          <t>Accepted surface/environment/DFT records</t>
        </is>
      </c>
      <c r="Q90" s="2" t="inlineStr">
        <is>
          <t>NOT RELEASED</t>
        </is>
      </c>
    </row>
    <row r="91">
      <c r="A91" s="2" t="inlineStr">
        <is>
          <t>B08-LOAD</t>
        </is>
      </c>
      <c r="B91" s="2" t="inlineStr">
        <is>
          <t>WIN-NC</t>
        </is>
      </c>
      <c r="C91" s="2" t="inlineStr">
        <is>
          <t>Loadout/transport/receipt</t>
        </is>
      </c>
      <c r="D91" s="2" t="inlineStr">
        <is>
          <t>module</t>
        </is>
      </c>
      <c r="E91" s="2" t="n"/>
      <c r="F91" s="2" t="n"/>
      <c r="G91" s="2" t="n"/>
      <c r="H91" s="2" t="n"/>
      <c r="I91" s="2" t="n"/>
      <c r="J91" s="2" t="n"/>
      <c r="K91" s="2" t="n"/>
      <c r="L91" s="2" t="n"/>
      <c r="M91" s="2" t="n"/>
      <c r="N91" s="2" t="n"/>
      <c r="O91" s="2">
        <f>IF(COUNTIF(G91:N91,"YES")=8,"VERIFY EVIDENCE","HOLD")</f>
        <v/>
      </c>
      <c r="P91" s="2" t="inlineStr">
        <is>
          <t>Weight/COG/rigging/sea-fastening approval</t>
        </is>
      </c>
      <c r="Q91" s="2" t="inlineStr">
        <is>
          <t>NOT RELEASED</t>
        </is>
      </c>
    </row>
    <row r="92">
      <c r="A92" s="2" t="inlineStr">
        <is>
          <t>B08-SUP</t>
        </is>
      </c>
      <c r="B92" s="2" t="inlineStr">
        <is>
          <t>WIN-NC</t>
        </is>
      </c>
      <c r="C92" s="2" t="inlineStr">
        <is>
          <t>Support strengthening and temporary stability</t>
        </is>
      </c>
      <c r="D92" s="2" t="inlineStr">
        <is>
          <t>member/joint</t>
        </is>
      </c>
      <c r="E92" s="2" t="n"/>
      <c r="F92" s="2" t="n"/>
      <c r="G92" s="2" t="n"/>
      <c r="H92" s="2" t="n"/>
      <c r="I92" s="2" t="n"/>
      <c r="J92" s="2" t="n"/>
      <c r="K92" s="2" t="n"/>
      <c r="L92" s="2" t="n"/>
      <c r="M92" s="2" t="n"/>
      <c r="N92" s="2" t="n"/>
      <c r="O92" s="2">
        <f>IF(COUNTIF(G92:N92,"YES")=8,"VERIFY EVIDENCE","HOLD")</f>
        <v/>
      </c>
      <c r="P92" s="2" t="inlineStr">
        <is>
          <t>Approved stage analysis and inspected installation</t>
        </is>
      </c>
      <c r="Q92" s="2" t="inlineStr">
        <is>
          <t>NOT RELEASED</t>
        </is>
      </c>
    </row>
    <row r="93">
      <c r="A93" s="2" t="inlineStr">
        <is>
          <t>B08-INST</t>
        </is>
      </c>
      <c r="B93" s="2" t="inlineStr">
        <is>
          <t>WIN-NC</t>
        </is>
      </c>
      <c r="C93" s="2" t="inlineStr">
        <is>
          <t>Bridge installation/strengthening</t>
        </is>
      </c>
      <c r="D93" s="2" t="inlineStr">
        <is>
          <t>member/module</t>
        </is>
      </c>
      <c r="E93" s="2" t="n"/>
      <c r="F93" s="2" t="n"/>
      <c r="G93" s="2" t="n"/>
      <c r="H93" s="2" t="n"/>
      <c r="I93" s="2" t="n"/>
      <c r="J93" s="2" t="n"/>
      <c r="K93" s="2" t="n"/>
      <c r="L93" s="2" t="n"/>
      <c r="M93" s="2" t="n"/>
      <c r="N93" s="2" t="n"/>
      <c r="O93" s="2">
        <f>IF(COUNTIF(G93:N93,"YES")=8,"VERIFY EVIDENCE","HOLD")</f>
        <v/>
      </c>
      <c r="P93" s="2" t="inlineStr">
        <is>
          <t>PTW and engineered method accepted</t>
        </is>
      </c>
      <c r="Q93" s="2" t="inlineStr">
        <is>
          <t>NOT RELEASED</t>
        </is>
      </c>
    </row>
    <row r="94">
      <c r="A94" s="2" t="inlineStr">
        <is>
          <t>B08-SERV</t>
        </is>
      </c>
      <c r="B94" s="2" t="inlineStr">
        <is>
          <t>WIN-NC</t>
        </is>
      </c>
      <c r="C94" s="2" t="inlineStr">
        <is>
          <t>Service transfer/testing</t>
        </is>
      </c>
      <c r="D94" s="2" t="inlineStr">
        <is>
          <t>line/circuit/system</t>
        </is>
      </c>
      <c r="E94" s="2" t="n"/>
      <c r="F94" s="2" t="n"/>
      <c r="G94" s="2" t="n"/>
      <c r="H94" s="2" t="n"/>
      <c r="I94" s="2" t="n"/>
      <c r="J94" s="2" t="n"/>
      <c r="K94" s="2" t="n"/>
      <c r="L94" s="2" t="n"/>
      <c r="M94" s="2" t="n"/>
      <c r="N94" s="2" t="n"/>
      <c r="O94" s="2">
        <f>IF(COUNTIF(G94:N94,"YES")=8,"VERIFY EVIDENCE","HOLD")</f>
        <v/>
      </c>
      <c r="P94" s="2" t="inlineStr">
        <is>
          <t>Isolation/test boundary/operations acceptance</t>
        </is>
      </c>
      <c r="Q94" s="2" t="inlineStr">
        <is>
          <t>NOT RELEASED</t>
        </is>
      </c>
    </row>
    <row r="95">
      <c r="A95" s="2" t="inlineStr">
        <is>
          <t>B08-DEM</t>
        </is>
      </c>
      <c r="B95" s="2" t="inlineStr">
        <is>
          <t>WIN-NC</t>
        </is>
      </c>
      <c r="C95" s="2" t="inlineStr">
        <is>
          <t>Removal/scrap backload</t>
        </is>
      </c>
      <c r="D95" s="2" t="inlineStr">
        <is>
          <t>item/MT</t>
        </is>
      </c>
      <c r="E95" s="2" t="n"/>
      <c r="F95" s="2" t="n"/>
      <c r="G95" s="2" t="n"/>
      <c r="H95" s="2" t="n"/>
      <c r="I95" s="2" t="n"/>
      <c r="J95" s="2" t="n"/>
      <c r="K95" s="2" t="n"/>
      <c r="L95" s="2" t="n"/>
      <c r="M95" s="2" t="n"/>
      <c r="N95" s="2" t="n"/>
      <c r="O95" s="2">
        <f>IF(COUNTIF(G95:N95,"YES")=8,"VERIFY EVIDENCE","HOLD")</f>
        <v/>
      </c>
      <c r="P95" s="2" t="inlineStr">
        <is>
          <t>Accepted support/service sequence and disposal receipt</t>
        </is>
      </c>
      <c r="Q95" s="2" t="inlineStr">
        <is>
          <t>NOT RELEASED</t>
        </is>
      </c>
    </row>
    <row r="96">
      <c r="A96" s="2" t="inlineStr">
        <is>
          <t>B08-PUNCH</t>
        </is>
      </c>
      <c r="B96" s="2" t="inlineStr">
        <is>
          <t>WIN-NC</t>
        </is>
      </c>
      <c r="C96" s="2" t="inlineStr">
        <is>
          <t>Inspection/punch closure</t>
        </is>
      </c>
      <c r="D96" s="2" t="inlineStr">
        <is>
          <t>punch item</t>
        </is>
      </c>
      <c r="E96" s="2" t="n"/>
      <c r="F96" s="2" t="n"/>
      <c r="G96" s="2" t="n"/>
      <c r="H96" s="2" t="n"/>
      <c r="I96" s="2" t="n"/>
      <c r="J96" s="2" t="n"/>
      <c r="K96" s="2" t="n"/>
      <c r="L96" s="2" t="n"/>
      <c r="M96" s="2" t="n"/>
      <c r="N96" s="2" t="n"/>
      <c r="O96" s="2">
        <f>IF(COUNTIF(G96:N96,"YES")=8,"VERIFY EVIDENCE","HOLD")</f>
        <v/>
      </c>
      <c r="P96" s="2" t="inlineStr">
        <is>
          <t>Accepted ITR and blocking-punch closure</t>
        </is>
      </c>
      <c r="Q96" s="2" t="inlineStr">
        <is>
          <t>NOT RELEASED</t>
        </is>
      </c>
    </row>
    <row r="97">
      <c r="A97" s="2" t="inlineStr">
        <is>
          <t>B08-TURN</t>
        </is>
      </c>
      <c r="B97" s="2" t="inlineStr">
        <is>
          <t>WIN-NC</t>
        </is>
      </c>
      <c r="C97" s="2" t="inlineStr">
        <is>
          <t>As-built/turnover</t>
        </is>
      </c>
      <c r="D97" s="2" t="inlineStr">
        <is>
          <t>dossier</t>
        </is>
      </c>
      <c r="E97" s="2" t="n"/>
      <c r="F97" s="2" t="n"/>
      <c r="G97" s="2" t="n"/>
      <c r="H97" s="2" t="n"/>
      <c r="I97" s="2" t="n"/>
      <c r="J97" s="2" t="n"/>
      <c r="K97" s="2" t="n"/>
      <c r="L97" s="2" t="n"/>
      <c r="M97" s="2" t="n"/>
      <c r="N97" s="2" t="n"/>
      <c r="O97" s="2">
        <f>IF(COUNTIF(G97:N97,"YES")=8,"VERIFY EVIDENCE","HOLD")</f>
        <v/>
      </c>
      <c r="P97" s="2" t="inlineStr">
        <is>
          <t>Accepted bridge/system completion</t>
        </is>
      </c>
      <c r="Q97" s="2" t="inlineStr">
        <is>
          <t>NOT RELEASED</t>
        </is>
      </c>
    </row>
    <row r="98">
      <c r="A98" s="2" t="inlineStr">
        <is>
          <t>B09-SUR</t>
        </is>
      </c>
      <c r="B98" s="2" t="inlineStr">
        <is>
          <t>SCA-SC1</t>
        </is>
      </c>
      <c r="C98" s="2" t="inlineStr">
        <is>
          <t>Survey and verified access</t>
        </is>
      </c>
      <c r="D98" s="2" t="inlineStr">
        <is>
          <t>survey pack</t>
        </is>
      </c>
      <c r="E98" s="2" t="n"/>
      <c r="F98" s="2" t="n"/>
      <c r="G98" s="2" t="n"/>
      <c r="H98" s="2" t="n"/>
      <c r="I98" s="2" t="n"/>
      <c r="J98" s="2" t="n"/>
      <c r="K98" s="2" t="n"/>
      <c r="L98" s="2" t="n"/>
      <c r="M98" s="2" t="n"/>
      <c r="N98" s="2" t="n"/>
      <c r="O98" s="2">
        <f>IF(COUNTIF(G98:N98,"YES")=8,"VERIFY EVIDENCE","HOLD")</f>
        <v/>
      </c>
      <c r="P98" s="2" t="inlineStr">
        <is>
          <t>Accepted geometry/NDT</t>
        </is>
      </c>
      <c r="Q98" s="2" t="inlineStr">
        <is>
          <t>NOT RELEASED</t>
        </is>
      </c>
    </row>
    <row r="99">
      <c r="A99" s="2" t="inlineStr">
        <is>
          <t>B09-ENG</t>
        </is>
      </c>
      <c r="B99" s="2" t="inlineStr">
        <is>
          <t>SCA-SC1</t>
        </is>
      </c>
      <c r="C99" s="2" t="inlineStr">
        <is>
          <t>Design/detail/MTO release</t>
        </is>
      </c>
      <c r="D99" s="2" t="inlineStr">
        <is>
          <t>document pack</t>
        </is>
      </c>
      <c r="E99" s="2" t="n"/>
      <c r="F99" s="2" t="n"/>
      <c r="G99" s="2" t="n"/>
      <c r="H99" s="2" t="n"/>
      <c r="I99" s="2" t="n"/>
      <c r="J99" s="2" t="n"/>
      <c r="K99" s="2" t="n"/>
      <c r="L99" s="2" t="n"/>
      <c r="M99" s="2" t="n"/>
      <c r="N99" s="2" t="n"/>
      <c r="O99" s="2">
        <f>IF(COUNTIF(G99:N99,"YES")=8,"VERIFY EVIDENCE","HOLD")</f>
        <v/>
      </c>
      <c r="P99" s="2" t="inlineStr">
        <is>
          <t>Checked analysis and AFC index</t>
        </is>
      </c>
      <c r="Q99" s="2" t="inlineStr">
        <is>
          <t>NOT RELEASED</t>
        </is>
      </c>
    </row>
    <row r="100">
      <c r="A100" s="2" t="inlineStr">
        <is>
          <t>B09-MAT</t>
        </is>
      </c>
      <c r="B100" s="2" t="inlineStr">
        <is>
          <t>SCA-SC1</t>
        </is>
      </c>
      <c r="C100" s="2" t="inlineStr">
        <is>
          <t>Material and traceability receipt</t>
        </is>
      </c>
      <c r="D100" s="2" t="inlineStr">
        <is>
          <t>BOM item</t>
        </is>
      </c>
      <c r="E100" s="2" t="n"/>
      <c r="F100" s="2" t="n"/>
      <c r="G100" s="2" t="n"/>
      <c r="H100" s="2" t="n"/>
      <c r="I100" s="2" t="n"/>
      <c r="J100" s="2" t="n"/>
      <c r="K100" s="2" t="n"/>
      <c r="L100" s="2" t="n"/>
      <c r="M100" s="2" t="n"/>
      <c r="N100" s="2" t="n"/>
      <c r="O100" s="2">
        <f>IF(COUNTIF(G100:N100,"YES")=8,"VERIFY EVIDENCE","HOLD")</f>
        <v/>
      </c>
      <c r="P100" s="2" t="inlineStr">
        <is>
          <t>PS/MTC/origin and TPI release</t>
        </is>
      </c>
      <c r="Q100" s="2" t="inlineStr">
        <is>
          <t>NOT RELEASED</t>
        </is>
      </c>
    </row>
    <row r="101">
      <c r="A101" s="2" t="inlineStr">
        <is>
          <t>B09-FAB</t>
        </is>
      </c>
      <c r="B101" s="2" t="inlineStr">
        <is>
          <t>SCA-SC1</t>
        </is>
      </c>
      <c r="C101" s="2" t="inlineStr">
        <is>
          <t>Fabrication and connection work</t>
        </is>
      </c>
      <c r="D101" s="2" t="inlineStr">
        <is>
          <t>member/weld/BOM</t>
        </is>
      </c>
      <c r="E101" s="2" t="n"/>
      <c r="F101" s="2" t="n"/>
      <c r="G101" s="2" t="n"/>
      <c r="H101" s="2" t="n"/>
      <c r="I101" s="2" t="n"/>
      <c r="J101" s="2" t="n"/>
      <c r="K101" s="2" t="n"/>
      <c r="L101" s="2" t="n"/>
      <c r="M101" s="2" t="n"/>
      <c r="N101" s="2" t="n"/>
      <c r="O101" s="2">
        <f>IF(COUNTIF(G101:N101,"YES")=8,"VERIFY EVIDENCE","HOLD")</f>
        <v/>
      </c>
      <c r="P101" s="2" t="inlineStr">
        <is>
          <t>WPS/welder/NDT/dimension records</t>
        </is>
      </c>
      <c r="Q101" s="2" t="inlineStr">
        <is>
          <t>NOT RELEASED</t>
        </is>
      </c>
    </row>
    <row r="102">
      <c r="A102" s="2" t="inlineStr">
        <is>
          <t>B09-COAT</t>
        </is>
      </c>
      <c r="B102" s="2" t="inlineStr">
        <is>
          <t>SCA-SC1</t>
        </is>
      </c>
      <c r="C102" s="2" t="inlineStr">
        <is>
          <t>Preparation/coating/curing</t>
        </is>
      </c>
      <c r="D102" s="2" t="inlineStr">
        <is>
          <t>m2 by system</t>
        </is>
      </c>
      <c r="E102" s="2" t="n"/>
      <c r="F102" s="2" t="n"/>
      <c r="G102" s="2" t="n"/>
      <c r="H102" s="2" t="n"/>
      <c r="I102" s="2" t="n"/>
      <c r="J102" s="2" t="n"/>
      <c r="K102" s="2" t="n"/>
      <c r="L102" s="2" t="n"/>
      <c r="M102" s="2" t="n"/>
      <c r="N102" s="2" t="n"/>
      <c r="O102" s="2">
        <f>IF(COUNTIF(G102:N102,"YES")=8,"VERIFY EVIDENCE","HOLD")</f>
        <v/>
      </c>
      <c r="P102" s="2" t="inlineStr">
        <is>
          <t>Accepted surface/environment/DFT records</t>
        </is>
      </c>
      <c r="Q102" s="2" t="inlineStr">
        <is>
          <t>NOT RELEASED</t>
        </is>
      </c>
    </row>
    <row r="103">
      <c r="A103" s="2" t="inlineStr">
        <is>
          <t>B09-LOAD</t>
        </is>
      </c>
      <c r="B103" s="2" t="inlineStr">
        <is>
          <t>SCA-SC1</t>
        </is>
      </c>
      <c r="C103" s="2" t="inlineStr">
        <is>
          <t>Loadout/transport/receipt</t>
        </is>
      </c>
      <c r="D103" s="2" t="inlineStr">
        <is>
          <t>module</t>
        </is>
      </c>
      <c r="E103" s="2" t="n"/>
      <c r="F103" s="2" t="n"/>
      <c r="G103" s="2" t="n"/>
      <c r="H103" s="2" t="n"/>
      <c r="I103" s="2" t="n"/>
      <c r="J103" s="2" t="n"/>
      <c r="K103" s="2" t="n"/>
      <c r="L103" s="2" t="n"/>
      <c r="M103" s="2" t="n"/>
      <c r="N103" s="2" t="n"/>
      <c r="O103" s="2">
        <f>IF(COUNTIF(G103:N103,"YES")=8,"VERIFY EVIDENCE","HOLD")</f>
        <v/>
      </c>
      <c r="P103" s="2" t="inlineStr">
        <is>
          <t>Weight/COG/rigging/sea-fastening approval</t>
        </is>
      </c>
      <c r="Q103" s="2" t="inlineStr">
        <is>
          <t>NOT RELEASED</t>
        </is>
      </c>
    </row>
    <row r="104">
      <c r="A104" s="2" t="inlineStr">
        <is>
          <t>B09-SUP</t>
        </is>
      </c>
      <c r="B104" s="2" t="inlineStr">
        <is>
          <t>SCA-SC1</t>
        </is>
      </c>
      <c r="C104" s="2" t="inlineStr">
        <is>
          <t>Support strengthening and temporary stability</t>
        </is>
      </c>
      <c r="D104" s="2" t="inlineStr">
        <is>
          <t>member/joint</t>
        </is>
      </c>
      <c r="E104" s="2" t="n"/>
      <c r="F104" s="2" t="n"/>
      <c r="G104" s="2" t="n"/>
      <c r="H104" s="2" t="n"/>
      <c r="I104" s="2" t="n"/>
      <c r="J104" s="2" t="n"/>
      <c r="K104" s="2" t="n"/>
      <c r="L104" s="2" t="n"/>
      <c r="M104" s="2" t="n"/>
      <c r="N104" s="2" t="n"/>
      <c r="O104" s="2">
        <f>IF(COUNTIF(G104:N104,"YES")=8,"VERIFY EVIDENCE","HOLD")</f>
        <v/>
      </c>
      <c r="P104" s="2" t="inlineStr">
        <is>
          <t>Approved stage analysis and inspected installation</t>
        </is>
      </c>
      <c r="Q104" s="2" t="inlineStr">
        <is>
          <t>NOT RELEASED</t>
        </is>
      </c>
    </row>
    <row r="105">
      <c r="A105" s="2" t="inlineStr">
        <is>
          <t>B09-INST</t>
        </is>
      </c>
      <c r="B105" s="2" t="inlineStr">
        <is>
          <t>SCA-SC1</t>
        </is>
      </c>
      <c r="C105" s="2" t="inlineStr">
        <is>
          <t>Bridge installation/strengthening</t>
        </is>
      </c>
      <c r="D105" s="2" t="inlineStr">
        <is>
          <t>member/module</t>
        </is>
      </c>
      <c r="E105" s="2" t="n"/>
      <c r="F105" s="2" t="n"/>
      <c r="G105" s="2" t="n"/>
      <c r="H105" s="2" t="n"/>
      <c r="I105" s="2" t="n"/>
      <c r="J105" s="2" t="n"/>
      <c r="K105" s="2" t="n"/>
      <c r="L105" s="2" t="n"/>
      <c r="M105" s="2" t="n"/>
      <c r="N105" s="2" t="n"/>
      <c r="O105" s="2">
        <f>IF(COUNTIF(G105:N105,"YES")=8,"VERIFY EVIDENCE","HOLD")</f>
        <v/>
      </c>
      <c r="P105" s="2" t="inlineStr">
        <is>
          <t>PTW and engineered method accepted</t>
        </is>
      </c>
      <c r="Q105" s="2" t="inlineStr">
        <is>
          <t>NOT RELEASED</t>
        </is>
      </c>
    </row>
    <row r="106">
      <c r="A106" s="2" t="inlineStr">
        <is>
          <t>B09-SERV</t>
        </is>
      </c>
      <c r="B106" s="2" t="inlineStr">
        <is>
          <t>SCA-SC1</t>
        </is>
      </c>
      <c r="C106" s="2" t="inlineStr">
        <is>
          <t>Service transfer/testing</t>
        </is>
      </c>
      <c r="D106" s="2" t="inlineStr">
        <is>
          <t>line/circuit/system</t>
        </is>
      </c>
      <c r="E106" s="2" t="n"/>
      <c r="F106" s="2" t="n"/>
      <c r="G106" s="2" t="n"/>
      <c r="H106" s="2" t="n"/>
      <c r="I106" s="2" t="n"/>
      <c r="J106" s="2" t="n"/>
      <c r="K106" s="2" t="n"/>
      <c r="L106" s="2" t="n"/>
      <c r="M106" s="2" t="n"/>
      <c r="N106" s="2" t="n"/>
      <c r="O106" s="2">
        <f>IF(COUNTIF(G106:N106,"YES")=8,"VERIFY EVIDENCE","HOLD")</f>
        <v/>
      </c>
      <c r="P106" s="2" t="inlineStr">
        <is>
          <t>Isolation/test boundary/operations acceptance</t>
        </is>
      </c>
      <c r="Q106" s="2" t="inlineStr">
        <is>
          <t>NOT RELEASED</t>
        </is>
      </c>
    </row>
    <row r="107">
      <c r="A107" s="2" t="inlineStr">
        <is>
          <t>B09-DEM</t>
        </is>
      </c>
      <c r="B107" s="2" t="inlineStr">
        <is>
          <t>SCA-SC1</t>
        </is>
      </c>
      <c r="C107" s="2" t="inlineStr">
        <is>
          <t>Removal/scrap backload</t>
        </is>
      </c>
      <c r="D107" s="2" t="inlineStr">
        <is>
          <t>item/MT</t>
        </is>
      </c>
      <c r="E107" s="2" t="n"/>
      <c r="F107" s="2" t="n"/>
      <c r="G107" s="2" t="n"/>
      <c r="H107" s="2" t="n"/>
      <c r="I107" s="2" t="n"/>
      <c r="J107" s="2" t="n"/>
      <c r="K107" s="2" t="n"/>
      <c r="L107" s="2" t="n"/>
      <c r="M107" s="2" t="n"/>
      <c r="N107" s="2" t="n"/>
      <c r="O107" s="2">
        <f>IF(COUNTIF(G107:N107,"YES")=8,"VERIFY EVIDENCE","HOLD")</f>
        <v/>
      </c>
      <c r="P107" s="2" t="inlineStr">
        <is>
          <t>Accepted support/service sequence and disposal receipt</t>
        </is>
      </c>
      <c r="Q107" s="2" t="inlineStr">
        <is>
          <t>NOT RELEASED</t>
        </is>
      </c>
    </row>
    <row r="108">
      <c r="A108" s="2" t="inlineStr">
        <is>
          <t>B09-PUNCH</t>
        </is>
      </c>
      <c r="B108" s="2" t="inlineStr">
        <is>
          <t>SCA-SC1</t>
        </is>
      </c>
      <c r="C108" s="2" t="inlineStr">
        <is>
          <t>Inspection/punch closure</t>
        </is>
      </c>
      <c r="D108" s="2" t="inlineStr">
        <is>
          <t>punch item</t>
        </is>
      </c>
      <c r="E108" s="2" t="n"/>
      <c r="F108" s="2" t="n"/>
      <c r="G108" s="2" t="n"/>
      <c r="H108" s="2" t="n"/>
      <c r="I108" s="2" t="n"/>
      <c r="J108" s="2" t="n"/>
      <c r="K108" s="2" t="n"/>
      <c r="L108" s="2" t="n"/>
      <c r="M108" s="2" t="n"/>
      <c r="N108" s="2" t="n"/>
      <c r="O108" s="2">
        <f>IF(COUNTIF(G108:N108,"YES")=8,"VERIFY EVIDENCE","HOLD")</f>
        <v/>
      </c>
      <c r="P108" s="2" t="inlineStr">
        <is>
          <t>Accepted ITR and blocking-punch closure</t>
        </is>
      </c>
      <c r="Q108" s="2" t="inlineStr">
        <is>
          <t>NOT RELEASED</t>
        </is>
      </c>
    </row>
    <row r="109">
      <c r="A109" s="2" t="inlineStr">
        <is>
          <t>B09-TURN</t>
        </is>
      </c>
      <c r="B109" s="2" t="inlineStr">
        <is>
          <t>SCA-SC1</t>
        </is>
      </c>
      <c r="C109" s="2" t="inlineStr">
        <is>
          <t>As-built/turnover</t>
        </is>
      </c>
      <c r="D109" s="2" t="inlineStr">
        <is>
          <t>dossier</t>
        </is>
      </c>
      <c r="E109" s="2" t="n"/>
      <c r="F109" s="2" t="n"/>
      <c r="G109" s="2" t="n"/>
      <c r="H109" s="2" t="n"/>
      <c r="I109" s="2" t="n"/>
      <c r="J109" s="2" t="n"/>
      <c r="K109" s="2" t="n"/>
      <c r="L109" s="2" t="n"/>
      <c r="M109" s="2" t="n"/>
      <c r="N109" s="2" t="n"/>
      <c r="O109" s="2">
        <f>IF(COUNTIF(G109:N109,"YES")=8,"VERIFY EVIDENCE","HOLD")</f>
        <v/>
      </c>
      <c r="P109" s="2" t="inlineStr">
        <is>
          <t>Accepted bridge/system completion</t>
        </is>
      </c>
      <c r="Q109" s="2" t="inlineStr">
        <is>
          <t>NOT RELEASED</t>
        </is>
      </c>
    </row>
    <row r="110">
      <c r="A110" s="2" t="inlineStr">
        <is>
          <t>B10-SUR</t>
        </is>
      </c>
      <c r="B110" s="2" t="inlineStr">
        <is>
          <t>SCA-SCF</t>
        </is>
      </c>
      <c r="C110" s="2" t="inlineStr">
        <is>
          <t>Survey and verified access</t>
        </is>
      </c>
      <c r="D110" s="2" t="inlineStr">
        <is>
          <t>survey pack</t>
        </is>
      </c>
      <c r="E110" s="2" t="n"/>
      <c r="F110" s="2" t="n"/>
      <c r="G110" s="2" t="n"/>
      <c r="H110" s="2" t="n"/>
      <c r="I110" s="2" t="n"/>
      <c r="J110" s="2" t="n"/>
      <c r="K110" s="2" t="n"/>
      <c r="L110" s="2" t="n"/>
      <c r="M110" s="2" t="n"/>
      <c r="N110" s="2" t="n"/>
      <c r="O110" s="2">
        <f>IF(COUNTIF(G110:N110,"YES")=8,"VERIFY EVIDENCE","HOLD")</f>
        <v/>
      </c>
      <c r="P110" s="2" t="inlineStr">
        <is>
          <t>Accepted geometry/NDT</t>
        </is>
      </c>
      <c r="Q110" s="2" t="inlineStr">
        <is>
          <t>NOT RELEASED</t>
        </is>
      </c>
    </row>
    <row r="111">
      <c r="A111" s="2" t="inlineStr">
        <is>
          <t>B10-ENG</t>
        </is>
      </c>
      <c r="B111" s="2" t="inlineStr">
        <is>
          <t>SCA-SCF</t>
        </is>
      </c>
      <c r="C111" s="2" t="inlineStr">
        <is>
          <t>Design/detail/MTO release</t>
        </is>
      </c>
      <c r="D111" s="2" t="inlineStr">
        <is>
          <t>document pack</t>
        </is>
      </c>
      <c r="E111" s="2" t="n"/>
      <c r="F111" s="2" t="n"/>
      <c r="G111" s="2" t="n"/>
      <c r="H111" s="2" t="n"/>
      <c r="I111" s="2" t="n"/>
      <c r="J111" s="2" t="n"/>
      <c r="K111" s="2" t="n"/>
      <c r="L111" s="2" t="n"/>
      <c r="M111" s="2" t="n"/>
      <c r="N111" s="2" t="n"/>
      <c r="O111" s="2">
        <f>IF(COUNTIF(G111:N111,"YES")=8,"VERIFY EVIDENCE","HOLD")</f>
        <v/>
      </c>
      <c r="P111" s="2" t="inlineStr">
        <is>
          <t>Checked analysis and AFC index</t>
        </is>
      </c>
      <c r="Q111" s="2" t="inlineStr">
        <is>
          <t>NOT RELEASED</t>
        </is>
      </c>
    </row>
    <row r="112">
      <c r="A112" s="2" t="inlineStr">
        <is>
          <t>B10-MAT</t>
        </is>
      </c>
      <c r="B112" s="2" t="inlineStr">
        <is>
          <t>SCA-SCF</t>
        </is>
      </c>
      <c r="C112" s="2" t="inlineStr">
        <is>
          <t>Material and traceability receipt</t>
        </is>
      </c>
      <c r="D112" s="2" t="inlineStr">
        <is>
          <t>BOM item</t>
        </is>
      </c>
      <c r="E112" s="2" t="n"/>
      <c r="F112" s="2" t="n"/>
      <c r="G112" s="2" t="n"/>
      <c r="H112" s="2" t="n"/>
      <c r="I112" s="2" t="n"/>
      <c r="J112" s="2" t="n"/>
      <c r="K112" s="2" t="n"/>
      <c r="L112" s="2" t="n"/>
      <c r="M112" s="2" t="n"/>
      <c r="N112" s="2" t="n"/>
      <c r="O112" s="2">
        <f>IF(COUNTIF(G112:N112,"YES")=8,"VERIFY EVIDENCE","HOLD")</f>
        <v/>
      </c>
      <c r="P112" s="2" t="inlineStr">
        <is>
          <t>PS/MTC/origin and TPI release</t>
        </is>
      </c>
      <c r="Q112" s="2" t="inlineStr">
        <is>
          <t>NOT RELEASED</t>
        </is>
      </c>
    </row>
    <row r="113">
      <c r="A113" s="2" t="inlineStr">
        <is>
          <t>B10-FAB</t>
        </is>
      </c>
      <c r="B113" s="2" t="inlineStr">
        <is>
          <t>SCA-SCF</t>
        </is>
      </c>
      <c r="C113" s="2" t="inlineStr">
        <is>
          <t>Fabrication and connection work</t>
        </is>
      </c>
      <c r="D113" s="2" t="inlineStr">
        <is>
          <t>member/weld/BOM</t>
        </is>
      </c>
      <c r="E113" s="2" t="n"/>
      <c r="F113" s="2" t="n"/>
      <c r="G113" s="2" t="n"/>
      <c r="H113" s="2" t="n"/>
      <c r="I113" s="2" t="n"/>
      <c r="J113" s="2" t="n"/>
      <c r="K113" s="2" t="n"/>
      <c r="L113" s="2" t="n"/>
      <c r="M113" s="2" t="n"/>
      <c r="N113" s="2" t="n"/>
      <c r="O113" s="2">
        <f>IF(COUNTIF(G113:N113,"YES")=8,"VERIFY EVIDENCE","HOLD")</f>
        <v/>
      </c>
      <c r="P113" s="2" t="inlineStr">
        <is>
          <t>WPS/welder/NDT/dimension records</t>
        </is>
      </c>
      <c r="Q113" s="2" t="inlineStr">
        <is>
          <t>NOT RELEASED</t>
        </is>
      </c>
    </row>
    <row r="114">
      <c r="A114" s="2" t="inlineStr">
        <is>
          <t>B10-COAT</t>
        </is>
      </c>
      <c r="B114" s="2" t="inlineStr">
        <is>
          <t>SCA-SCF</t>
        </is>
      </c>
      <c r="C114" s="2" t="inlineStr">
        <is>
          <t>Preparation/coating/curing</t>
        </is>
      </c>
      <c r="D114" s="2" t="inlineStr">
        <is>
          <t>m2 by system</t>
        </is>
      </c>
      <c r="E114" s="2" t="n"/>
      <c r="F114" s="2" t="n"/>
      <c r="G114" s="2" t="n"/>
      <c r="H114" s="2" t="n"/>
      <c r="I114" s="2" t="n"/>
      <c r="J114" s="2" t="n"/>
      <c r="K114" s="2" t="n"/>
      <c r="L114" s="2" t="n"/>
      <c r="M114" s="2" t="n"/>
      <c r="N114" s="2" t="n"/>
      <c r="O114" s="2">
        <f>IF(COUNTIF(G114:N114,"YES")=8,"VERIFY EVIDENCE","HOLD")</f>
        <v/>
      </c>
      <c r="P114" s="2" t="inlineStr">
        <is>
          <t>Accepted surface/environment/DFT records</t>
        </is>
      </c>
      <c r="Q114" s="2" t="inlineStr">
        <is>
          <t>NOT RELEASED</t>
        </is>
      </c>
    </row>
    <row r="115">
      <c r="A115" s="2" t="inlineStr">
        <is>
          <t>B10-LOAD</t>
        </is>
      </c>
      <c r="B115" s="2" t="inlineStr">
        <is>
          <t>SCA-SCF</t>
        </is>
      </c>
      <c r="C115" s="2" t="inlineStr">
        <is>
          <t>Loadout/transport/receipt</t>
        </is>
      </c>
      <c r="D115" s="2" t="inlineStr">
        <is>
          <t>module</t>
        </is>
      </c>
      <c r="E115" s="2" t="n"/>
      <c r="F115" s="2" t="n"/>
      <c r="G115" s="2" t="n"/>
      <c r="H115" s="2" t="n"/>
      <c r="I115" s="2" t="n"/>
      <c r="J115" s="2" t="n"/>
      <c r="K115" s="2" t="n"/>
      <c r="L115" s="2" t="n"/>
      <c r="M115" s="2" t="n"/>
      <c r="N115" s="2" t="n"/>
      <c r="O115" s="2">
        <f>IF(COUNTIF(G115:N115,"YES")=8,"VERIFY EVIDENCE","HOLD")</f>
        <v/>
      </c>
      <c r="P115" s="2" t="inlineStr">
        <is>
          <t>Weight/COG/rigging/sea-fastening approval</t>
        </is>
      </c>
      <c r="Q115" s="2" t="inlineStr">
        <is>
          <t>NOT RELEASED</t>
        </is>
      </c>
    </row>
    <row r="116">
      <c r="A116" s="2" t="inlineStr">
        <is>
          <t>B10-SUP</t>
        </is>
      </c>
      <c r="B116" s="2" t="inlineStr">
        <is>
          <t>SCA-SCF</t>
        </is>
      </c>
      <c r="C116" s="2" t="inlineStr">
        <is>
          <t>Support strengthening and temporary stability</t>
        </is>
      </c>
      <c r="D116" s="2" t="inlineStr">
        <is>
          <t>member/joint</t>
        </is>
      </c>
      <c r="E116" s="2" t="n"/>
      <c r="F116" s="2" t="n"/>
      <c r="G116" s="2" t="n"/>
      <c r="H116" s="2" t="n"/>
      <c r="I116" s="2" t="n"/>
      <c r="J116" s="2" t="n"/>
      <c r="K116" s="2" t="n"/>
      <c r="L116" s="2" t="n"/>
      <c r="M116" s="2" t="n"/>
      <c r="N116" s="2" t="n"/>
      <c r="O116" s="2">
        <f>IF(COUNTIF(G116:N116,"YES")=8,"VERIFY EVIDENCE","HOLD")</f>
        <v/>
      </c>
      <c r="P116" s="2" t="inlineStr">
        <is>
          <t>Approved stage analysis and inspected installation</t>
        </is>
      </c>
      <c r="Q116" s="2" t="inlineStr">
        <is>
          <t>NOT RELEASED</t>
        </is>
      </c>
    </row>
    <row r="117">
      <c r="A117" s="2" t="inlineStr">
        <is>
          <t>B10-INST</t>
        </is>
      </c>
      <c r="B117" s="2" t="inlineStr">
        <is>
          <t>SCA-SCF</t>
        </is>
      </c>
      <c r="C117" s="2" t="inlineStr">
        <is>
          <t>Bridge installation/strengthening</t>
        </is>
      </c>
      <c r="D117" s="2" t="inlineStr">
        <is>
          <t>member/module</t>
        </is>
      </c>
      <c r="E117" s="2" t="n"/>
      <c r="F117" s="2" t="n"/>
      <c r="G117" s="2" t="n"/>
      <c r="H117" s="2" t="n"/>
      <c r="I117" s="2" t="n"/>
      <c r="J117" s="2" t="n"/>
      <c r="K117" s="2" t="n"/>
      <c r="L117" s="2" t="n"/>
      <c r="M117" s="2" t="n"/>
      <c r="N117" s="2" t="n"/>
      <c r="O117" s="2">
        <f>IF(COUNTIF(G117:N117,"YES")=8,"VERIFY EVIDENCE","HOLD")</f>
        <v/>
      </c>
      <c r="P117" s="2" t="inlineStr">
        <is>
          <t>PTW and engineered method accepted</t>
        </is>
      </c>
      <c r="Q117" s="2" t="inlineStr">
        <is>
          <t>NOT RELEASED</t>
        </is>
      </c>
    </row>
    <row r="118">
      <c r="A118" s="2" t="inlineStr">
        <is>
          <t>B10-SERV</t>
        </is>
      </c>
      <c r="B118" s="2" t="inlineStr">
        <is>
          <t>SCA-SCF</t>
        </is>
      </c>
      <c r="C118" s="2" t="inlineStr">
        <is>
          <t>Service transfer/testing</t>
        </is>
      </c>
      <c r="D118" s="2" t="inlineStr">
        <is>
          <t>line/circuit/system</t>
        </is>
      </c>
      <c r="E118" s="2" t="n"/>
      <c r="F118" s="2" t="n"/>
      <c r="G118" s="2" t="n"/>
      <c r="H118" s="2" t="n"/>
      <c r="I118" s="2" t="n"/>
      <c r="J118" s="2" t="n"/>
      <c r="K118" s="2" t="n"/>
      <c r="L118" s="2" t="n"/>
      <c r="M118" s="2" t="n"/>
      <c r="N118" s="2" t="n"/>
      <c r="O118" s="2">
        <f>IF(COUNTIF(G118:N118,"YES")=8,"VERIFY EVIDENCE","HOLD")</f>
        <v/>
      </c>
      <c r="P118" s="2" t="inlineStr">
        <is>
          <t>Isolation/test boundary/operations acceptance</t>
        </is>
      </c>
      <c r="Q118" s="2" t="inlineStr">
        <is>
          <t>NOT RELEASED</t>
        </is>
      </c>
    </row>
    <row r="119">
      <c r="A119" s="2" t="inlineStr">
        <is>
          <t>B10-DEM</t>
        </is>
      </c>
      <c r="B119" s="2" t="inlineStr">
        <is>
          <t>SCA-SCF</t>
        </is>
      </c>
      <c r="C119" s="2" t="inlineStr">
        <is>
          <t>Removal/scrap backload</t>
        </is>
      </c>
      <c r="D119" s="2" t="inlineStr">
        <is>
          <t>item/MT</t>
        </is>
      </c>
      <c r="E119" s="2" t="n"/>
      <c r="F119" s="2" t="n"/>
      <c r="G119" s="2" t="n"/>
      <c r="H119" s="2" t="n"/>
      <c r="I119" s="2" t="n"/>
      <c r="J119" s="2" t="n"/>
      <c r="K119" s="2" t="n"/>
      <c r="L119" s="2" t="n"/>
      <c r="M119" s="2" t="n"/>
      <c r="N119" s="2" t="n"/>
      <c r="O119" s="2">
        <f>IF(COUNTIF(G119:N119,"YES")=8,"VERIFY EVIDENCE","HOLD")</f>
        <v/>
      </c>
      <c r="P119" s="2" t="inlineStr">
        <is>
          <t>Accepted support/service sequence and disposal receipt</t>
        </is>
      </c>
      <c r="Q119" s="2" t="inlineStr">
        <is>
          <t>NOT RELEASED</t>
        </is>
      </c>
    </row>
    <row r="120">
      <c r="A120" s="2" t="inlineStr">
        <is>
          <t>B10-PUNCH</t>
        </is>
      </c>
      <c r="B120" s="2" t="inlineStr">
        <is>
          <t>SCA-SCF</t>
        </is>
      </c>
      <c r="C120" s="2" t="inlineStr">
        <is>
          <t>Inspection/punch closure</t>
        </is>
      </c>
      <c r="D120" s="2" t="inlineStr">
        <is>
          <t>punch item</t>
        </is>
      </c>
      <c r="E120" s="2" t="n"/>
      <c r="F120" s="2" t="n"/>
      <c r="G120" s="2" t="n"/>
      <c r="H120" s="2" t="n"/>
      <c r="I120" s="2" t="n"/>
      <c r="J120" s="2" t="n"/>
      <c r="K120" s="2" t="n"/>
      <c r="L120" s="2" t="n"/>
      <c r="M120" s="2" t="n"/>
      <c r="N120" s="2" t="n"/>
      <c r="O120" s="2">
        <f>IF(COUNTIF(G120:N120,"YES")=8,"VERIFY EVIDENCE","HOLD")</f>
        <v/>
      </c>
      <c r="P120" s="2" t="inlineStr">
        <is>
          <t>Accepted ITR and blocking-punch closure</t>
        </is>
      </c>
      <c r="Q120" s="2" t="inlineStr">
        <is>
          <t>NOT RELEASED</t>
        </is>
      </c>
    </row>
    <row r="121">
      <c r="A121" s="2" t="inlineStr">
        <is>
          <t>B10-TURN</t>
        </is>
      </c>
      <c r="B121" s="2" t="inlineStr">
        <is>
          <t>SCA-SCF</t>
        </is>
      </c>
      <c r="C121" s="2" t="inlineStr">
        <is>
          <t>As-built/turnover</t>
        </is>
      </c>
      <c r="D121" s="2" t="inlineStr">
        <is>
          <t>dossier</t>
        </is>
      </c>
      <c r="E121" s="2" t="n"/>
      <c r="F121" s="2" t="n"/>
      <c r="G121" s="2" t="n"/>
      <c r="H121" s="2" t="n"/>
      <c r="I121" s="2" t="n"/>
      <c r="J121" s="2" t="n"/>
      <c r="K121" s="2" t="n"/>
      <c r="L121" s="2" t="n"/>
      <c r="M121" s="2" t="n"/>
      <c r="N121" s="2" t="n"/>
      <c r="O121" s="2">
        <f>IF(COUNTIF(G121:N121,"YES")=8,"VERIFY EVIDENCE","HOLD")</f>
        <v/>
      </c>
      <c r="P121" s="2" t="inlineStr">
        <is>
          <t>Accepted bridge/system completion</t>
        </is>
      </c>
      <c r="Q121" s="2" t="inlineStr">
        <is>
          <t>NOT RELEASED</t>
        </is>
      </c>
    </row>
  </sheetData>
  <autoFilter ref="A1:Q12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s>
  <sheetData>
    <row r="1">
      <c r="A1" s="1" t="inlineStr">
        <is>
          <t>Resource</t>
        </is>
      </c>
      <c r="B1" s="1" t="inlineStr">
        <is>
          <t>Scenario assumption</t>
        </is>
      </c>
      <c r="C1" s="1" t="inlineStr">
        <is>
          <t>Actual capacity</t>
        </is>
      </c>
      <c r="D1" s="1" t="inlineStr">
        <is>
          <t>Availability dates</t>
        </is>
      </c>
      <c r="E1" s="1" t="inlineStr">
        <is>
          <t>Evidence</t>
        </is>
      </c>
      <c r="F1" s="1" t="inlineStr">
        <is>
          <t>Owner</t>
        </is>
      </c>
      <c r="G1" s="1" t="inlineStr">
        <is>
          <t>Status</t>
        </is>
      </c>
    </row>
    <row r="2">
      <c r="A2" s="2" t="inlineStr">
        <is>
          <t>Design teams</t>
        </is>
      </c>
      <c r="B2" s="2" t="inlineStr">
        <is>
          <t>Parallel ten-bridge design assumed; loading not modelled</t>
        </is>
      </c>
      <c r="C2" s="2" t="n"/>
      <c r="D2" s="2" t="n"/>
      <c r="E2" s="2" t="n"/>
      <c r="F2" s="2" t="inlineStr">
        <is>
          <t>Engineering</t>
        </is>
      </c>
      <c r="G2" s="2" t="inlineStr">
        <is>
          <t>UNVERIFIED</t>
        </is>
      </c>
    </row>
    <row r="3">
      <c r="A3" s="2" t="inlineStr">
        <is>
          <t>Fabrication</t>
        </is>
      </c>
      <c r="B3" s="2" t="inlineStr">
        <is>
          <t>2capacity-one bay chains at4MT/productive bay-day</t>
        </is>
      </c>
      <c r="C3" s="2" t="n"/>
      <c r="D3" s="2" t="n"/>
      <c r="E3" s="2" t="n"/>
      <c r="F3" s="2" t="inlineStr">
        <is>
          <t>Fabrication</t>
        </is>
      </c>
      <c r="G3" s="2" t="inlineStr">
        <is>
          <t>UNVERIFIED</t>
        </is>
      </c>
    </row>
    <row r="4">
      <c r="A4" s="2" t="inlineStr">
        <is>
          <t>Coating</t>
        </is>
      </c>
      <c r="B4" s="2" t="inlineStr">
        <is>
          <t>1capacity-one cell;10yard-days/package</t>
        </is>
      </c>
      <c r="C4" s="2" t="n"/>
      <c r="D4" s="2" t="n"/>
      <c r="E4" s="2" t="n"/>
      <c r="F4" s="2" t="inlineStr">
        <is>
          <t>Coating</t>
        </is>
      </c>
      <c r="G4" s="2" t="inlineStr">
        <is>
          <t>UNVERIFIED</t>
        </is>
      </c>
    </row>
    <row r="5">
      <c r="A5" s="2" t="inlineStr">
        <is>
          <t>NDT</t>
        </is>
      </c>
      <c r="B5" s="2" t="inlineStr">
        <is>
          <t>No finite staffing capacity modelled</t>
        </is>
      </c>
      <c r="C5" s="2" t="n"/>
      <c r="D5" s="2" t="n"/>
      <c r="E5" s="2" t="n"/>
      <c r="F5" s="2" t="inlineStr">
        <is>
          <t>QA</t>
        </is>
      </c>
      <c r="G5" s="2" t="inlineStr">
        <is>
          <t>UNVERIFIED</t>
        </is>
      </c>
    </row>
    <row r="6">
      <c r="A6" s="2" t="inlineStr">
        <is>
          <t>Strengthening</t>
        </is>
      </c>
      <c r="B6" s="2" t="inlineStr">
        <is>
          <t>3capacity-one crew chains;4MT/crew-day allowance</t>
        </is>
      </c>
      <c r="C6" s="2" t="n"/>
      <c r="D6" s="2" t="n"/>
      <c r="E6" s="2" t="n"/>
      <c r="F6" s="2" t="inlineStr">
        <is>
          <t>Construction</t>
        </is>
      </c>
      <c r="G6" s="2" t="inlineStr">
        <is>
          <t>UNVERIFIED</t>
        </is>
      </c>
    </row>
    <row r="7">
      <c r="A7" s="2" t="inlineStr">
        <is>
          <t>Heavy lift</t>
        </is>
      </c>
      <c r="B7" s="2" t="inlineStr">
        <is>
          <t>1capacity-one new-bridge installation chain</t>
        </is>
      </c>
      <c r="C7" s="2" t="n"/>
      <c r="D7" s="2" t="n"/>
      <c r="E7" s="2" t="n"/>
      <c r="F7" s="2" t="inlineStr">
        <is>
          <t>Marine</t>
        </is>
      </c>
      <c r="G7" s="2" t="inlineStr">
        <is>
          <t>UNVERIFIED</t>
        </is>
      </c>
    </row>
    <row r="8">
      <c r="A8" s="2" t="inlineStr">
        <is>
          <t>Cargo</t>
        </is>
      </c>
      <c r="B8" s="2" t="inlineStr">
        <is>
          <t>1capacity-one transport/demob chain</t>
        </is>
      </c>
      <c r="C8" s="2" t="n"/>
      <c r="D8" s="2" t="n"/>
      <c r="E8" s="2" t="n"/>
      <c r="F8" s="2" t="inlineStr">
        <is>
          <t>Logistics</t>
        </is>
      </c>
      <c r="G8" s="2" t="inlineStr">
        <is>
          <t>UNVERIFIED</t>
        </is>
      </c>
    </row>
    <row r="9">
      <c r="A9" s="2" t="inlineStr">
        <is>
          <t>Services</t>
        </is>
      </c>
      <c r="B9" s="2" t="inlineStr">
        <is>
          <t>1capacity-one transfer/test team</t>
        </is>
      </c>
      <c r="C9" s="2" t="n"/>
      <c r="D9" s="2" t="n"/>
      <c r="E9" s="2" t="n"/>
      <c r="F9" s="2" t="inlineStr">
        <is>
          <t>Commissioning</t>
        </is>
      </c>
      <c r="G9" s="2" t="inlineStr">
        <is>
          <t>UNVERIFIED</t>
        </is>
      </c>
    </row>
    <row r="10">
      <c r="A10" s="2" t="inlineStr">
        <is>
          <t>Removal</t>
        </is>
      </c>
      <c r="B10" s="2" t="inlineStr">
        <is>
          <t>1capacity-one removal team</t>
        </is>
      </c>
      <c r="C10" s="2" t="n"/>
      <c r="D10" s="2" t="n"/>
      <c r="E10" s="2" t="n"/>
      <c r="F10" s="2" t="inlineStr">
        <is>
          <t>Construction</t>
        </is>
      </c>
      <c r="G10" s="2" t="inlineStr">
        <is>
          <t>UNVERIFIED</t>
        </is>
      </c>
    </row>
    <row r="11">
      <c r="A11" s="2" t="inlineStr">
        <is>
          <t>Survey</t>
        </is>
      </c>
      <c r="B11" s="2" t="inlineStr">
        <is>
          <t>1spread for common field survey</t>
        </is>
      </c>
      <c r="C11" s="2" t="n"/>
      <c r="D11" s="2" t="n"/>
      <c r="E11" s="2" t="n"/>
      <c r="F11" s="2" t="inlineStr">
        <is>
          <t>Survey</t>
        </is>
      </c>
      <c r="G11" s="2" t="inlineStr">
        <is>
          <t>UNVERIFIED</t>
        </is>
      </c>
    </row>
    <row r="12">
      <c r="A12" s="2" t="inlineStr">
        <is>
          <t>Accommodation</t>
        </is>
      </c>
      <c r="B12" s="2" t="inlineStr">
        <is>
          <t>Minimum60special-personnel requirement; totalPOB not proven</t>
        </is>
      </c>
      <c r="C12" s="2" t="n"/>
      <c r="D12" s="2" t="n"/>
      <c r="E12" s="2" t="n"/>
      <c r="F12" s="2" t="inlineStr">
        <is>
          <t>Marine</t>
        </is>
      </c>
      <c r="G12" s="2" t="inlineStr">
        <is>
          <t>UNVERIFIED</t>
        </is>
      </c>
    </row>
  </sheetData>
  <autoFilter ref="A1:G1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86"/>
  <sheetViews>
    <sheetView zoomScale="80"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 width="27" customWidth="1" min="11" max="11"/>
    <col width="27" customWidth="1" min="12" max="12"/>
    <col width="27" customWidth="1" min="13" max="13"/>
    <col width="27" customWidth="1" min="14" max="14"/>
    <col width="27" customWidth="1" min="15" max="15"/>
  </cols>
  <sheetData>
    <row r="1">
      <c r="A1" s="1" t="inlineStr">
        <is>
          <t>ID</t>
        </is>
      </c>
      <c r="B1" s="1" t="inlineStr">
        <is>
          <t>Bridge</t>
        </is>
      </c>
      <c r="C1" s="1" t="inlineStr">
        <is>
          <t>Activity</t>
        </is>
      </c>
      <c r="D1" s="1" t="inlineStr">
        <is>
          <t>Duration</t>
        </is>
      </c>
      <c r="E1" s="1" t="inlineStr">
        <is>
          <t>Calendar</t>
        </is>
      </c>
      <c r="F1" s="1" t="inlineStr">
        <is>
          <t>Predecessors</t>
        </is>
      </c>
      <c r="G1" s="1" t="inlineStr">
        <is>
          <t>Resource</t>
        </is>
      </c>
      <c r="H1" s="1" t="inlineStr">
        <is>
          <t>Owner</t>
        </is>
      </c>
      <c r="I1" s="1" t="inlineStr">
        <is>
          <t>ES</t>
        </is>
      </c>
      <c r="J1" s="1" t="inlineStr">
        <is>
          <t>EF exclusive</t>
        </is>
      </c>
      <c r="K1" s="1" t="inlineStr">
        <is>
          <t>LS</t>
        </is>
      </c>
      <c r="L1" s="1" t="inlineStr">
        <is>
          <t>LF exclusive</t>
        </is>
      </c>
      <c r="M1" s="1" t="inlineStr">
        <is>
          <t>Float calendar days</t>
        </is>
      </c>
      <c r="N1" s="1" t="inlineStr">
        <is>
          <t>Basis</t>
        </is>
      </c>
      <c r="O1" s="1" t="inlineStr">
        <is>
          <t>Status</t>
        </is>
      </c>
    </row>
    <row r="2">
      <c r="A2" s="2" t="inlineStr">
        <is>
          <t>START</t>
        </is>
      </c>
      <c r="B2" s="2" t="inlineStr">
        <is>
          <t>COMMON</t>
        </is>
      </c>
      <c r="C2" s="2" t="inlineStr">
        <is>
          <t>Assumed commencement — scenario only</t>
        </is>
      </c>
      <c r="D2" s="2" t="n">
        <v>0</v>
      </c>
      <c r="E2" s="2" t="inlineStr">
        <is>
          <t>ALL</t>
        </is>
      </c>
      <c r="F2" s="2" t="inlineStr"/>
      <c r="G2" s="2" t="inlineStr"/>
      <c r="H2" s="2" t="inlineStr">
        <is>
          <t>Contracts</t>
        </is>
      </c>
      <c r="I2" s="2" t="inlineStr">
        <is>
          <t>2026-11-01</t>
        </is>
      </c>
      <c r="J2" s="2" t="inlineStr">
        <is>
          <t>2026-11-01</t>
        </is>
      </c>
      <c r="K2" s="2" t="inlineStr">
        <is>
          <t>2026-11-02</t>
        </is>
      </c>
      <c r="L2" s="2" t="inlineStr">
        <is>
          <t>2026-11-02</t>
        </is>
      </c>
      <c r="M2" s="2" t="n">
        <v>1</v>
      </c>
      <c r="N2" s="2" t="inlineStr">
        <is>
          <t>1Nov2026 assumed; actual NOA unconfirmed</t>
        </is>
      </c>
      <c r="O2" s="2" t="inlineStr">
        <is>
          <t>PROPOSED / NOT APPROVED</t>
        </is>
      </c>
    </row>
    <row r="3">
      <c r="A3" s="2" t="inlineStr">
        <is>
          <t>G01</t>
        </is>
      </c>
      <c r="B3" s="2" t="inlineStr">
        <is>
          <t>COMMON</t>
        </is>
      </c>
      <c r="C3" s="2" t="inlineStr">
        <is>
          <t>Contract/amendment matrix and scope reconciliation</t>
        </is>
      </c>
      <c r="D3" s="2" t="n">
        <v>5</v>
      </c>
      <c r="E3" s="2" t="inlineStr">
        <is>
          <t>OFFICE</t>
        </is>
      </c>
      <c r="F3" s="2" t="inlineStr">
        <is>
          <t>START</t>
        </is>
      </c>
      <c r="G3" s="2" t="inlineStr"/>
      <c r="H3" s="2" t="inlineStr">
        <is>
          <t>Contracts</t>
        </is>
      </c>
      <c r="I3" s="2" t="inlineStr">
        <is>
          <t>2026-11-02</t>
        </is>
      </c>
      <c r="J3" s="2" t="inlineStr">
        <is>
          <t>2026-11-07</t>
        </is>
      </c>
      <c r="K3" s="2" t="inlineStr">
        <is>
          <t>2026-11-02</t>
        </is>
      </c>
      <c r="L3" s="2" t="inlineStr">
        <is>
          <t>2026-11-09</t>
        </is>
      </c>
      <c r="M3" s="2" t="n">
        <v>0</v>
      </c>
      <c r="N3" s="2" t="inlineStr">
        <is>
          <t>Proposed allowance; replace with verified inputs</t>
        </is>
      </c>
      <c r="O3" s="2" t="inlineStr">
        <is>
          <t>PROPOSED / NOT APPROVED</t>
        </is>
      </c>
    </row>
    <row r="4">
      <c r="A4" s="2" t="inlineStr">
        <is>
          <t>G02</t>
        </is>
      </c>
      <c r="B4" s="2" t="inlineStr">
        <is>
          <t>COMMON</t>
        </is>
      </c>
      <c r="C4" s="2" t="inlineStr">
        <is>
          <t>Survey permits, access and mobilisation preparation</t>
        </is>
      </c>
      <c r="D4" s="2" t="n">
        <v>10</v>
      </c>
      <c r="E4" s="2" t="inlineStr">
        <is>
          <t>OFFICE</t>
        </is>
      </c>
      <c r="F4" s="2" t="inlineStr">
        <is>
          <t>G01</t>
        </is>
      </c>
      <c r="G4" s="2" t="inlineStr"/>
      <c r="H4" s="2" t="inlineStr">
        <is>
          <t>Survey / Operations</t>
        </is>
      </c>
      <c r="I4" s="2" t="inlineStr">
        <is>
          <t>2026-11-09</t>
        </is>
      </c>
      <c r="J4" s="2" t="inlineStr">
        <is>
          <t>2026-11-21</t>
        </is>
      </c>
      <c r="K4" s="2" t="inlineStr">
        <is>
          <t>2026-11-09</t>
        </is>
      </c>
      <c r="L4" s="2" t="inlineStr">
        <is>
          <t>2026-11-22</t>
        </is>
      </c>
      <c r="M4" s="2" t="n">
        <v>0</v>
      </c>
      <c r="N4" s="2" t="inlineStr">
        <is>
          <t>Proposed allowance; replace with verified inputs</t>
        </is>
      </c>
      <c r="O4" s="2" t="inlineStr">
        <is>
          <t>PROPOSED / NOT APPROVED</t>
        </is>
      </c>
    </row>
    <row r="5">
      <c r="A5" s="2" t="inlineStr">
        <is>
          <t>G03</t>
        </is>
      </c>
      <c r="B5" s="2" t="inlineStr">
        <is>
          <t>COMMON</t>
        </is>
      </c>
      <c r="C5" s="2" t="inlineStr">
        <is>
          <t>Pre-engineering survey campaign</t>
        </is>
      </c>
      <c r="D5" s="2" t="n">
        <v>15</v>
      </c>
      <c r="E5" s="2" t="inlineStr">
        <is>
          <t>OFF</t>
        </is>
      </c>
      <c r="F5" s="2" t="inlineStr">
        <is>
          <t>G02;D-SURV</t>
        </is>
      </c>
      <c r="G5" s="2" t="inlineStr">
        <is>
          <t>Survey spread</t>
        </is>
      </c>
      <c r="H5" s="2" t="inlineStr">
        <is>
          <t>Survey</t>
        </is>
      </c>
      <c r="I5" s="2" t="inlineStr">
        <is>
          <t>2026-11-21</t>
        </is>
      </c>
      <c r="J5" s="2" t="inlineStr">
        <is>
          <t>2026-12-06</t>
        </is>
      </c>
      <c r="K5" s="2" t="inlineStr">
        <is>
          <t>2026-11-22</t>
        </is>
      </c>
      <c r="L5" s="2" t="inlineStr">
        <is>
          <t>2026-12-07</t>
        </is>
      </c>
      <c r="M5" s="2" t="n">
        <v>1</v>
      </c>
      <c r="N5" s="2" t="inlineStr">
        <is>
          <t>Proposed allowance; replace with verified inputs</t>
        </is>
      </c>
      <c r="O5" s="2" t="inlineStr">
        <is>
          <t>PROPOSED / NOT APPROVED</t>
        </is>
      </c>
    </row>
    <row r="6">
      <c r="A6" s="2" t="inlineStr">
        <is>
          <t>G04</t>
        </is>
      </c>
      <c r="B6" s="2" t="inlineStr">
        <is>
          <t>COMMON</t>
        </is>
      </c>
      <c r="C6" s="2" t="inlineStr">
        <is>
          <t>Survey reports, geometry/condition reconciliation</t>
        </is>
      </c>
      <c r="D6" s="2" t="n">
        <v>5</v>
      </c>
      <c r="E6" s="2" t="inlineStr">
        <is>
          <t>OFFICE</t>
        </is>
      </c>
      <c r="F6" s="2" t="inlineStr">
        <is>
          <t>G03</t>
        </is>
      </c>
      <c r="G6" s="2" t="inlineStr"/>
      <c r="H6" s="2" t="inlineStr">
        <is>
          <t>Engineering</t>
        </is>
      </c>
      <c r="I6" s="2" t="inlineStr">
        <is>
          <t>2026-12-07</t>
        </is>
      </c>
      <c r="J6" s="2" t="inlineStr">
        <is>
          <t>2026-12-12</t>
        </is>
      </c>
      <c r="K6" s="2" t="inlineStr">
        <is>
          <t>2026-12-07</t>
        </is>
      </c>
      <c r="L6" s="2" t="inlineStr">
        <is>
          <t>2026-12-14</t>
        </is>
      </c>
      <c r="M6" s="2" t="n">
        <v>0</v>
      </c>
      <c r="N6" s="2" t="inlineStr">
        <is>
          <t>Proposed allowance; replace with verified inputs</t>
        </is>
      </c>
      <c r="O6" s="2" t="inlineStr">
        <is>
          <t>PROPOSED / NOT APPROVED</t>
        </is>
      </c>
    </row>
    <row r="7">
      <c r="A7" s="2" t="inlineStr">
        <is>
          <t>G05</t>
        </is>
      </c>
      <c r="B7" s="2" t="inlineStr">
        <is>
          <t>COMMON</t>
        </is>
      </c>
      <c r="C7" s="2" t="inlineStr">
        <is>
          <t>Survey/basis review and comment closure allowance</t>
        </is>
      </c>
      <c r="D7" s="2" t="n">
        <v>10</v>
      </c>
      <c r="E7" s="2" t="inlineStr">
        <is>
          <t>OFFICE</t>
        </is>
      </c>
      <c r="F7" s="2" t="inlineStr">
        <is>
          <t>G04</t>
        </is>
      </c>
      <c r="G7" s="2" t="inlineStr"/>
      <c r="H7" s="2" t="inlineStr">
        <is>
          <t>Engineering</t>
        </is>
      </c>
      <c r="I7" s="2" t="inlineStr">
        <is>
          <t>2026-12-14</t>
        </is>
      </c>
      <c r="J7" s="2" t="inlineStr">
        <is>
          <t>2026-12-26</t>
        </is>
      </c>
      <c r="K7" s="2" t="inlineStr">
        <is>
          <t>2026-12-14</t>
        </is>
      </c>
      <c r="L7" s="2" t="inlineStr">
        <is>
          <t>2026-12-28</t>
        </is>
      </c>
      <c r="M7" s="2" t="n">
        <v>0</v>
      </c>
      <c r="N7" s="2" t="inlineStr">
        <is>
          <t>Proposed allowance; replace with verified inputs</t>
        </is>
      </c>
      <c r="O7" s="2" t="inlineStr">
        <is>
          <t>PROPOSED / NOT APPROVED</t>
        </is>
      </c>
    </row>
    <row r="8">
      <c r="A8" s="2" t="inlineStr">
        <is>
          <t>P-BEAR</t>
        </is>
      </c>
      <c r="B8" s="2" t="inlineStr">
        <is>
          <t>COMMON</t>
        </is>
      </c>
      <c r="C8" s="2" t="inlineStr">
        <is>
          <t>Bearings, sliding interfaces and guides — requisition/technical scope</t>
        </is>
      </c>
      <c r="D8" s="2" t="n">
        <v>5</v>
      </c>
      <c r="E8" s="2" t="inlineStr">
        <is>
          <t>OFFICE</t>
        </is>
      </c>
      <c r="F8" s="2" t="inlineStr">
        <is>
          <t>G05</t>
        </is>
      </c>
      <c r="G8" s="2" t="inlineStr"/>
      <c r="H8" s="2" t="inlineStr">
        <is>
          <t>Engineering</t>
        </is>
      </c>
      <c r="I8" s="2" t="inlineStr">
        <is>
          <t>2026-12-28</t>
        </is>
      </c>
      <c r="J8" s="2" t="inlineStr">
        <is>
          <t>2027-01-02</t>
        </is>
      </c>
      <c r="K8" s="2" t="inlineStr">
        <is>
          <t>2027-11-05</t>
        </is>
      </c>
      <c r="L8" s="2" t="inlineStr">
        <is>
          <t>2027-11-12</t>
        </is>
      </c>
      <c r="M8" s="2" t="n">
        <v>312</v>
      </c>
      <c r="N8" s="2" t="inlineStr">
        <is>
          <t>Proposed allowance; replace with verified inputs</t>
        </is>
      </c>
      <c r="O8" s="2" t="inlineStr">
        <is>
          <t>PROPOSED / NOT APPROVED</t>
        </is>
      </c>
    </row>
    <row r="9">
      <c r="A9" s="2" t="inlineStr">
        <is>
          <t>R-BEAR</t>
        </is>
      </c>
      <c r="B9" s="2" t="inlineStr">
        <is>
          <t>COMMON</t>
        </is>
      </c>
      <c r="C9" s="2" t="inlineStr">
        <is>
          <t>Bearings, sliding interfaces and guides — bid/PS review allowance</t>
        </is>
      </c>
      <c r="D9" s="2" t="n">
        <v>10</v>
      </c>
      <c r="E9" s="2" t="inlineStr">
        <is>
          <t>OFFICE</t>
        </is>
      </c>
      <c r="F9" s="2" t="inlineStr">
        <is>
          <t>P-BEAR</t>
        </is>
      </c>
      <c r="G9" s="2" t="inlineStr"/>
      <c r="H9" s="2" t="inlineStr">
        <is>
          <t>Engineering</t>
        </is>
      </c>
      <c r="I9" s="2" t="inlineStr">
        <is>
          <t>2027-01-04</t>
        </is>
      </c>
      <c r="J9" s="2" t="inlineStr">
        <is>
          <t>2027-01-16</t>
        </is>
      </c>
      <c r="K9" s="2" t="inlineStr">
        <is>
          <t>2027-11-12</t>
        </is>
      </c>
      <c r="L9" s="2" t="inlineStr">
        <is>
          <t>2027-11-26</t>
        </is>
      </c>
      <c r="M9" s="2" t="n">
        <v>312</v>
      </c>
      <c r="N9" s="2" t="inlineStr">
        <is>
          <t>Proposed allowance; replace with verified inputs</t>
        </is>
      </c>
      <c r="O9" s="2" t="inlineStr">
        <is>
          <t>PROPOSED / NOT APPROVED</t>
        </is>
      </c>
    </row>
    <row r="10">
      <c r="A10" s="2" t="inlineStr">
        <is>
          <t>D-BEAR</t>
        </is>
      </c>
      <c r="B10" s="2" t="inlineStr">
        <is>
          <t>COMMON</t>
        </is>
      </c>
      <c r="C10" s="2" t="inlineStr">
        <is>
          <t>Bearings, sliding interfaces and guides — delivery/readiness</t>
        </is>
      </c>
      <c r="D10" s="2" t="n">
        <v>35</v>
      </c>
      <c r="E10" s="2" t="inlineStr">
        <is>
          <t>ALL</t>
        </is>
      </c>
      <c r="F10" s="2" t="inlineStr">
        <is>
          <t>R-BEAR</t>
        </is>
      </c>
      <c r="G10" s="2" t="inlineStr"/>
      <c r="H10" s="2" t="inlineStr">
        <is>
          <t>Engineering</t>
        </is>
      </c>
      <c r="I10" s="2" t="inlineStr">
        <is>
          <t>2027-01-16</t>
        </is>
      </c>
      <c r="J10" s="2" t="inlineStr">
        <is>
          <t>2027-02-20</t>
        </is>
      </c>
      <c r="K10" s="2" t="inlineStr">
        <is>
          <t>2027-11-26</t>
        </is>
      </c>
      <c r="L10" s="2" t="inlineStr">
        <is>
          <t>2027-12-31</t>
        </is>
      </c>
      <c r="M10" s="2" t="n">
        <v>314</v>
      </c>
      <c r="N10" s="2" t="inlineStr">
        <is>
          <t>Unverified vendor/service lead-time allowance; no quote or commitment</t>
        </is>
      </c>
      <c r="O10" s="2" t="inlineStr">
        <is>
          <t>PROPOSED / NOT APPROVED</t>
        </is>
      </c>
    </row>
    <row r="11">
      <c r="A11" s="2" t="inlineStr">
        <is>
          <t>P-GRAT</t>
        </is>
      </c>
      <c r="B11" s="2" t="inlineStr">
        <is>
          <t>COMMON</t>
        </is>
      </c>
      <c r="C11" s="2" t="inlineStr">
        <is>
          <t>Grating, handrail and GI sheet supply — requisition/technical scope</t>
        </is>
      </c>
      <c r="D11" s="2" t="n">
        <v>5</v>
      </c>
      <c r="E11" s="2" t="inlineStr">
        <is>
          <t>OFFICE</t>
        </is>
      </c>
      <c r="F11" s="2" t="inlineStr">
        <is>
          <t>G05</t>
        </is>
      </c>
      <c r="G11" s="2" t="inlineStr"/>
      <c r="H11" s="2" t="inlineStr">
        <is>
          <t>Procurement</t>
        </is>
      </c>
      <c r="I11" s="2" t="inlineStr">
        <is>
          <t>2026-12-28</t>
        </is>
      </c>
      <c r="J11" s="2" t="inlineStr">
        <is>
          <t>2027-01-02</t>
        </is>
      </c>
      <c r="K11" s="2" t="inlineStr">
        <is>
          <t>2027-11-05</t>
        </is>
      </c>
      <c r="L11" s="2" t="inlineStr">
        <is>
          <t>2027-11-12</t>
        </is>
      </c>
      <c r="M11" s="2" t="n">
        <v>312</v>
      </c>
      <c r="N11" s="2" t="inlineStr">
        <is>
          <t>Proposed allowance; replace with verified inputs</t>
        </is>
      </c>
      <c r="O11" s="2" t="inlineStr">
        <is>
          <t>PROPOSED / NOT APPROVED</t>
        </is>
      </c>
    </row>
    <row r="12">
      <c r="A12" s="2" t="inlineStr">
        <is>
          <t>R-GRAT</t>
        </is>
      </c>
      <c r="B12" s="2" t="inlineStr">
        <is>
          <t>COMMON</t>
        </is>
      </c>
      <c r="C12" s="2" t="inlineStr">
        <is>
          <t>Grating, handrail and GI sheet supply — bid/PS review allowance</t>
        </is>
      </c>
      <c r="D12" s="2" t="n">
        <v>10</v>
      </c>
      <c r="E12" s="2" t="inlineStr">
        <is>
          <t>OFFICE</t>
        </is>
      </c>
      <c r="F12" s="2" t="inlineStr">
        <is>
          <t>P-GRAT</t>
        </is>
      </c>
      <c r="G12" s="2" t="inlineStr"/>
      <c r="H12" s="2" t="inlineStr">
        <is>
          <t>Procurement</t>
        </is>
      </c>
      <c r="I12" s="2" t="inlineStr">
        <is>
          <t>2027-01-04</t>
        </is>
      </c>
      <c r="J12" s="2" t="inlineStr">
        <is>
          <t>2027-01-16</t>
        </is>
      </c>
      <c r="K12" s="2" t="inlineStr">
        <is>
          <t>2027-11-12</t>
        </is>
      </c>
      <c r="L12" s="2" t="inlineStr">
        <is>
          <t>2027-11-26</t>
        </is>
      </c>
      <c r="M12" s="2" t="n">
        <v>312</v>
      </c>
      <c r="N12" s="2" t="inlineStr">
        <is>
          <t>Proposed allowance; replace with verified inputs</t>
        </is>
      </c>
      <c r="O12" s="2" t="inlineStr">
        <is>
          <t>PROPOSED / NOT APPROVED</t>
        </is>
      </c>
    </row>
    <row r="13">
      <c r="A13" s="2" t="inlineStr">
        <is>
          <t>D-GRAT</t>
        </is>
      </c>
      <c r="B13" s="2" t="inlineStr">
        <is>
          <t>COMMON</t>
        </is>
      </c>
      <c r="C13" s="2" t="inlineStr">
        <is>
          <t>Grating, handrail and GI sheet supply — delivery/readiness</t>
        </is>
      </c>
      <c r="D13" s="2" t="n">
        <v>35</v>
      </c>
      <c r="E13" s="2" t="inlineStr">
        <is>
          <t>ALL</t>
        </is>
      </c>
      <c r="F13" s="2" t="inlineStr">
        <is>
          <t>R-GRAT</t>
        </is>
      </c>
      <c r="G13" s="2" t="inlineStr"/>
      <c r="H13" s="2" t="inlineStr">
        <is>
          <t>Procurement</t>
        </is>
      </c>
      <c r="I13" s="2" t="inlineStr">
        <is>
          <t>2027-01-16</t>
        </is>
      </c>
      <c r="J13" s="2" t="inlineStr">
        <is>
          <t>2027-02-20</t>
        </is>
      </c>
      <c r="K13" s="2" t="inlineStr">
        <is>
          <t>2027-11-26</t>
        </is>
      </c>
      <c r="L13" s="2" t="inlineStr">
        <is>
          <t>2027-12-31</t>
        </is>
      </c>
      <c r="M13" s="2" t="n">
        <v>314</v>
      </c>
      <c r="N13" s="2" t="inlineStr">
        <is>
          <t>Unverified vendor/service lead-time allowance; no quote or commitment</t>
        </is>
      </c>
      <c r="O13" s="2" t="inlineStr">
        <is>
          <t>PROPOSED / NOT APPROVED</t>
        </is>
      </c>
    </row>
    <row r="14">
      <c r="A14" s="2" t="inlineStr">
        <is>
          <t>P-PIPE</t>
        </is>
      </c>
      <c r="B14" s="2" t="inlineStr">
        <is>
          <t>COMMON</t>
        </is>
      </c>
      <c r="C14" s="2" t="inlineStr">
        <is>
          <t>Piping tie-ins, fittings and supports — requisition/technical scope</t>
        </is>
      </c>
      <c r="D14" s="2" t="n">
        <v>5</v>
      </c>
      <c r="E14" s="2" t="inlineStr">
        <is>
          <t>OFFICE</t>
        </is>
      </c>
      <c r="F14" s="2" t="inlineStr">
        <is>
          <t>G05</t>
        </is>
      </c>
      <c r="G14" s="2" t="inlineStr"/>
      <c r="H14" s="2" t="inlineStr">
        <is>
          <t>Piping</t>
        </is>
      </c>
      <c r="I14" s="2" t="inlineStr">
        <is>
          <t>2026-12-28</t>
        </is>
      </c>
      <c r="J14" s="2" t="inlineStr">
        <is>
          <t>2027-01-02</t>
        </is>
      </c>
      <c r="K14" s="2" t="inlineStr">
        <is>
          <t>2027-11-09</t>
        </is>
      </c>
      <c r="L14" s="2" t="inlineStr">
        <is>
          <t>2027-11-16</t>
        </is>
      </c>
      <c r="M14" s="2" t="n">
        <v>316</v>
      </c>
      <c r="N14" s="2" t="inlineStr">
        <is>
          <t>Proposed allowance; replace with verified inputs</t>
        </is>
      </c>
      <c r="O14" s="2" t="inlineStr">
        <is>
          <t>PROPOSED / NOT APPROVED</t>
        </is>
      </c>
    </row>
    <row r="15">
      <c r="A15" s="2" t="inlineStr">
        <is>
          <t>R-PIPE</t>
        </is>
      </c>
      <c r="B15" s="2" t="inlineStr">
        <is>
          <t>COMMON</t>
        </is>
      </c>
      <c r="C15" s="2" t="inlineStr">
        <is>
          <t>Piping tie-ins, fittings and supports — bid/PS review allowance</t>
        </is>
      </c>
      <c r="D15" s="2" t="n">
        <v>10</v>
      </c>
      <c r="E15" s="2" t="inlineStr">
        <is>
          <t>OFFICE</t>
        </is>
      </c>
      <c r="F15" s="2" t="inlineStr">
        <is>
          <t>P-PIPE</t>
        </is>
      </c>
      <c r="G15" s="2" t="inlineStr"/>
      <c r="H15" s="2" t="inlineStr">
        <is>
          <t>Piping</t>
        </is>
      </c>
      <c r="I15" s="2" t="inlineStr">
        <is>
          <t>2027-01-04</t>
        </is>
      </c>
      <c r="J15" s="2" t="inlineStr">
        <is>
          <t>2027-01-16</t>
        </is>
      </c>
      <c r="K15" s="2" t="inlineStr">
        <is>
          <t>2027-11-16</t>
        </is>
      </c>
      <c r="L15" s="2" t="inlineStr">
        <is>
          <t>2027-11-30</t>
        </is>
      </c>
      <c r="M15" s="2" t="n">
        <v>316</v>
      </c>
      <c r="N15" s="2" t="inlineStr">
        <is>
          <t>Proposed allowance; replace with verified inputs</t>
        </is>
      </c>
      <c r="O15" s="2" t="inlineStr">
        <is>
          <t>PROPOSED / NOT APPROVED</t>
        </is>
      </c>
    </row>
    <row r="16">
      <c r="A16" s="2" t="inlineStr">
        <is>
          <t>D-PIPE</t>
        </is>
      </c>
      <c r="B16" s="2" t="inlineStr">
        <is>
          <t>COMMON</t>
        </is>
      </c>
      <c r="C16" s="2" t="inlineStr">
        <is>
          <t>Piping tie-ins, fittings and supports — delivery/readiness</t>
        </is>
      </c>
      <c r="D16" s="2" t="n">
        <v>45</v>
      </c>
      <c r="E16" s="2" t="inlineStr">
        <is>
          <t>ALL</t>
        </is>
      </c>
      <c r="F16" s="2" t="inlineStr">
        <is>
          <t>R-PIPE</t>
        </is>
      </c>
      <c r="G16" s="2" t="inlineStr"/>
      <c r="H16" s="2" t="inlineStr">
        <is>
          <t>Piping</t>
        </is>
      </c>
      <c r="I16" s="2" t="inlineStr">
        <is>
          <t>2027-01-16</t>
        </is>
      </c>
      <c r="J16" s="2" t="inlineStr">
        <is>
          <t>2027-03-02</t>
        </is>
      </c>
      <c r="K16" s="2" t="inlineStr">
        <is>
          <t>2027-11-30</t>
        </is>
      </c>
      <c r="L16" s="2" t="inlineStr">
        <is>
          <t>2028-01-14</t>
        </is>
      </c>
      <c r="M16" s="2" t="n">
        <v>318</v>
      </c>
      <c r="N16" s="2" t="inlineStr">
        <is>
          <t>Unverified vendor/service lead-time allowance; no quote or commitment</t>
        </is>
      </c>
      <c r="O16" s="2" t="inlineStr">
        <is>
          <t>PROPOSED / NOT APPROVED</t>
        </is>
      </c>
    </row>
    <row r="17">
      <c r="A17" s="2" t="inlineStr">
        <is>
          <t>P-ELEC</t>
        </is>
      </c>
      <c r="B17" s="2" t="inlineStr">
        <is>
          <t>COMMON</t>
        </is>
      </c>
      <c r="C17" s="2" t="inlineStr">
        <is>
          <t>Electrical materials and bonding — requisition/technical scope</t>
        </is>
      </c>
      <c r="D17" s="2" t="n">
        <v>5</v>
      </c>
      <c r="E17" s="2" t="inlineStr">
        <is>
          <t>OFFICE</t>
        </is>
      </c>
      <c r="F17" s="2" t="inlineStr">
        <is>
          <t>G05</t>
        </is>
      </c>
      <c r="G17" s="2" t="inlineStr"/>
      <c r="H17" s="2" t="inlineStr">
        <is>
          <t>Electrical</t>
        </is>
      </c>
      <c r="I17" s="2" t="inlineStr">
        <is>
          <t>2026-12-28</t>
        </is>
      </c>
      <c r="J17" s="2" t="inlineStr">
        <is>
          <t>2027-01-02</t>
        </is>
      </c>
      <c r="K17" s="2" t="inlineStr">
        <is>
          <t>2027-11-15</t>
        </is>
      </c>
      <c r="L17" s="2" t="inlineStr">
        <is>
          <t>2027-11-22</t>
        </is>
      </c>
      <c r="M17" s="2" t="n">
        <v>322</v>
      </c>
      <c r="N17" s="2" t="inlineStr">
        <is>
          <t>Proposed allowance; replace with verified inputs</t>
        </is>
      </c>
      <c r="O17" s="2" t="inlineStr">
        <is>
          <t>PROPOSED / NOT APPROVED</t>
        </is>
      </c>
    </row>
    <row r="18">
      <c r="A18" s="2" t="inlineStr">
        <is>
          <t>R-ELEC</t>
        </is>
      </c>
      <c r="B18" s="2" t="inlineStr">
        <is>
          <t>COMMON</t>
        </is>
      </c>
      <c r="C18" s="2" t="inlineStr">
        <is>
          <t>Electrical materials and bonding — bid/PS review allowance</t>
        </is>
      </c>
      <c r="D18" s="2" t="n">
        <v>10</v>
      </c>
      <c r="E18" s="2" t="inlineStr">
        <is>
          <t>OFFICE</t>
        </is>
      </c>
      <c r="F18" s="2" t="inlineStr">
        <is>
          <t>P-ELEC</t>
        </is>
      </c>
      <c r="G18" s="2" t="inlineStr"/>
      <c r="H18" s="2" t="inlineStr">
        <is>
          <t>Electrical</t>
        </is>
      </c>
      <c r="I18" s="2" t="inlineStr">
        <is>
          <t>2027-01-04</t>
        </is>
      </c>
      <c r="J18" s="2" t="inlineStr">
        <is>
          <t>2027-01-16</t>
        </is>
      </c>
      <c r="K18" s="2" t="inlineStr">
        <is>
          <t>2027-11-22</t>
        </is>
      </c>
      <c r="L18" s="2" t="inlineStr">
        <is>
          <t>2027-12-05</t>
        </is>
      </c>
      <c r="M18" s="2" t="n">
        <v>322</v>
      </c>
      <c r="N18" s="2" t="inlineStr">
        <is>
          <t>Proposed allowance; replace with verified inputs</t>
        </is>
      </c>
      <c r="O18" s="2" t="inlineStr">
        <is>
          <t>PROPOSED / NOT APPROVED</t>
        </is>
      </c>
    </row>
    <row r="19">
      <c r="A19" s="2" t="inlineStr">
        <is>
          <t>D-ELEC</t>
        </is>
      </c>
      <c r="B19" s="2" t="inlineStr">
        <is>
          <t>COMMON</t>
        </is>
      </c>
      <c r="C19" s="2" t="inlineStr">
        <is>
          <t>Electrical materials and bonding — delivery/readiness</t>
        </is>
      </c>
      <c r="D19" s="2" t="n">
        <v>40</v>
      </c>
      <c r="E19" s="2" t="inlineStr">
        <is>
          <t>ALL</t>
        </is>
      </c>
      <c r="F19" s="2" t="inlineStr">
        <is>
          <t>R-ELEC</t>
        </is>
      </c>
      <c r="G19" s="2" t="inlineStr"/>
      <c r="H19" s="2" t="inlineStr">
        <is>
          <t>Electrical</t>
        </is>
      </c>
      <c r="I19" s="2" t="inlineStr">
        <is>
          <t>2027-01-16</t>
        </is>
      </c>
      <c r="J19" s="2" t="inlineStr">
        <is>
          <t>2027-02-25</t>
        </is>
      </c>
      <c r="K19" s="2" t="inlineStr">
        <is>
          <t>2027-12-05</t>
        </is>
      </c>
      <c r="L19" s="2" t="inlineStr">
        <is>
          <t>2028-01-14</t>
        </is>
      </c>
      <c r="M19" s="2" t="n">
        <v>323</v>
      </c>
      <c r="N19" s="2" t="inlineStr">
        <is>
          <t>Unverified vendor/service lead-time allowance; no quote or commitment</t>
        </is>
      </c>
      <c r="O19" s="2" t="inlineStr">
        <is>
          <t>PROPOSED / NOT APPROVED</t>
        </is>
      </c>
    </row>
    <row r="20">
      <c r="A20" s="2" t="inlineStr">
        <is>
          <t>P-INST</t>
        </is>
      </c>
      <c r="B20" s="2" t="inlineStr">
        <is>
          <t>COMMON</t>
        </is>
      </c>
      <c r="C20" s="2" t="inlineStr">
        <is>
          <t>Instrumentation/cable interface materials — requisition/technical scope</t>
        </is>
      </c>
      <c r="D20" s="2" t="n">
        <v>5</v>
      </c>
      <c r="E20" s="2" t="inlineStr">
        <is>
          <t>OFFICE</t>
        </is>
      </c>
      <c r="F20" s="2" t="inlineStr">
        <is>
          <t>G05</t>
        </is>
      </c>
      <c r="G20" s="2" t="inlineStr"/>
      <c r="H20" s="2" t="inlineStr">
        <is>
          <t>Instrumentation</t>
        </is>
      </c>
      <c r="I20" s="2" t="inlineStr">
        <is>
          <t>2026-12-28</t>
        </is>
      </c>
      <c r="J20" s="2" t="inlineStr">
        <is>
          <t>2027-01-02</t>
        </is>
      </c>
      <c r="K20" s="2" t="inlineStr">
        <is>
          <t>2027-11-15</t>
        </is>
      </c>
      <c r="L20" s="2" t="inlineStr">
        <is>
          <t>2027-11-22</t>
        </is>
      </c>
      <c r="M20" s="2" t="n">
        <v>322</v>
      </c>
      <c r="N20" s="2" t="inlineStr">
        <is>
          <t>Proposed allowance; replace with verified inputs</t>
        </is>
      </c>
      <c r="O20" s="2" t="inlineStr">
        <is>
          <t>PROPOSED / NOT APPROVED</t>
        </is>
      </c>
    </row>
    <row r="21">
      <c r="A21" s="2" t="inlineStr">
        <is>
          <t>R-INST</t>
        </is>
      </c>
      <c r="B21" s="2" t="inlineStr">
        <is>
          <t>COMMON</t>
        </is>
      </c>
      <c r="C21" s="2" t="inlineStr">
        <is>
          <t>Instrumentation/cable interface materials — bid/PS review allowance</t>
        </is>
      </c>
      <c r="D21" s="2" t="n">
        <v>10</v>
      </c>
      <c r="E21" s="2" t="inlineStr">
        <is>
          <t>OFFICE</t>
        </is>
      </c>
      <c r="F21" s="2" t="inlineStr">
        <is>
          <t>P-INST</t>
        </is>
      </c>
      <c r="G21" s="2" t="inlineStr"/>
      <c r="H21" s="2" t="inlineStr">
        <is>
          <t>Instrumentation</t>
        </is>
      </c>
      <c r="I21" s="2" t="inlineStr">
        <is>
          <t>2027-01-04</t>
        </is>
      </c>
      <c r="J21" s="2" t="inlineStr">
        <is>
          <t>2027-01-16</t>
        </is>
      </c>
      <c r="K21" s="2" t="inlineStr">
        <is>
          <t>2027-11-22</t>
        </is>
      </c>
      <c r="L21" s="2" t="inlineStr">
        <is>
          <t>2027-12-05</t>
        </is>
      </c>
      <c r="M21" s="2" t="n">
        <v>322</v>
      </c>
      <c r="N21" s="2" t="inlineStr">
        <is>
          <t>Proposed allowance; replace with verified inputs</t>
        </is>
      </c>
      <c r="O21" s="2" t="inlineStr">
        <is>
          <t>PROPOSED / NOT APPROVED</t>
        </is>
      </c>
    </row>
    <row r="22">
      <c r="A22" s="2" t="inlineStr">
        <is>
          <t>D-INST</t>
        </is>
      </c>
      <c r="B22" s="2" t="inlineStr">
        <is>
          <t>COMMON</t>
        </is>
      </c>
      <c r="C22" s="2" t="inlineStr">
        <is>
          <t>Instrumentation/cable interface materials — delivery/readiness</t>
        </is>
      </c>
      <c r="D22" s="2" t="n">
        <v>40</v>
      </c>
      <c r="E22" s="2" t="inlineStr">
        <is>
          <t>ALL</t>
        </is>
      </c>
      <c r="F22" s="2" t="inlineStr">
        <is>
          <t>R-INST</t>
        </is>
      </c>
      <c r="G22" s="2" t="inlineStr"/>
      <c r="H22" s="2" t="inlineStr">
        <is>
          <t>Instrumentation</t>
        </is>
      </c>
      <c r="I22" s="2" t="inlineStr">
        <is>
          <t>2027-01-16</t>
        </is>
      </c>
      <c r="J22" s="2" t="inlineStr">
        <is>
          <t>2027-02-25</t>
        </is>
      </c>
      <c r="K22" s="2" t="inlineStr">
        <is>
          <t>2027-12-05</t>
        </is>
      </c>
      <c r="L22" s="2" t="inlineStr">
        <is>
          <t>2028-01-14</t>
        </is>
      </c>
      <c r="M22" s="2" t="n">
        <v>323</v>
      </c>
      <c r="N22" s="2" t="inlineStr">
        <is>
          <t>Unverified vendor/service lead-time allowance; no quote or commitment</t>
        </is>
      </c>
      <c r="O22" s="2" t="inlineStr">
        <is>
          <t>PROPOSED / NOT APPROVED</t>
        </is>
      </c>
    </row>
    <row r="23">
      <c r="A23" s="2" t="inlineStr">
        <is>
          <t>P-COAT</t>
        </is>
      </c>
      <c r="B23" s="2" t="inlineStr">
        <is>
          <t>COMMON</t>
        </is>
      </c>
      <c r="C23" s="2" t="inlineStr">
        <is>
          <t>Qualified coating system supply — requisition/technical scope</t>
        </is>
      </c>
      <c r="D23" s="2" t="n">
        <v>5</v>
      </c>
      <c r="E23" s="2" t="inlineStr">
        <is>
          <t>OFFICE</t>
        </is>
      </c>
      <c r="F23" s="2" t="inlineStr">
        <is>
          <t>G05</t>
        </is>
      </c>
      <c r="G23" s="2" t="inlineStr"/>
      <c r="H23" s="2" t="inlineStr">
        <is>
          <t>Coating</t>
        </is>
      </c>
      <c r="I23" s="2" t="inlineStr">
        <is>
          <t>2026-12-28</t>
        </is>
      </c>
      <c r="J23" s="2" t="inlineStr">
        <is>
          <t>2027-01-02</t>
        </is>
      </c>
      <c r="K23" s="2" t="inlineStr">
        <is>
          <t>2027-08-09</t>
        </is>
      </c>
      <c r="L23" s="2" t="inlineStr">
        <is>
          <t>2027-08-16</t>
        </is>
      </c>
      <c r="M23" s="2" t="n">
        <v>224</v>
      </c>
      <c r="N23" s="2" t="inlineStr">
        <is>
          <t>Proposed allowance; replace with verified inputs</t>
        </is>
      </c>
      <c r="O23" s="2" t="inlineStr">
        <is>
          <t>PROPOSED / NOT APPROVED</t>
        </is>
      </c>
    </row>
    <row r="24">
      <c r="A24" s="2" t="inlineStr">
        <is>
          <t>R-COAT</t>
        </is>
      </c>
      <c r="B24" s="2" t="inlineStr">
        <is>
          <t>COMMON</t>
        </is>
      </c>
      <c r="C24" s="2" t="inlineStr">
        <is>
          <t>Qualified coating system supply — bid/PS review allowance</t>
        </is>
      </c>
      <c r="D24" s="2" t="n">
        <v>10</v>
      </c>
      <c r="E24" s="2" t="inlineStr">
        <is>
          <t>OFFICE</t>
        </is>
      </c>
      <c r="F24" s="2" t="inlineStr">
        <is>
          <t>P-COAT</t>
        </is>
      </c>
      <c r="G24" s="2" t="inlineStr"/>
      <c r="H24" s="2" t="inlineStr">
        <is>
          <t>Coating</t>
        </is>
      </c>
      <c r="I24" s="2" t="inlineStr">
        <is>
          <t>2027-01-04</t>
        </is>
      </c>
      <c r="J24" s="2" t="inlineStr">
        <is>
          <t>2027-01-16</t>
        </is>
      </c>
      <c r="K24" s="2" t="inlineStr">
        <is>
          <t>2027-08-16</t>
        </is>
      </c>
      <c r="L24" s="2" t="inlineStr">
        <is>
          <t>2027-08-29</t>
        </is>
      </c>
      <c r="M24" s="2" t="n">
        <v>224</v>
      </c>
      <c r="N24" s="2" t="inlineStr">
        <is>
          <t>Proposed allowance; replace with verified inputs</t>
        </is>
      </c>
      <c r="O24" s="2" t="inlineStr">
        <is>
          <t>PROPOSED / NOT APPROVED</t>
        </is>
      </c>
    </row>
    <row r="25">
      <c r="A25" s="2" t="inlineStr">
        <is>
          <t>D-COAT</t>
        </is>
      </c>
      <c r="B25" s="2" t="inlineStr">
        <is>
          <t>COMMON</t>
        </is>
      </c>
      <c r="C25" s="2" t="inlineStr">
        <is>
          <t>Qualified coating system supply — delivery/readiness</t>
        </is>
      </c>
      <c r="D25" s="2" t="n">
        <v>25</v>
      </c>
      <c r="E25" s="2" t="inlineStr">
        <is>
          <t>ALL</t>
        </is>
      </c>
      <c r="F25" s="2" t="inlineStr">
        <is>
          <t>R-COAT</t>
        </is>
      </c>
      <c r="G25" s="2" t="inlineStr"/>
      <c r="H25" s="2" t="inlineStr">
        <is>
          <t>Coating</t>
        </is>
      </c>
      <c r="I25" s="2" t="inlineStr">
        <is>
          <t>2027-01-16</t>
        </is>
      </c>
      <c r="J25" s="2" t="inlineStr">
        <is>
          <t>2027-02-10</t>
        </is>
      </c>
      <c r="K25" s="2" t="inlineStr">
        <is>
          <t>2027-08-29</t>
        </is>
      </c>
      <c r="L25" s="2" t="inlineStr">
        <is>
          <t>2027-09-23</t>
        </is>
      </c>
      <c r="M25" s="2" t="n">
        <v>225</v>
      </c>
      <c r="N25" s="2" t="inlineStr">
        <is>
          <t>Unverified vendor/service lead-time allowance; no quote or commitment</t>
        </is>
      </c>
      <c r="O25" s="2" t="inlineStr">
        <is>
          <t>PROPOSED / NOT APPROVED</t>
        </is>
      </c>
    </row>
    <row r="26">
      <c r="A26" s="2" t="inlineStr">
        <is>
          <t>P-NDT</t>
        </is>
      </c>
      <c r="B26" s="2" t="inlineStr">
        <is>
          <t>COMMON</t>
        </is>
      </c>
      <c r="C26" s="2" t="inlineStr">
        <is>
          <t>NDT, welding qualification and consumables — requisition/technical scope</t>
        </is>
      </c>
      <c r="D26" s="2" t="n">
        <v>5</v>
      </c>
      <c r="E26" s="2" t="inlineStr">
        <is>
          <t>OFFICE</t>
        </is>
      </c>
      <c r="F26" s="2" t="inlineStr">
        <is>
          <t>G05</t>
        </is>
      </c>
      <c r="G26" s="2" t="inlineStr"/>
      <c r="H26" s="2" t="inlineStr">
        <is>
          <t>QA</t>
        </is>
      </c>
      <c r="I26" s="2" t="inlineStr">
        <is>
          <t>2026-12-28</t>
        </is>
      </c>
      <c r="J26" s="2" t="inlineStr">
        <is>
          <t>2027-01-02</t>
        </is>
      </c>
      <c r="K26" s="2" t="inlineStr">
        <is>
          <t>2027-04-07</t>
        </is>
      </c>
      <c r="L26" s="2" t="inlineStr">
        <is>
          <t>2027-04-14</t>
        </is>
      </c>
      <c r="M26" s="2" t="n">
        <v>100</v>
      </c>
      <c r="N26" s="2" t="inlineStr">
        <is>
          <t>Proposed allowance; replace with verified inputs</t>
        </is>
      </c>
      <c r="O26" s="2" t="inlineStr">
        <is>
          <t>PROPOSED / NOT APPROVED</t>
        </is>
      </c>
    </row>
    <row r="27">
      <c r="A27" s="2" t="inlineStr">
        <is>
          <t>R-NDT</t>
        </is>
      </c>
      <c r="B27" s="2" t="inlineStr">
        <is>
          <t>COMMON</t>
        </is>
      </c>
      <c r="C27" s="2" t="inlineStr">
        <is>
          <t>NDT, welding qualification and consumables — bid/PS review allowance</t>
        </is>
      </c>
      <c r="D27" s="2" t="n">
        <v>10</v>
      </c>
      <c r="E27" s="2" t="inlineStr">
        <is>
          <t>OFFICE</t>
        </is>
      </c>
      <c r="F27" s="2" t="inlineStr">
        <is>
          <t>P-NDT</t>
        </is>
      </c>
      <c r="G27" s="2" t="inlineStr"/>
      <c r="H27" s="2" t="inlineStr">
        <is>
          <t>QA</t>
        </is>
      </c>
      <c r="I27" s="2" t="inlineStr">
        <is>
          <t>2027-01-04</t>
        </is>
      </c>
      <c r="J27" s="2" t="inlineStr">
        <is>
          <t>2027-01-16</t>
        </is>
      </c>
      <c r="K27" s="2" t="inlineStr">
        <is>
          <t>2027-04-14</t>
        </is>
      </c>
      <c r="L27" s="2" t="inlineStr">
        <is>
          <t>2027-04-28</t>
        </is>
      </c>
      <c r="M27" s="2" t="n">
        <v>100</v>
      </c>
      <c r="N27" s="2" t="inlineStr">
        <is>
          <t>Proposed allowance; replace with verified inputs</t>
        </is>
      </c>
      <c r="O27" s="2" t="inlineStr">
        <is>
          <t>PROPOSED / NOT APPROVED</t>
        </is>
      </c>
    </row>
    <row r="28">
      <c r="A28" s="2" t="inlineStr">
        <is>
          <t>D-NDT</t>
        </is>
      </c>
      <c r="B28" s="2" t="inlineStr">
        <is>
          <t>COMMON</t>
        </is>
      </c>
      <c r="C28" s="2" t="inlineStr">
        <is>
          <t>NDT, welding qualification and consumables — delivery/readiness</t>
        </is>
      </c>
      <c r="D28" s="2" t="n">
        <v>20</v>
      </c>
      <c r="E28" s="2" t="inlineStr">
        <is>
          <t>ALL</t>
        </is>
      </c>
      <c r="F28" s="2" t="inlineStr">
        <is>
          <t>R-NDT</t>
        </is>
      </c>
      <c r="G28" s="2" t="inlineStr"/>
      <c r="H28" s="2" t="inlineStr">
        <is>
          <t>QA</t>
        </is>
      </c>
      <c r="I28" s="2" t="inlineStr">
        <is>
          <t>2027-01-16</t>
        </is>
      </c>
      <c r="J28" s="2" t="inlineStr">
        <is>
          <t>2027-02-05</t>
        </is>
      </c>
      <c r="K28" s="2" t="inlineStr">
        <is>
          <t>2027-04-28</t>
        </is>
      </c>
      <c r="L28" s="2" t="inlineStr">
        <is>
          <t>2027-05-18</t>
        </is>
      </c>
      <c r="M28" s="2" t="n">
        <v>102</v>
      </c>
      <c r="N28" s="2" t="inlineStr">
        <is>
          <t>Unverified vendor/service lead-time allowance; no quote or commitment</t>
        </is>
      </c>
      <c r="O28" s="2" t="inlineStr">
        <is>
          <t>PROPOSED / NOT APPROVED</t>
        </is>
      </c>
    </row>
    <row r="29">
      <c r="A29" s="2" t="inlineStr">
        <is>
          <t>P-MAR</t>
        </is>
      </c>
      <c r="B29" s="2" t="inlineStr">
        <is>
          <t>COMMON</t>
        </is>
      </c>
      <c r="C29" s="2" t="inlineStr">
        <is>
          <t>Heavy-lift and accommodation spread readiness — requisition/technical scope</t>
        </is>
      </c>
      <c r="D29" s="2" t="n">
        <v>5</v>
      </c>
      <c r="E29" s="2" t="inlineStr">
        <is>
          <t>OFFICE</t>
        </is>
      </c>
      <c r="F29" s="2" t="inlineStr">
        <is>
          <t>G05</t>
        </is>
      </c>
      <c r="G29" s="2" t="inlineStr"/>
      <c r="H29" s="2" t="inlineStr">
        <is>
          <t>Marine</t>
        </is>
      </c>
      <c r="I29" s="2" t="inlineStr">
        <is>
          <t>2026-12-28</t>
        </is>
      </c>
      <c r="J29" s="2" t="inlineStr">
        <is>
          <t>2027-01-02</t>
        </is>
      </c>
      <c r="K29" s="2" t="inlineStr">
        <is>
          <t>2027-10-26</t>
        </is>
      </c>
      <c r="L29" s="2" t="inlineStr">
        <is>
          <t>2027-11-02</t>
        </is>
      </c>
      <c r="M29" s="2" t="n">
        <v>302</v>
      </c>
      <c r="N29" s="2" t="inlineStr">
        <is>
          <t>Proposed allowance; replace with verified inputs</t>
        </is>
      </c>
      <c r="O29" s="2" t="inlineStr">
        <is>
          <t>PROPOSED / NOT APPROVED</t>
        </is>
      </c>
    </row>
    <row r="30">
      <c r="A30" s="2" t="inlineStr">
        <is>
          <t>R-MAR</t>
        </is>
      </c>
      <c r="B30" s="2" t="inlineStr">
        <is>
          <t>COMMON</t>
        </is>
      </c>
      <c r="C30" s="2" t="inlineStr">
        <is>
          <t>Heavy-lift and accommodation spread readiness — bid/PS review allowance</t>
        </is>
      </c>
      <c r="D30" s="2" t="n">
        <v>10</v>
      </c>
      <c r="E30" s="2" t="inlineStr">
        <is>
          <t>OFFICE</t>
        </is>
      </c>
      <c r="F30" s="2" t="inlineStr">
        <is>
          <t>P-MAR</t>
        </is>
      </c>
      <c r="G30" s="2" t="inlineStr"/>
      <c r="H30" s="2" t="inlineStr">
        <is>
          <t>Marine</t>
        </is>
      </c>
      <c r="I30" s="2" t="inlineStr">
        <is>
          <t>2027-01-04</t>
        </is>
      </c>
      <c r="J30" s="2" t="inlineStr">
        <is>
          <t>2027-01-16</t>
        </is>
      </c>
      <c r="K30" s="2" t="inlineStr">
        <is>
          <t>2027-11-02</t>
        </is>
      </c>
      <c r="L30" s="2" t="inlineStr">
        <is>
          <t>2027-11-16</t>
        </is>
      </c>
      <c r="M30" s="2" t="n">
        <v>302</v>
      </c>
      <c r="N30" s="2" t="inlineStr">
        <is>
          <t>Proposed allowance; replace with verified inputs</t>
        </is>
      </c>
      <c r="O30" s="2" t="inlineStr">
        <is>
          <t>PROPOSED / NOT APPROVED</t>
        </is>
      </c>
    </row>
    <row r="31">
      <c r="A31" s="2" t="inlineStr">
        <is>
          <t>D-MAR</t>
        </is>
      </c>
      <c r="B31" s="2" t="inlineStr">
        <is>
          <t>COMMON</t>
        </is>
      </c>
      <c r="C31" s="2" t="inlineStr">
        <is>
          <t>Heavy-lift and accommodation spread readiness — delivery/readiness</t>
        </is>
      </c>
      <c r="D31" s="2" t="n">
        <v>45</v>
      </c>
      <c r="E31" s="2" t="inlineStr">
        <is>
          <t>ALL</t>
        </is>
      </c>
      <c r="F31" s="2" t="inlineStr">
        <is>
          <t>R-MAR</t>
        </is>
      </c>
      <c r="G31" s="2" t="inlineStr"/>
      <c r="H31" s="2" t="inlineStr">
        <is>
          <t>Marine</t>
        </is>
      </c>
      <c r="I31" s="2" t="inlineStr">
        <is>
          <t>2027-01-16</t>
        </is>
      </c>
      <c r="J31" s="2" t="inlineStr">
        <is>
          <t>2027-03-02</t>
        </is>
      </c>
      <c r="K31" s="2" t="inlineStr">
        <is>
          <t>2027-11-16</t>
        </is>
      </c>
      <c r="L31" s="2" t="inlineStr">
        <is>
          <t>2027-12-31</t>
        </is>
      </c>
      <c r="M31" s="2" t="n">
        <v>304</v>
      </c>
      <c r="N31" s="2" t="inlineStr">
        <is>
          <t>Unverified vendor/service lead-time allowance; no quote or commitment</t>
        </is>
      </c>
      <c r="O31" s="2" t="inlineStr">
        <is>
          <t>PROPOSED / NOT APPROVED</t>
        </is>
      </c>
    </row>
    <row r="32">
      <c r="A32" s="2" t="inlineStr">
        <is>
          <t>P-CARGO</t>
        </is>
      </c>
      <c r="B32" s="2" t="inlineStr">
        <is>
          <t>COMMON</t>
        </is>
      </c>
      <c r="C32" s="2" t="inlineStr">
        <is>
          <t>Cargo vessel and shore-base readiness — requisition/technical scope</t>
        </is>
      </c>
      <c r="D32" s="2" t="n">
        <v>5</v>
      </c>
      <c r="E32" s="2" t="inlineStr">
        <is>
          <t>OFFICE</t>
        </is>
      </c>
      <c r="F32" s="2" t="inlineStr">
        <is>
          <t>G05</t>
        </is>
      </c>
      <c r="G32" s="2" t="inlineStr"/>
      <c r="H32" s="2" t="inlineStr">
        <is>
          <t>Logistics</t>
        </is>
      </c>
      <c r="I32" s="2" t="inlineStr">
        <is>
          <t>2026-12-28</t>
        </is>
      </c>
      <c r="J32" s="2" t="inlineStr">
        <is>
          <t>2027-01-02</t>
        </is>
      </c>
      <c r="K32" s="2" t="inlineStr">
        <is>
          <t>2027-10-11</t>
        </is>
      </c>
      <c r="L32" s="2" t="inlineStr">
        <is>
          <t>2027-10-18</t>
        </is>
      </c>
      <c r="M32" s="2" t="n">
        <v>287</v>
      </c>
      <c r="N32" s="2" t="inlineStr">
        <is>
          <t>Proposed allowance; replace with verified inputs</t>
        </is>
      </c>
      <c r="O32" s="2" t="inlineStr">
        <is>
          <t>PROPOSED / NOT APPROVED</t>
        </is>
      </c>
    </row>
    <row r="33">
      <c r="A33" s="2" t="inlineStr">
        <is>
          <t>R-CARGO</t>
        </is>
      </c>
      <c r="B33" s="2" t="inlineStr">
        <is>
          <t>COMMON</t>
        </is>
      </c>
      <c r="C33" s="2" t="inlineStr">
        <is>
          <t>Cargo vessel and shore-base readiness — bid/PS review allowance</t>
        </is>
      </c>
      <c r="D33" s="2" t="n">
        <v>10</v>
      </c>
      <c r="E33" s="2" t="inlineStr">
        <is>
          <t>OFFICE</t>
        </is>
      </c>
      <c r="F33" s="2" t="inlineStr">
        <is>
          <t>P-CARGO</t>
        </is>
      </c>
      <c r="G33" s="2" t="inlineStr"/>
      <c r="H33" s="2" t="inlineStr">
        <is>
          <t>Logistics</t>
        </is>
      </c>
      <c r="I33" s="2" t="inlineStr">
        <is>
          <t>2027-01-04</t>
        </is>
      </c>
      <c r="J33" s="2" t="inlineStr">
        <is>
          <t>2027-01-16</t>
        </is>
      </c>
      <c r="K33" s="2" t="inlineStr">
        <is>
          <t>2027-10-18</t>
        </is>
      </c>
      <c r="L33" s="2" t="inlineStr">
        <is>
          <t>2027-10-31</t>
        </is>
      </c>
      <c r="M33" s="2" t="n">
        <v>287</v>
      </c>
      <c r="N33" s="2" t="inlineStr">
        <is>
          <t>Proposed allowance; replace with verified inputs</t>
        </is>
      </c>
      <c r="O33" s="2" t="inlineStr">
        <is>
          <t>PROPOSED / NOT APPROVED</t>
        </is>
      </c>
    </row>
    <row r="34">
      <c r="A34" s="2" t="inlineStr">
        <is>
          <t>D-CARGO</t>
        </is>
      </c>
      <c r="B34" s="2" t="inlineStr">
        <is>
          <t>COMMON</t>
        </is>
      </c>
      <c r="C34" s="2" t="inlineStr">
        <is>
          <t>Cargo vessel and shore-base readiness — delivery/readiness</t>
        </is>
      </c>
      <c r="D34" s="2" t="n">
        <v>25</v>
      </c>
      <c r="E34" s="2" t="inlineStr">
        <is>
          <t>ALL</t>
        </is>
      </c>
      <c r="F34" s="2" t="inlineStr">
        <is>
          <t>R-CARGO</t>
        </is>
      </c>
      <c r="G34" s="2" t="inlineStr"/>
      <c r="H34" s="2" t="inlineStr">
        <is>
          <t>Logistics</t>
        </is>
      </c>
      <c r="I34" s="2" t="inlineStr">
        <is>
          <t>2027-01-16</t>
        </is>
      </c>
      <c r="J34" s="2" t="inlineStr">
        <is>
          <t>2027-02-10</t>
        </is>
      </c>
      <c r="K34" s="2" t="inlineStr">
        <is>
          <t>2027-10-31</t>
        </is>
      </c>
      <c r="L34" s="2" t="inlineStr">
        <is>
          <t>2027-11-25</t>
        </is>
      </c>
      <c r="M34" s="2" t="n">
        <v>288</v>
      </c>
      <c r="N34" s="2" t="inlineStr">
        <is>
          <t>Unverified vendor/service lead-time allowance; no quote or commitment</t>
        </is>
      </c>
      <c r="O34" s="2" t="inlineStr">
        <is>
          <t>PROPOSED / NOT APPROVED</t>
        </is>
      </c>
    </row>
    <row r="35">
      <c r="A35" s="2" t="inlineStr">
        <is>
          <t>P-SURV</t>
        </is>
      </c>
      <c r="B35" s="2" t="inlineStr">
        <is>
          <t>COMMON</t>
        </is>
      </c>
      <c r="C35" s="2" t="inlineStr">
        <is>
          <t>Survey services mobilisation — requisition/technical scope</t>
        </is>
      </c>
      <c r="D35" s="2" t="n">
        <v>2</v>
      </c>
      <c r="E35" s="2" t="inlineStr">
        <is>
          <t>OFFICE</t>
        </is>
      </c>
      <c r="F35" s="2" t="inlineStr">
        <is>
          <t>G01</t>
        </is>
      </c>
      <c r="G35" s="2" t="inlineStr"/>
      <c r="H35" s="2" t="inlineStr">
        <is>
          <t>Survey</t>
        </is>
      </c>
      <c r="I35" s="2" t="inlineStr">
        <is>
          <t>2026-11-09</t>
        </is>
      </c>
      <c r="J35" s="2" t="inlineStr">
        <is>
          <t>2026-11-11</t>
        </is>
      </c>
      <c r="K35" s="2" t="inlineStr">
        <is>
          <t>2026-11-10</t>
        </is>
      </c>
      <c r="L35" s="2" t="inlineStr">
        <is>
          <t>2026-11-12</t>
        </is>
      </c>
      <c r="M35" s="2" t="n">
        <v>1</v>
      </c>
      <c r="N35" s="2" t="inlineStr">
        <is>
          <t>Proposed allowance; replace with verified inputs</t>
        </is>
      </c>
      <c r="O35" s="2" t="inlineStr">
        <is>
          <t>PROPOSED / NOT APPROVED</t>
        </is>
      </c>
    </row>
    <row r="36">
      <c r="A36" s="2" t="inlineStr">
        <is>
          <t>R-SURV</t>
        </is>
      </c>
      <c r="B36" s="2" t="inlineStr">
        <is>
          <t>COMMON</t>
        </is>
      </c>
      <c r="C36" s="2" t="inlineStr">
        <is>
          <t>Survey services mobilisation — bid/PS review allowance</t>
        </is>
      </c>
      <c r="D36" s="2" t="n">
        <v>3</v>
      </c>
      <c r="E36" s="2" t="inlineStr">
        <is>
          <t>OFFICE</t>
        </is>
      </c>
      <c r="F36" s="2" t="inlineStr">
        <is>
          <t>P-SURV</t>
        </is>
      </c>
      <c r="G36" s="2" t="inlineStr"/>
      <c r="H36" s="2" t="inlineStr">
        <is>
          <t>Survey</t>
        </is>
      </c>
      <c r="I36" s="2" t="inlineStr">
        <is>
          <t>2026-11-11</t>
        </is>
      </c>
      <c r="J36" s="2" t="inlineStr">
        <is>
          <t>2026-11-14</t>
        </is>
      </c>
      <c r="K36" s="2" t="inlineStr">
        <is>
          <t>2026-11-12</t>
        </is>
      </c>
      <c r="L36" s="2" t="inlineStr">
        <is>
          <t>2026-11-17</t>
        </is>
      </c>
      <c r="M36" s="2" t="n">
        <v>1</v>
      </c>
      <c r="N36" s="2" t="inlineStr">
        <is>
          <t>Proposed allowance; replace with verified inputs</t>
        </is>
      </c>
      <c r="O36" s="2" t="inlineStr">
        <is>
          <t>PROPOSED / NOT APPROVED</t>
        </is>
      </c>
    </row>
    <row r="37">
      <c r="A37" s="2" t="inlineStr">
        <is>
          <t>D-SURV</t>
        </is>
      </c>
      <c r="B37" s="2" t="inlineStr">
        <is>
          <t>COMMON</t>
        </is>
      </c>
      <c r="C37" s="2" t="inlineStr">
        <is>
          <t>Survey services mobilisation — delivery/readiness</t>
        </is>
      </c>
      <c r="D37" s="2" t="n">
        <v>5</v>
      </c>
      <c r="E37" s="2" t="inlineStr">
        <is>
          <t>ALL</t>
        </is>
      </c>
      <c r="F37" s="2" t="inlineStr">
        <is>
          <t>R-SURV</t>
        </is>
      </c>
      <c r="G37" s="2" t="inlineStr"/>
      <c r="H37" s="2" t="inlineStr">
        <is>
          <t>Survey</t>
        </is>
      </c>
      <c r="I37" s="2" t="inlineStr">
        <is>
          <t>2026-11-14</t>
        </is>
      </c>
      <c r="J37" s="2" t="inlineStr">
        <is>
          <t>2026-11-19</t>
        </is>
      </c>
      <c r="K37" s="2" t="inlineStr">
        <is>
          <t>2026-11-17</t>
        </is>
      </c>
      <c r="L37" s="2" t="inlineStr">
        <is>
          <t>2026-11-22</t>
        </is>
      </c>
      <c r="M37" s="2" t="n">
        <v>3</v>
      </c>
      <c r="N37" s="2" t="inlineStr">
        <is>
          <t>Unverified vendor/service lead-time allowance; no quote or commitment</t>
        </is>
      </c>
      <c r="O37" s="2" t="inlineStr">
        <is>
          <t>PROPOSED / NOT APPROVED</t>
        </is>
      </c>
    </row>
    <row r="38">
      <c r="A38" s="2" t="inlineStr">
        <is>
          <t>P-DES</t>
        </is>
      </c>
      <c r="B38" s="2" t="inlineStr">
        <is>
          <t>COMMON</t>
        </is>
      </c>
      <c r="C38" s="2" t="inlineStr">
        <is>
          <t>Design agency capacity confirmation — requisition/technical scope</t>
        </is>
      </c>
      <c r="D38" s="2" t="n">
        <v>5</v>
      </c>
      <c r="E38" s="2" t="inlineStr">
        <is>
          <t>OFFICE</t>
        </is>
      </c>
      <c r="F38" s="2" t="inlineStr">
        <is>
          <t>G01</t>
        </is>
      </c>
      <c r="G38" s="2" t="inlineStr"/>
      <c r="H38" s="2" t="inlineStr">
        <is>
          <t>Engineering</t>
        </is>
      </c>
      <c r="I38" s="2" t="inlineStr">
        <is>
          <t>2026-11-09</t>
        </is>
      </c>
      <c r="J38" s="2" t="inlineStr">
        <is>
          <t>2026-11-14</t>
        </is>
      </c>
      <c r="K38" s="2" t="inlineStr">
        <is>
          <t>2026-11-27</t>
        </is>
      </c>
      <c r="L38" s="2" t="inlineStr">
        <is>
          <t>2026-12-04</t>
        </is>
      </c>
      <c r="M38" s="2" t="n">
        <v>18</v>
      </c>
      <c r="N38" s="2" t="inlineStr">
        <is>
          <t>Proposed allowance; replace with verified inputs</t>
        </is>
      </c>
      <c r="O38" s="2" t="inlineStr">
        <is>
          <t>PROPOSED / NOT APPROVED</t>
        </is>
      </c>
    </row>
    <row r="39">
      <c r="A39" s="2" t="inlineStr">
        <is>
          <t>R-DES</t>
        </is>
      </c>
      <c r="B39" s="2" t="inlineStr">
        <is>
          <t>COMMON</t>
        </is>
      </c>
      <c r="C39" s="2" t="inlineStr">
        <is>
          <t>Design agency capacity confirmation — bid/PS review allowance</t>
        </is>
      </c>
      <c r="D39" s="2" t="n">
        <v>10</v>
      </c>
      <c r="E39" s="2" t="inlineStr">
        <is>
          <t>OFFICE</t>
        </is>
      </c>
      <c r="F39" s="2" t="inlineStr">
        <is>
          <t>P-DES</t>
        </is>
      </c>
      <c r="G39" s="2" t="inlineStr"/>
      <c r="H39" s="2" t="inlineStr">
        <is>
          <t>Engineering</t>
        </is>
      </c>
      <c r="I39" s="2" t="inlineStr">
        <is>
          <t>2026-11-16</t>
        </is>
      </c>
      <c r="J39" s="2" t="inlineStr">
        <is>
          <t>2026-11-28</t>
        </is>
      </c>
      <c r="K39" s="2" t="inlineStr">
        <is>
          <t>2026-12-04</t>
        </is>
      </c>
      <c r="L39" s="2" t="inlineStr">
        <is>
          <t>2026-12-18</t>
        </is>
      </c>
      <c r="M39" s="2" t="n">
        <v>18</v>
      </c>
      <c r="N39" s="2" t="inlineStr">
        <is>
          <t>Proposed allowance; replace with verified inputs</t>
        </is>
      </c>
      <c r="O39" s="2" t="inlineStr">
        <is>
          <t>PROPOSED / NOT APPROVED</t>
        </is>
      </c>
    </row>
    <row r="40">
      <c r="A40" s="2" t="inlineStr">
        <is>
          <t>D-DES</t>
        </is>
      </c>
      <c r="B40" s="2" t="inlineStr">
        <is>
          <t>COMMON</t>
        </is>
      </c>
      <c r="C40" s="2" t="inlineStr">
        <is>
          <t>Design agency capacity confirmation — delivery/readiness</t>
        </is>
      </c>
      <c r="D40" s="2" t="n">
        <v>10</v>
      </c>
      <c r="E40" s="2" t="inlineStr">
        <is>
          <t>ALL</t>
        </is>
      </c>
      <c r="F40" s="2" t="inlineStr">
        <is>
          <t>R-DES</t>
        </is>
      </c>
      <c r="G40" s="2" t="inlineStr"/>
      <c r="H40" s="2" t="inlineStr">
        <is>
          <t>Engineering</t>
        </is>
      </c>
      <c r="I40" s="2" t="inlineStr">
        <is>
          <t>2026-11-28</t>
        </is>
      </c>
      <c r="J40" s="2" t="inlineStr">
        <is>
          <t>2026-12-08</t>
        </is>
      </c>
      <c r="K40" s="2" t="inlineStr">
        <is>
          <t>2026-12-18</t>
        </is>
      </c>
      <c r="L40" s="2" t="inlineStr">
        <is>
          <t>2026-12-28</t>
        </is>
      </c>
      <c r="M40" s="2" t="n">
        <v>20</v>
      </c>
      <c r="N40" s="2" t="inlineStr">
        <is>
          <t>Unverified vendor/service lead-time allowance; no quote or commitment</t>
        </is>
      </c>
      <c r="O40" s="2" t="inlineStr">
        <is>
          <t>PROPOSED / NOT APPROVED</t>
        </is>
      </c>
    </row>
    <row r="41">
      <c r="A41" s="2" t="inlineStr">
        <is>
          <t>P-TPI</t>
        </is>
      </c>
      <c r="B41" s="2" t="inlineStr">
        <is>
          <t>COMMON</t>
        </is>
      </c>
      <c r="C41" s="2" t="inlineStr">
        <is>
          <t>TPI/CA services and audit arrangements — requisition/technical scope</t>
        </is>
      </c>
      <c r="D41" s="2" t="n">
        <v>5</v>
      </c>
      <c r="E41" s="2" t="inlineStr">
        <is>
          <t>OFFICE</t>
        </is>
      </c>
      <c r="F41" s="2" t="inlineStr">
        <is>
          <t>G01</t>
        </is>
      </c>
      <c r="G41" s="2" t="inlineStr"/>
      <c r="H41" s="2" t="inlineStr">
        <is>
          <t>QA</t>
        </is>
      </c>
      <c r="I41" s="2" t="inlineStr">
        <is>
          <t>2026-11-09</t>
        </is>
      </c>
      <c r="J41" s="2" t="inlineStr">
        <is>
          <t>2026-11-14</t>
        </is>
      </c>
      <c r="K41" s="2" t="inlineStr">
        <is>
          <t>2027-04-19</t>
        </is>
      </c>
      <c r="L41" s="2" t="inlineStr">
        <is>
          <t>2027-04-26</t>
        </is>
      </c>
      <c r="M41" s="2" t="n">
        <v>161</v>
      </c>
      <c r="N41" s="2" t="inlineStr">
        <is>
          <t>Proposed allowance; replace with verified inputs</t>
        </is>
      </c>
      <c r="O41" s="2" t="inlineStr">
        <is>
          <t>PROPOSED / NOT APPROVED</t>
        </is>
      </c>
    </row>
    <row r="42">
      <c r="A42" s="2" t="inlineStr">
        <is>
          <t>R-TPI</t>
        </is>
      </c>
      <c r="B42" s="2" t="inlineStr">
        <is>
          <t>COMMON</t>
        </is>
      </c>
      <c r="C42" s="2" t="inlineStr">
        <is>
          <t>TPI/CA services and audit arrangements — bid/PS review allowance</t>
        </is>
      </c>
      <c r="D42" s="2" t="n">
        <v>10</v>
      </c>
      <c r="E42" s="2" t="inlineStr">
        <is>
          <t>OFFICE</t>
        </is>
      </c>
      <c r="F42" s="2" t="inlineStr">
        <is>
          <t>P-TPI</t>
        </is>
      </c>
      <c r="G42" s="2" t="inlineStr"/>
      <c r="H42" s="2" t="inlineStr">
        <is>
          <t>QA</t>
        </is>
      </c>
      <c r="I42" s="2" t="inlineStr">
        <is>
          <t>2026-11-16</t>
        </is>
      </c>
      <c r="J42" s="2" t="inlineStr">
        <is>
          <t>2026-11-28</t>
        </is>
      </c>
      <c r="K42" s="2" t="inlineStr">
        <is>
          <t>2027-04-26</t>
        </is>
      </c>
      <c r="L42" s="2" t="inlineStr">
        <is>
          <t>2027-05-08</t>
        </is>
      </c>
      <c r="M42" s="2" t="n">
        <v>161</v>
      </c>
      <c r="N42" s="2" t="inlineStr">
        <is>
          <t>Proposed allowance; replace with verified inputs</t>
        </is>
      </c>
      <c r="O42" s="2" t="inlineStr">
        <is>
          <t>PROPOSED / NOT APPROVED</t>
        </is>
      </c>
    </row>
    <row r="43">
      <c r="A43" s="2" t="inlineStr">
        <is>
          <t>D-TPI</t>
        </is>
      </c>
      <c r="B43" s="2" t="inlineStr">
        <is>
          <t>COMMON</t>
        </is>
      </c>
      <c r="C43" s="2" t="inlineStr">
        <is>
          <t>TPI/CA services and audit arrangements — delivery/readiness</t>
        </is>
      </c>
      <c r="D43" s="2" t="n">
        <v>10</v>
      </c>
      <c r="E43" s="2" t="inlineStr">
        <is>
          <t>ALL</t>
        </is>
      </c>
      <c r="F43" s="2" t="inlineStr">
        <is>
          <t>R-TPI</t>
        </is>
      </c>
      <c r="G43" s="2" t="inlineStr"/>
      <c r="H43" s="2" t="inlineStr">
        <is>
          <t>QA</t>
        </is>
      </c>
      <c r="I43" s="2" t="inlineStr">
        <is>
          <t>2026-11-28</t>
        </is>
      </c>
      <c r="J43" s="2" t="inlineStr">
        <is>
          <t>2026-12-08</t>
        </is>
      </c>
      <c r="K43" s="2" t="inlineStr">
        <is>
          <t>2027-05-08</t>
        </is>
      </c>
      <c r="L43" s="2" t="inlineStr">
        <is>
          <t>2027-05-18</t>
        </is>
      </c>
      <c r="M43" s="2" t="n">
        <v>161</v>
      </c>
      <c r="N43" s="2" t="inlineStr">
        <is>
          <t>Unverified vendor/service lead-time allowance; no quote or commitment</t>
        </is>
      </c>
      <c r="O43" s="2" t="inlineStr">
        <is>
          <t>PROPOSED / NOT APPROVED</t>
        </is>
      </c>
    </row>
    <row r="44">
      <c r="A44" s="2" t="inlineStr">
        <is>
          <t>P-SCAF</t>
        </is>
      </c>
      <c r="B44" s="2" t="inlineStr">
        <is>
          <t>COMMON</t>
        </is>
      </c>
      <c r="C44" s="2" t="inlineStr">
        <is>
          <t>Scaffolding/access and temporary works supply — requisition/technical scope</t>
        </is>
      </c>
      <c r="D44" s="2" t="n">
        <v>5</v>
      </c>
      <c r="E44" s="2" t="inlineStr">
        <is>
          <t>OFFICE</t>
        </is>
      </c>
      <c r="F44" s="2" t="inlineStr">
        <is>
          <t>G05</t>
        </is>
      </c>
      <c r="G44" s="2" t="inlineStr"/>
      <c r="H44" s="2" t="inlineStr">
        <is>
          <t>Construction</t>
        </is>
      </c>
      <c r="I44" s="2" t="inlineStr">
        <is>
          <t>2026-12-28</t>
        </is>
      </c>
      <c r="J44" s="2" t="inlineStr">
        <is>
          <t>2027-01-02</t>
        </is>
      </c>
      <c r="K44" s="2" t="inlineStr">
        <is>
          <t>2027-10-13</t>
        </is>
      </c>
      <c r="L44" s="2" t="inlineStr">
        <is>
          <t>2027-10-20</t>
        </is>
      </c>
      <c r="M44" s="2" t="n">
        <v>289</v>
      </c>
      <c r="N44" s="2" t="inlineStr">
        <is>
          <t>Proposed allowance; replace with verified inputs</t>
        </is>
      </c>
      <c r="O44" s="2" t="inlineStr">
        <is>
          <t>PROPOSED / NOT APPROVED</t>
        </is>
      </c>
    </row>
    <row r="45">
      <c r="A45" s="2" t="inlineStr">
        <is>
          <t>R-SCAF</t>
        </is>
      </c>
      <c r="B45" s="2" t="inlineStr">
        <is>
          <t>COMMON</t>
        </is>
      </c>
      <c r="C45" s="2" t="inlineStr">
        <is>
          <t>Scaffolding/access and temporary works supply — bid/PS review allowance</t>
        </is>
      </c>
      <c r="D45" s="2" t="n">
        <v>10</v>
      </c>
      <c r="E45" s="2" t="inlineStr">
        <is>
          <t>OFFICE</t>
        </is>
      </c>
      <c r="F45" s="2" t="inlineStr">
        <is>
          <t>P-SCAF</t>
        </is>
      </c>
      <c r="G45" s="2" t="inlineStr"/>
      <c r="H45" s="2" t="inlineStr">
        <is>
          <t>Construction</t>
        </is>
      </c>
      <c r="I45" s="2" t="inlineStr">
        <is>
          <t>2027-01-04</t>
        </is>
      </c>
      <c r="J45" s="2" t="inlineStr">
        <is>
          <t>2027-01-16</t>
        </is>
      </c>
      <c r="K45" s="2" t="inlineStr">
        <is>
          <t>2027-10-20</t>
        </is>
      </c>
      <c r="L45" s="2" t="inlineStr">
        <is>
          <t>2027-11-03</t>
        </is>
      </c>
      <c r="M45" s="2" t="n">
        <v>289</v>
      </c>
      <c r="N45" s="2" t="inlineStr">
        <is>
          <t>Proposed allowance; replace with verified inputs</t>
        </is>
      </c>
      <c r="O45" s="2" t="inlineStr">
        <is>
          <t>PROPOSED / NOT APPROVED</t>
        </is>
      </c>
    </row>
    <row r="46">
      <c r="A46" s="2" t="inlineStr">
        <is>
          <t>D-SCAF</t>
        </is>
      </c>
      <c r="B46" s="2" t="inlineStr">
        <is>
          <t>COMMON</t>
        </is>
      </c>
      <c r="C46" s="2" t="inlineStr">
        <is>
          <t>Scaffolding/access and temporary works supply — delivery/readiness</t>
        </is>
      </c>
      <c r="D46" s="2" t="n">
        <v>25</v>
      </c>
      <c r="E46" s="2" t="inlineStr">
        <is>
          <t>ALL</t>
        </is>
      </c>
      <c r="F46" s="2" t="inlineStr">
        <is>
          <t>R-SCAF</t>
        </is>
      </c>
      <c r="G46" s="2" t="inlineStr"/>
      <c r="H46" s="2" t="inlineStr">
        <is>
          <t>Construction</t>
        </is>
      </c>
      <c r="I46" s="2" t="inlineStr">
        <is>
          <t>2027-01-16</t>
        </is>
      </c>
      <c r="J46" s="2" t="inlineStr">
        <is>
          <t>2027-02-10</t>
        </is>
      </c>
      <c r="K46" s="2" t="inlineStr">
        <is>
          <t>2027-11-03</t>
        </is>
      </c>
      <c r="L46" s="2" t="inlineStr">
        <is>
          <t>2027-11-28</t>
        </is>
      </c>
      <c r="M46" s="2" t="n">
        <v>291</v>
      </c>
      <c r="N46" s="2" t="inlineStr">
        <is>
          <t>Unverified vendor/service lead-time allowance; no quote or commitment</t>
        </is>
      </c>
      <c r="O46" s="2" t="inlineStr">
        <is>
          <t>PROPOSED / NOT APPROVED</t>
        </is>
      </c>
    </row>
    <row r="47">
      <c r="A47" s="2" t="inlineStr">
        <is>
          <t>P-PPE</t>
        </is>
      </c>
      <c r="B47" s="2" t="inlineStr">
        <is>
          <t>COMMON</t>
        </is>
      </c>
      <c r="C47" s="2" t="inlineStr">
        <is>
          <t>Certified PPE and training readiness — requisition/technical scope</t>
        </is>
      </c>
      <c r="D47" s="2" t="n">
        <v>5</v>
      </c>
      <c r="E47" s="2" t="inlineStr">
        <is>
          <t>OFFICE</t>
        </is>
      </c>
      <c r="F47" s="2" t="inlineStr">
        <is>
          <t>G01</t>
        </is>
      </c>
      <c r="G47" s="2" t="inlineStr"/>
      <c r="H47" s="2" t="inlineStr">
        <is>
          <t>HSE</t>
        </is>
      </c>
      <c r="I47" s="2" t="inlineStr">
        <is>
          <t>2026-11-09</t>
        </is>
      </c>
      <c r="J47" s="2" t="inlineStr">
        <is>
          <t>2026-11-14</t>
        </is>
      </c>
      <c r="K47" s="2" t="inlineStr">
        <is>
          <t>2027-10-25</t>
        </is>
      </c>
      <c r="L47" s="2" t="inlineStr">
        <is>
          <t>2027-11-01</t>
        </is>
      </c>
      <c r="M47" s="2" t="n">
        <v>350</v>
      </c>
      <c r="N47" s="2" t="inlineStr">
        <is>
          <t>Proposed allowance; replace with verified inputs</t>
        </is>
      </c>
      <c r="O47" s="2" t="inlineStr">
        <is>
          <t>PROPOSED / NOT APPROVED</t>
        </is>
      </c>
    </row>
    <row r="48">
      <c r="A48" s="2" t="inlineStr">
        <is>
          <t>R-PPE</t>
        </is>
      </c>
      <c r="B48" s="2" t="inlineStr">
        <is>
          <t>COMMON</t>
        </is>
      </c>
      <c r="C48" s="2" t="inlineStr">
        <is>
          <t>Certified PPE and training readiness — bid/PS review allowance</t>
        </is>
      </c>
      <c r="D48" s="2" t="n">
        <v>10</v>
      </c>
      <c r="E48" s="2" t="inlineStr">
        <is>
          <t>OFFICE</t>
        </is>
      </c>
      <c r="F48" s="2" t="inlineStr">
        <is>
          <t>P-PPE</t>
        </is>
      </c>
      <c r="G48" s="2" t="inlineStr"/>
      <c r="H48" s="2" t="inlineStr">
        <is>
          <t>HSE</t>
        </is>
      </c>
      <c r="I48" s="2" t="inlineStr">
        <is>
          <t>2026-11-16</t>
        </is>
      </c>
      <c r="J48" s="2" t="inlineStr">
        <is>
          <t>2026-11-28</t>
        </is>
      </c>
      <c r="K48" s="2" t="inlineStr">
        <is>
          <t>2027-11-01</t>
        </is>
      </c>
      <c r="L48" s="2" t="inlineStr">
        <is>
          <t>2027-11-13</t>
        </is>
      </c>
      <c r="M48" s="2" t="n">
        <v>350</v>
      </c>
      <c r="N48" s="2" t="inlineStr">
        <is>
          <t>Proposed allowance; replace with verified inputs</t>
        </is>
      </c>
      <c r="O48" s="2" t="inlineStr">
        <is>
          <t>PROPOSED / NOT APPROVED</t>
        </is>
      </c>
    </row>
    <row r="49">
      <c r="A49" s="2" t="inlineStr">
        <is>
          <t>D-PPE</t>
        </is>
      </c>
      <c r="B49" s="2" t="inlineStr">
        <is>
          <t>COMMON</t>
        </is>
      </c>
      <c r="C49" s="2" t="inlineStr">
        <is>
          <t>Certified PPE and training readiness — delivery/readiness</t>
        </is>
      </c>
      <c r="D49" s="2" t="n">
        <v>15</v>
      </c>
      <c r="E49" s="2" t="inlineStr">
        <is>
          <t>ALL</t>
        </is>
      </c>
      <c r="F49" s="2" t="inlineStr">
        <is>
          <t>R-PPE</t>
        </is>
      </c>
      <c r="G49" s="2" t="inlineStr"/>
      <c r="H49" s="2" t="inlineStr">
        <is>
          <t>HSE</t>
        </is>
      </c>
      <c r="I49" s="2" t="inlineStr">
        <is>
          <t>2026-11-28</t>
        </is>
      </c>
      <c r="J49" s="2" t="inlineStr">
        <is>
          <t>2026-12-13</t>
        </is>
      </c>
      <c r="K49" s="2" t="inlineStr">
        <is>
          <t>2027-11-13</t>
        </is>
      </c>
      <c r="L49" s="2" t="inlineStr">
        <is>
          <t>2027-11-28</t>
        </is>
      </c>
      <c r="M49" s="2" t="n">
        <v>350</v>
      </c>
      <c r="N49" s="2" t="inlineStr">
        <is>
          <t>Unverified vendor/service lead-time allowance; no quote or commitment</t>
        </is>
      </c>
      <c r="O49" s="2" t="inlineStr">
        <is>
          <t>PROPOSED / NOT APPROVED</t>
        </is>
      </c>
    </row>
    <row r="50">
      <c r="A50" s="2" t="inlineStr">
        <is>
          <t>P-TRAY</t>
        </is>
      </c>
      <c r="B50" s="2" t="inlineStr">
        <is>
          <t>COMMON</t>
        </is>
      </c>
      <c r="C50" s="2" t="inlineStr">
        <is>
          <t>Cable trays and support steel interfaces — requisition/technical scope</t>
        </is>
      </c>
      <c r="D50" s="2" t="n">
        <v>5</v>
      </c>
      <c r="E50" s="2" t="inlineStr">
        <is>
          <t>OFFICE</t>
        </is>
      </c>
      <c r="F50" s="2" t="inlineStr">
        <is>
          <t>G05</t>
        </is>
      </c>
      <c r="G50" s="2" t="inlineStr"/>
      <c r="H50" s="2" t="inlineStr">
        <is>
          <t>Electrical</t>
        </is>
      </c>
      <c r="I50" s="2" t="inlineStr">
        <is>
          <t>2026-12-28</t>
        </is>
      </c>
      <c r="J50" s="2" t="inlineStr">
        <is>
          <t>2027-01-02</t>
        </is>
      </c>
      <c r="K50" s="2" t="inlineStr">
        <is>
          <t>2027-11-19</t>
        </is>
      </c>
      <c r="L50" s="2" t="inlineStr">
        <is>
          <t>2027-11-26</t>
        </is>
      </c>
      <c r="M50" s="2" t="n">
        <v>326</v>
      </c>
      <c r="N50" s="2" t="inlineStr">
        <is>
          <t>Proposed allowance; replace with verified inputs</t>
        </is>
      </c>
      <c r="O50" s="2" t="inlineStr">
        <is>
          <t>PROPOSED / NOT APPROVED</t>
        </is>
      </c>
    </row>
    <row r="51">
      <c r="A51" s="2" t="inlineStr">
        <is>
          <t>R-TRAY</t>
        </is>
      </c>
      <c r="B51" s="2" t="inlineStr">
        <is>
          <t>COMMON</t>
        </is>
      </c>
      <c r="C51" s="2" t="inlineStr">
        <is>
          <t>Cable trays and support steel interfaces — bid/PS review allowance</t>
        </is>
      </c>
      <c r="D51" s="2" t="n">
        <v>10</v>
      </c>
      <c r="E51" s="2" t="inlineStr">
        <is>
          <t>OFFICE</t>
        </is>
      </c>
      <c r="F51" s="2" t="inlineStr">
        <is>
          <t>P-TRAY</t>
        </is>
      </c>
      <c r="G51" s="2" t="inlineStr"/>
      <c r="H51" s="2" t="inlineStr">
        <is>
          <t>Electrical</t>
        </is>
      </c>
      <c r="I51" s="2" t="inlineStr">
        <is>
          <t>2027-01-04</t>
        </is>
      </c>
      <c r="J51" s="2" t="inlineStr">
        <is>
          <t>2027-01-16</t>
        </is>
      </c>
      <c r="K51" s="2" t="inlineStr">
        <is>
          <t>2027-11-26</t>
        </is>
      </c>
      <c r="L51" s="2" t="inlineStr">
        <is>
          <t>2027-12-10</t>
        </is>
      </c>
      <c r="M51" s="2" t="n">
        <v>326</v>
      </c>
      <c r="N51" s="2" t="inlineStr">
        <is>
          <t>Proposed allowance; replace with verified inputs</t>
        </is>
      </c>
      <c r="O51" s="2" t="inlineStr">
        <is>
          <t>PROPOSED / NOT APPROVED</t>
        </is>
      </c>
    </row>
    <row r="52">
      <c r="A52" s="2" t="inlineStr">
        <is>
          <t>D-TRAY</t>
        </is>
      </c>
      <c r="B52" s="2" t="inlineStr">
        <is>
          <t>COMMON</t>
        </is>
      </c>
      <c r="C52" s="2" t="inlineStr">
        <is>
          <t>Cable trays and support steel interfaces — delivery/readiness</t>
        </is>
      </c>
      <c r="D52" s="2" t="n">
        <v>35</v>
      </c>
      <c r="E52" s="2" t="inlineStr">
        <is>
          <t>ALL</t>
        </is>
      </c>
      <c r="F52" s="2" t="inlineStr">
        <is>
          <t>R-TRAY</t>
        </is>
      </c>
      <c r="G52" s="2" t="inlineStr"/>
      <c r="H52" s="2" t="inlineStr">
        <is>
          <t>Electrical</t>
        </is>
      </c>
      <c r="I52" s="2" t="inlineStr">
        <is>
          <t>2027-01-16</t>
        </is>
      </c>
      <c r="J52" s="2" t="inlineStr">
        <is>
          <t>2027-02-20</t>
        </is>
      </c>
      <c r="K52" s="2" t="inlineStr">
        <is>
          <t>2027-12-10</t>
        </is>
      </c>
      <c r="L52" s="2" t="inlineStr">
        <is>
          <t>2028-01-14</t>
        </is>
      </c>
      <c r="M52" s="2" t="n">
        <v>328</v>
      </c>
      <c r="N52" s="2" t="inlineStr">
        <is>
          <t>Unverified vendor/service lead-time allowance; no quote or commitment</t>
        </is>
      </c>
      <c r="O52" s="2" t="inlineStr">
        <is>
          <t>PROPOSED / NOT APPROVED</t>
        </is>
      </c>
    </row>
    <row r="53">
      <c r="A53" s="2" t="inlineStr">
        <is>
          <t>B05-BAS</t>
        </is>
      </c>
      <c r="B53" s="2" t="inlineStr">
        <is>
          <t>BHS-SLQ</t>
        </is>
      </c>
      <c r="C53" s="2" t="inlineStr">
        <is>
          <t>Design basis, loads and interfaces</t>
        </is>
      </c>
      <c r="D53" s="2" t="n">
        <v>5</v>
      </c>
      <c r="E53" s="2" t="inlineStr">
        <is>
          <t>OFFICE</t>
        </is>
      </c>
      <c r="F53" s="2" t="inlineStr">
        <is>
          <t>G05;D-DES</t>
        </is>
      </c>
      <c r="G53" s="2" t="inlineStr"/>
      <c r="H53" s="2" t="inlineStr">
        <is>
          <t>Engineering</t>
        </is>
      </c>
      <c r="I53" s="2" t="inlineStr">
        <is>
          <t>2026-12-28</t>
        </is>
      </c>
      <c r="J53" s="2" t="inlineStr">
        <is>
          <t>2027-01-02</t>
        </is>
      </c>
      <c r="K53" s="2" t="inlineStr">
        <is>
          <t>2026-12-28</t>
        </is>
      </c>
      <c r="L53" s="2" t="inlineStr">
        <is>
          <t>2027-01-04</t>
        </is>
      </c>
      <c r="M53" s="2" t="n">
        <v>0</v>
      </c>
      <c r="N53" s="2" t="inlineStr">
        <is>
          <t>Proposed allowance; replace with verified inputs</t>
        </is>
      </c>
      <c r="O53" s="2" t="inlineStr">
        <is>
          <t>PROPOSED / NOT APPROVED</t>
        </is>
      </c>
    </row>
    <row r="54">
      <c r="A54" s="2" t="inlineStr">
        <is>
          <t>B05-BRV</t>
        </is>
      </c>
      <c r="B54" s="2" t="inlineStr">
        <is>
          <t>BHS-SLQ</t>
        </is>
      </c>
      <c r="C54" s="2" t="inlineStr">
        <is>
          <t>Basis review and comment closure allowance</t>
        </is>
      </c>
      <c r="D54" s="2" t="n">
        <v>10</v>
      </c>
      <c r="E54" s="2" t="inlineStr">
        <is>
          <t>OFFICE</t>
        </is>
      </c>
      <c r="F54" s="2" t="inlineStr">
        <is>
          <t>B05-BAS</t>
        </is>
      </c>
      <c r="G54" s="2" t="inlineStr"/>
      <c r="H54" s="2" t="inlineStr">
        <is>
          <t>Engineering</t>
        </is>
      </c>
      <c r="I54" s="2" t="inlineStr">
        <is>
          <t>2027-01-04</t>
        </is>
      </c>
      <c r="J54" s="2" t="inlineStr">
        <is>
          <t>2027-01-16</t>
        </is>
      </c>
      <c r="K54" s="2" t="inlineStr">
        <is>
          <t>2027-01-04</t>
        </is>
      </c>
      <c r="L54" s="2" t="inlineStr">
        <is>
          <t>2027-01-18</t>
        </is>
      </c>
      <c r="M54" s="2" t="n">
        <v>0</v>
      </c>
      <c r="N54" s="2" t="inlineStr">
        <is>
          <t>Proposed allowance; replace with verified inputs</t>
        </is>
      </c>
      <c r="O54" s="2" t="inlineStr">
        <is>
          <t>PROPOSED / NOT APPROVED</t>
        </is>
      </c>
    </row>
    <row r="55">
      <c r="A55" s="2" t="inlineStr">
        <is>
          <t>B05-ANA</t>
        </is>
      </c>
      <c r="B55" s="2" t="inlineStr">
        <is>
          <t>BHS-SLQ</t>
        </is>
      </c>
      <c r="C55" s="2" t="inlineStr">
        <is>
          <t>Bridge/platform and preservice analysis preparation</t>
        </is>
      </c>
      <c r="D55" s="2" t="n">
        <v>20</v>
      </c>
      <c r="E55" s="2" t="inlineStr">
        <is>
          <t>OFFICE</t>
        </is>
      </c>
      <c r="F55" s="2" t="inlineStr">
        <is>
          <t>B05-BRV</t>
        </is>
      </c>
      <c r="G55" s="2" t="inlineStr"/>
      <c r="H55" s="2" t="inlineStr">
        <is>
          <t>Structural</t>
        </is>
      </c>
      <c r="I55" s="2" t="inlineStr">
        <is>
          <t>2027-01-18</t>
        </is>
      </c>
      <c r="J55" s="2" t="inlineStr">
        <is>
          <t>2027-02-13</t>
        </is>
      </c>
      <c r="K55" s="2" t="inlineStr">
        <is>
          <t>2027-01-18</t>
        </is>
      </c>
      <c r="L55" s="2" t="inlineStr">
        <is>
          <t>2027-02-15</t>
        </is>
      </c>
      <c r="M55" s="2" t="n">
        <v>0</v>
      </c>
      <c r="N55" s="2" t="inlineStr">
        <is>
          <t>Proposed engineering effort window; native analysis/check evidence not supplied</t>
        </is>
      </c>
      <c r="O55" s="2" t="inlineStr">
        <is>
          <t>PROPOSED / NOT APPROVED</t>
        </is>
      </c>
    </row>
    <row r="56">
      <c r="A56" s="2" t="inlineStr">
        <is>
          <t>B05-ARV</t>
        </is>
      </c>
      <c r="B56" s="2" t="inlineStr">
        <is>
          <t>BHS-SLQ</t>
        </is>
      </c>
      <c r="C56" s="2" t="inlineStr">
        <is>
          <t>Analysis review and comment closure allowance</t>
        </is>
      </c>
      <c r="D56" s="2" t="n">
        <v>10</v>
      </c>
      <c r="E56" s="2" t="inlineStr">
        <is>
          <t>OFFICE</t>
        </is>
      </c>
      <c r="F56" s="2" t="inlineStr">
        <is>
          <t>B05-ANA</t>
        </is>
      </c>
      <c r="G56" s="2" t="inlineStr"/>
      <c r="H56" s="2" t="inlineStr">
        <is>
          <t>Engineering</t>
        </is>
      </c>
      <c r="I56" s="2" t="inlineStr">
        <is>
          <t>2027-02-15</t>
        </is>
      </c>
      <c r="J56" s="2" t="inlineStr">
        <is>
          <t>2027-02-27</t>
        </is>
      </c>
      <c r="K56" s="2" t="inlineStr">
        <is>
          <t>2027-02-15</t>
        </is>
      </c>
      <c r="L56" s="2" t="inlineStr">
        <is>
          <t>2027-03-01</t>
        </is>
      </c>
      <c r="M56" s="2" t="n">
        <v>0</v>
      </c>
      <c r="N56" s="2" t="inlineStr">
        <is>
          <t>Proposed allowance; replace with verified inputs</t>
        </is>
      </c>
      <c r="O56" s="2" t="inlineStr">
        <is>
          <t>PROPOSED / NOT APPROVED</t>
        </is>
      </c>
    </row>
    <row r="57">
      <c r="A57" s="2" t="inlineStr">
        <is>
          <t>B05-DET</t>
        </is>
      </c>
      <c r="B57" s="2" t="inlineStr">
        <is>
          <t>BHS-SLQ</t>
        </is>
      </c>
      <c r="C57" s="2" t="inlineStr">
        <is>
          <t>Connection, bearing, landing and workpack detailing</t>
        </is>
      </c>
      <c r="D57" s="2" t="n">
        <v>15</v>
      </c>
      <c r="E57" s="2" t="inlineStr">
        <is>
          <t>OFFICE</t>
        </is>
      </c>
      <c r="F57" s="2" t="inlineStr">
        <is>
          <t>B05-ARV</t>
        </is>
      </c>
      <c r="G57" s="2" t="inlineStr"/>
      <c r="H57" s="2" t="inlineStr">
        <is>
          <t>Structural</t>
        </is>
      </c>
      <c r="I57" s="2" t="inlineStr">
        <is>
          <t>2027-03-01</t>
        </is>
      </c>
      <c r="J57" s="2" t="inlineStr">
        <is>
          <t>2027-03-20</t>
        </is>
      </c>
      <c r="K57" s="2" t="inlineStr">
        <is>
          <t>2027-03-01</t>
        </is>
      </c>
      <c r="L57" s="2" t="inlineStr">
        <is>
          <t>2027-03-22</t>
        </is>
      </c>
      <c r="M57" s="2" t="n">
        <v>0</v>
      </c>
      <c r="N57" s="2" t="inlineStr">
        <is>
          <t>Proposed allowance; replace with verified inputs</t>
        </is>
      </c>
      <c r="O57" s="2" t="inlineStr">
        <is>
          <t>PROPOSED / NOT APPROVED</t>
        </is>
      </c>
    </row>
    <row r="58">
      <c r="A58" s="2" t="inlineStr">
        <is>
          <t>B05-DRV</t>
        </is>
      </c>
      <c r="B58" s="2" t="inlineStr">
        <is>
          <t>BHS-SLQ</t>
        </is>
      </c>
      <c r="C58" s="2" t="inlineStr">
        <is>
          <t>Drawing review and comment closure allowance</t>
        </is>
      </c>
      <c r="D58" s="2" t="n">
        <v>10</v>
      </c>
      <c r="E58" s="2" t="inlineStr">
        <is>
          <t>OFFICE</t>
        </is>
      </c>
      <c r="F58" s="2" t="inlineStr">
        <is>
          <t>B05-DET</t>
        </is>
      </c>
      <c r="G58" s="2" t="inlineStr"/>
      <c r="H58" s="2" t="inlineStr">
        <is>
          <t>Engineering</t>
        </is>
      </c>
      <c r="I58" s="2" t="inlineStr">
        <is>
          <t>2027-03-22</t>
        </is>
      </c>
      <c r="J58" s="2" t="inlineStr">
        <is>
          <t>2027-04-03</t>
        </is>
      </c>
      <c r="K58" s="2" t="inlineStr">
        <is>
          <t>2027-03-22</t>
        </is>
      </c>
      <c r="L58" s="2" t="inlineStr">
        <is>
          <t>2027-04-03</t>
        </is>
      </c>
      <c r="M58" s="2" t="n">
        <v>0</v>
      </c>
      <c r="N58" s="2" t="inlineStr">
        <is>
          <t>Proposed allowance; replace with verified inputs</t>
        </is>
      </c>
      <c r="O58" s="2" t="inlineStr">
        <is>
          <t>PROPOSED / NOT APPROVED</t>
        </is>
      </c>
    </row>
    <row r="59">
      <c r="A59" s="2" t="inlineStr">
        <is>
          <t>B05-AFC</t>
        </is>
      </c>
      <c r="B59" s="2" t="inlineStr">
        <is>
          <t>BHS-SLQ</t>
        </is>
      </c>
      <c r="C59" s="2" t="inlineStr">
        <is>
          <t>AFC design/MTO independent check and release gate</t>
        </is>
      </c>
      <c r="D59" s="2" t="n">
        <v>0</v>
      </c>
      <c r="E59" s="2" t="inlineStr">
        <is>
          <t>ALL</t>
        </is>
      </c>
      <c r="F59" s="2" t="inlineStr">
        <is>
          <t>B05-DRV</t>
        </is>
      </c>
      <c r="G59" s="2" t="inlineStr"/>
      <c r="H59" s="2" t="inlineStr">
        <is>
          <t>Engineering</t>
        </is>
      </c>
      <c r="I59" s="2" t="inlineStr">
        <is>
          <t>2027-04-03</t>
        </is>
      </c>
      <c r="J59" s="2" t="inlineStr">
        <is>
          <t>2027-04-03</t>
        </is>
      </c>
      <c r="K59" s="2" t="inlineStr">
        <is>
          <t>2027-04-03</t>
        </is>
      </c>
      <c r="L59" s="2" t="inlineStr">
        <is>
          <t>2027-04-03</t>
        </is>
      </c>
      <c r="M59" s="2" t="n">
        <v>0</v>
      </c>
      <c r="N59" s="2" t="inlineStr">
        <is>
          <t>Gate; actual signed release not established</t>
        </is>
      </c>
      <c r="O59" s="2" t="inlineStr">
        <is>
          <t>PROPOSED / NOT APPROVED</t>
        </is>
      </c>
    </row>
    <row r="60">
      <c r="A60" s="2" t="inlineStr">
        <is>
          <t>B05-RFQ</t>
        </is>
      </c>
      <c r="B60" s="2" t="inlineStr">
        <is>
          <t>BHS-SLQ</t>
        </is>
      </c>
      <c r="C60" s="2" t="inlineStr">
        <is>
          <t>Bridge steel RFQ, evaluation and PS preparation</t>
        </is>
      </c>
      <c r="D60" s="2" t="n">
        <v>7</v>
      </c>
      <c r="E60" s="2" t="inlineStr">
        <is>
          <t>OFFICE</t>
        </is>
      </c>
      <c r="F60" s="2" t="inlineStr">
        <is>
          <t>B05-BRV</t>
        </is>
      </c>
      <c r="G60" s="2" t="inlineStr"/>
      <c r="H60" s="2" t="inlineStr">
        <is>
          <t>Procurement</t>
        </is>
      </c>
      <c r="I60" s="2" t="inlineStr">
        <is>
          <t>2027-01-18</t>
        </is>
      </c>
      <c r="J60" s="2" t="inlineStr">
        <is>
          <t>2027-01-27</t>
        </is>
      </c>
      <c r="K60" s="2" t="inlineStr">
        <is>
          <t>2027-03-11</t>
        </is>
      </c>
      <c r="L60" s="2" t="inlineStr">
        <is>
          <t>2027-03-22</t>
        </is>
      </c>
      <c r="M60" s="2" t="n">
        <v>52</v>
      </c>
      <c r="N60" s="2" t="inlineStr">
        <is>
          <t>Proposed allowance; replace with verified inputs</t>
        </is>
      </c>
      <c r="O60" s="2" t="inlineStr">
        <is>
          <t>PROPOSED / NOT APPROVED</t>
        </is>
      </c>
    </row>
    <row r="61">
      <c r="A61" s="2" t="inlineStr">
        <is>
          <t>B05-PRV</t>
        </is>
      </c>
      <c r="B61" s="2" t="inlineStr">
        <is>
          <t>BHS-SLQ</t>
        </is>
      </c>
      <c r="C61" s="2" t="inlineStr">
        <is>
          <t>Bridge steel PS review allowance</t>
        </is>
      </c>
      <c r="D61" s="2" t="n">
        <v>10</v>
      </c>
      <c r="E61" s="2" t="inlineStr">
        <is>
          <t>OFFICE</t>
        </is>
      </c>
      <c r="F61" s="2" t="inlineStr">
        <is>
          <t>B05-RFQ</t>
        </is>
      </c>
      <c r="G61" s="2" t="inlineStr"/>
      <c r="H61" s="2" t="inlineStr">
        <is>
          <t>Procurement</t>
        </is>
      </c>
      <c r="I61" s="2" t="inlineStr">
        <is>
          <t>2027-01-27</t>
        </is>
      </c>
      <c r="J61" s="2" t="inlineStr">
        <is>
          <t>2027-02-10</t>
        </is>
      </c>
      <c r="K61" s="2" t="inlineStr">
        <is>
          <t>2027-03-22</t>
        </is>
      </c>
      <c r="L61" s="2" t="inlineStr">
        <is>
          <t>2027-04-03</t>
        </is>
      </c>
      <c r="M61" s="2" t="n">
        <v>54</v>
      </c>
      <c r="N61" s="2" t="inlineStr">
        <is>
          <t>Proposed allowance; replace with verified inputs</t>
        </is>
      </c>
      <c r="O61" s="2" t="inlineStr">
        <is>
          <t>PROPOSED / NOT APPROVED</t>
        </is>
      </c>
    </row>
    <row r="62">
      <c r="A62" s="2" t="inlineStr">
        <is>
          <t>B05-PO</t>
        </is>
      </c>
      <c r="B62" s="2" t="inlineStr">
        <is>
          <t>BHS-SLQ</t>
        </is>
      </c>
      <c r="C62" s="2" t="inlineStr">
        <is>
          <t>Bridge steel compliant PO release gate</t>
        </is>
      </c>
      <c r="D62" s="2" t="n">
        <v>0</v>
      </c>
      <c r="E62" s="2" t="inlineStr">
        <is>
          <t>ALL</t>
        </is>
      </c>
      <c r="F62" s="2" t="inlineStr">
        <is>
          <t>B05-AFC;B05-PRV</t>
        </is>
      </c>
      <c r="G62" s="2" t="inlineStr"/>
      <c r="H62" s="2" t="inlineStr">
        <is>
          <t>Procurement</t>
        </is>
      </c>
      <c r="I62" s="2" t="inlineStr">
        <is>
          <t>2027-04-03</t>
        </is>
      </c>
      <c r="J62" s="2" t="inlineStr">
        <is>
          <t>2027-04-03</t>
        </is>
      </c>
      <c r="K62" s="2" t="inlineStr">
        <is>
          <t>2027-04-03</t>
        </is>
      </c>
      <c r="L62" s="2" t="inlineStr">
        <is>
          <t>2027-04-03</t>
        </is>
      </c>
      <c r="M62" s="2" t="n">
        <v>0</v>
      </c>
      <c r="N62" s="2" t="inlineStr">
        <is>
          <t>No at-risk purchase assumed; amended domestic-origin evidence required</t>
        </is>
      </c>
      <c r="O62" s="2" t="inlineStr">
        <is>
          <t>PROPOSED / NOT APPROVED</t>
        </is>
      </c>
    </row>
    <row r="63">
      <c r="A63" s="2" t="inlineStr">
        <is>
          <t>B05-MAT</t>
        </is>
      </c>
      <c r="B63" s="2" t="inlineStr">
        <is>
          <t>BHS-SLQ</t>
        </is>
      </c>
      <c r="C63" s="2" t="inlineStr">
        <is>
          <t>Mill production, inspection and steel delivery</t>
        </is>
      </c>
      <c r="D63" s="2" t="n">
        <v>45</v>
      </c>
      <c r="E63" s="2" t="inlineStr">
        <is>
          <t>ALL</t>
        </is>
      </c>
      <c r="F63" s="2" t="inlineStr">
        <is>
          <t>B05-PO</t>
        </is>
      </c>
      <c r="G63" s="2" t="inlineStr"/>
      <c r="H63" s="2" t="inlineStr">
        <is>
          <t>Procurement</t>
        </is>
      </c>
      <c r="I63" s="2" t="inlineStr">
        <is>
          <t>2027-04-03</t>
        </is>
      </c>
      <c r="J63" s="2" t="inlineStr">
        <is>
          <t>2027-05-18</t>
        </is>
      </c>
      <c r="K63" s="2" t="inlineStr">
        <is>
          <t>2027-04-03</t>
        </is>
      </c>
      <c r="L63" s="2" t="inlineStr">
        <is>
          <t>2027-05-18</t>
        </is>
      </c>
      <c r="M63" s="2" t="n">
        <v>0</v>
      </c>
      <c r="N63" s="2" t="inlineStr">
        <is>
          <t>Unquoted45calendar-day placeholder; origin, mill capacity and transport unresolved</t>
        </is>
      </c>
      <c r="O63" s="2" t="inlineStr">
        <is>
          <t>PROPOSED / NOT APPROVED</t>
        </is>
      </c>
    </row>
    <row r="64">
      <c r="A64" s="2" t="inlineStr">
        <is>
          <t>B05-FAB</t>
        </is>
      </c>
      <c r="B64" s="2" t="inlineStr">
        <is>
          <t>BHS-SLQ</t>
        </is>
      </c>
      <c r="C64" s="2" t="inlineStr">
        <is>
          <t>Fit-up, welding and dimensional control</t>
        </is>
      </c>
      <c r="D64" s="2" t="n">
        <v>71</v>
      </c>
      <c r="E64" s="2" t="inlineStr">
        <is>
          <t>YARD</t>
        </is>
      </c>
      <c r="F64" s="2" t="inlineStr">
        <is>
          <t>B05-MAT;D-NDT;D-TPI</t>
        </is>
      </c>
      <c r="G64" s="2" t="inlineStr">
        <is>
          <t>Fabrication line 1</t>
        </is>
      </c>
      <c r="H64" s="2" t="inlineStr">
        <is>
          <t>Fabrication</t>
        </is>
      </c>
      <c r="I64" s="2" t="inlineStr">
        <is>
          <t>2027-05-18</t>
        </is>
      </c>
      <c r="J64" s="2" t="inlineStr">
        <is>
          <t>2027-08-08</t>
        </is>
      </c>
      <c r="K64" s="2" t="inlineStr">
        <is>
          <t>2027-05-18</t>
        </is>
      </c>
      <c r="L64" s="2" t="inlineStr">
        <is>
          <t>2027-08-09</t>
        </is>
      </c>
      <c r="M64" s="2" t="n">
        <v>0</v>
      </c>
      <c r="N64" s="2" t="inlineStr">
        <is>
          <t>Assumed4MT per productive bay-day; includes aggregate steel, not validated shop productivity</t>
        </is>
      </c>
      <c r="O64" s="2" t="inlineStr">
        <is>
          <t>PROPOSED / NOT APPROVED</t>
        </is>
      </c>
    </row>
    <row r="65">
      <c r="A65" s="2" t="inlineStr">
        <is>
          <t>B05-NDT</t>
        </is>
      </c>
      <c r="B65" s="2" t="inlineStr">
        <is>
          <t>BHS-SLQ</t>
        </is>
      </c>
      <c r="C65" s="2" t="inlineStr">
        <is>
          <t>NDT, repair allowance and dimensional release</t>
        </is>
      </c>
      <c r="D65" s="2" t="n">
        <v>6</v>
      </c>
      <c r="E65" s="2" t="inlineStr">
        <is>
          <t>YARD</t>
        </is>
      </c>
      <c r="F65" s="2" t="inlineStr">
        <is>
          <t>B05-FAB</t>
        </is>
      </c>
      <c r="G65" s="2" t="inlineStr"/>
      <c r="H65" s="2" t="inlineStr">
        <is>
          <t>QA</t>
        </is>
      </c>
      <c r="I65" s="2" t="inlineStr">
        <is>
          <t>2027-08-09</t>
        </is>
      </c>
      <c r="J65" s="2" t="inlineStr">
        <is>
          <t>2027-08-15</t>
        </is>
      </c>
      <c r="K65" s="2" t="inlineStr">
        <is>
          <t>2027-09-16</t>
        </is>
      </c>
      <c r="L65" s="2" t="inlineStr">
        <is>
          <t>2027-09-23</t>
        </is>
      </c>
      <c r="M65" s="2" t="n">
        <v>38</v>
      </c>
      <c r="N65" s="2" t="inlineStr">
        <is>
          <t>Proposed allowance; replace with verified inputs</t>
        </is>
      </c>
      <c r="O65" s="2" t="inlineStr">
        <is>
          <t>PROPOSED / NOT APPROVED</t>
        </is>
      </c>
    </row>
    <row r="66">
      <c r="A66" s="2" t="inlineStr">
        <is>
          <t>B05-COA</t>
        </is>
      </c>
      <c r="B66" s="2" t="inlineStr">
        <is>
          <t>BHS-SLQ</t>
        </is>
      </c>
      <c r="C66" s="2" t="inlineStr">
        <is>
          <t>Surface preparation, coating and curing allowance</t>
        </is>
      </c>
      <c r="D66" s="2" t="n">
        <v>10</v>
      </c>
      <c r="E66" s="2" t="inlineStr">
        <is>
          <t>YARD</t>
        </is>
      </c>
      <c r="F66" s="2" t="inlineStr">
        <is>
          <t>B05-NDT;D-COAT</t>
        </is>
      </c>
      <c r="G66" s="2" t="inlineStr">
        <is>
          <t>Coating cell</t>
        </is>
      </c>
      <c r="H66" s="2" t="inlineStr">
        <is>
          <t>Coating</t>
        </is>
      </c>
      <c r="I66" s="2" t="inlineStr">
        <is>
          <t>2027-08-16</t>
        </is>
      </c>
      <c r="J66" s="2" t="inlineStr">
        <is>
          <t>2027-08-27</t>
        </is>
      </c>
      <c r="K66" s="2" t="inlineStr">
        <is>
          <t>2027-09-23</t>
        </is>
      </c>
      <c r="L66" s="2" t="inlineStr">
        <is>
          <t>2027-10-05</t>
        </is>
      </c>
      <c r="M66" s="2" t="n">
        <v>38</v>
      </c>
      <c r="N66" s="2" t="inlineStr">
        <is>
          <t>Proposed allowance; replace with verified inputs</t>
        </is>
      </c>
      <c r="O66" s="2" t="inlineStr">
        <is>
          <t>PROPOSED / NOT APPROVED</t>
        </is>
      </c>
    </row>
    <row r="67">
      <c r="A67" s="2" t="inlineStr">
        <is>
          <t>B05-REL</t>
        </is>
      </c>
      <c r="B67" s="2" t="inlineStr">
        <is>
          <t>BHS-SLQ</t>
        </is>
      </c>
      <c r="C67" s="2" t="inlineStr">
        <is>
          <t>Trial fit, verified weight/COG and loadout release</t>
        </is>
      </c>
      <c r="D67" s="2" t="n">
        <v>5</v>
      </c>
      <c r="E67" s="2" t="inlineStr">
        <is>
          <t>YARD</t>
        </is>
      </c>
      <c r="F67" s="2" t="inlineStr">
        <is>
          <t>B05-COA</t>
        </is>
      </c>
      <c r="G67" s="2" t="inlineStr"/>
      <c r="H67" s="2" t="inlineStr">
        <is>
          <t>QA / Marine</t>
        </is>
      </c>
      <c r="I67" s="2" t="inlineStr">
        <is>
          <t>2027-08-27</t>
        </is>
      </c>
      <c r="J67" s="2" t="inlineStr">
        <is>
          <t>2027-09-02</t>
        </is>
      </c>
      <c r="K67" s="2" t="inlineStr">
        <is>
          <t>2027-11-19</t>
        </is>
      </c>
      <c r="L67" s="2" t="inlineStr">
        <is>
          <t>2027-11-25</t>
        </is>
      </c>
      <c r="M67" s="2" t="n">
        <v>84</v>
      </c>
      <c r="N67" s="2" t="inlineStr">
        <is>
          <t>Proposed allowance; replace with verified inputs</t>
        </is>
      </c>
      <c r="O67" s="2" t="inlineStr">
        <is>
          <t>PROPOSED / NOT APPROVED</t>
        </is>
      </c>
    </row>
    <row r="68">
      <c r="A68" s="2" t="inlineStr">
        <is>
          <t>B05-TRN</t>
        </is>
      </c>
      <c r="B68" s="2" t="inlineStr">
        <is>
          <t>BHS-SLQ</t>
        </is>
      </c>
      <c r="C68" s="2" t="inlineStr">
        <is>
          <t>Loadout, transport and offshore receipt</t>
        </is>
      </c>
      <c r="D68" s="2" t="n">
        <v>3</v>
      </c>
      <c r="E68" s="2" t="inlineStr">
        <is>
          <t>OFF</t>
        </is>
      </c>
      <c r="F68" s="2" t="inlineStr">
        <is>
          <t>B05-REL;D-CARGO</t>
        </is>
      </c>
      <c r="G68" s="2" t="inlineStr">
        <is>
          <t>Cargo spread</t>
        </is>
      </c>
      <c r="H68" s="2" t="inlineStr">
        <is>
          <t>Logistics</t>
        </is>
      </c>
      <c r="I68" s="2" t="inlineStr">
        <is>
          <t>2027-10-16</t>
        </is>
      </c>
      <c r="J68" s="2" t="inlineStr">
        <is>
          <t>2027-10-19</t>
        </is>
      </c>
      <c r="K68" s="2" t="inlineStr">
        <is>
          <t>2027-11-25</t>
        </is>
      </c>
      <c r="L68" s="2" t="inlineStr">
        <is>
          <t>2027-11-28</t>
        </is>
      </c>
      <c r="M68" s="2" t="n">
        <v>40</v>
      </c>
      <c r="N68" s="2" t="inlineStr">
        <is>
          <t>Proposed allowance; replace with verified inputs</t>
        </is>
      </c>
      <c r="O68" s="2" t="inlineStr">
        <is>
          <t>PROPOSED / NOT APPROVED</t>
        </is>
      </c>
    </row>
    <row r="69">
      <c r="A69" s="2" t="inlineStr">
        <is>
          <t>B05-PRE</t>
        </is>
      </c>
      <c r="B69" s="2" t="inlineStr">
        <is>
          <t>BHS-SLQ</t>
        </is>
      </c>
      <c r="C69" s="2" t="inlineStr">
        <is>
          <t>PTW, access, SIMOPS and work-front readiness</t>
        </is>
      </c>
      <c r="D69" s="2" t="n">
        <v>3</v>
      </c>
      <c r="E69" s="2" t="inlineStr">
        <is>
          <t>OFF</t>
        </is>
      </c>
      <c r="F69" s="2" t="inlineStr">
        <is>
          <t>B05-TRN;D-SCAF;D-PPE</t>
        </is>
      </c>
      <c r="G69" s="2" t="inlineStr"/>
      <c r="H69" s="2" t="inlineStr">
        <is>
          <t>Construction</t>
        </is>
      </c>
      <c r="I69" s="2" t="inlineStr">
        <is>
          <t>2027-10-19</t>
        </is>
      </c>
      <c r="J69" s="2" t="inlineStr">
        <is>
          <t>2027-10-22</t>
        </is>
      </c>
      <c r="K69" s="2" t="inlineStr">
        <is>
          <t>2027-11-28</t>
        </is>
      </c>
      <c r="L69" s="2" t="inlineStr">
        <is>
          <t>2027-12-01</t>
        </is>
      </c>
      <c r="M69" s="2" t="n">
        <v>40</v>
      </c>
      <c r="N69" s="2" t="inlineStr">
        <is>
          <t>Proposed allowance; replace with verified inputs</t>
        </is>
      </c>
      <c r="O69" s="2" t="inlineStr">
        <is>
          <t>PROPOSED / NOT APPROVED</t>
        </is>
      </c>
    </row>
    <row r="70">
      <c r="A70" s="2" t="inlineStr">
        <is>
          <t>B05-STR</t>
        </is>
      </c>
      <c r="B70" s="2" t="inlineStr">
        <is>
          <t>BHS-SLQ</t>
        </is>
      </c>
      <c r="C70" s="2" t="inlineStr">
        <is>
          <t>Landing/platform pre-install strengthening</t>
        </is>
      </c>
      <c r="D70" s="2" t="n">
        <v>22</v>
      </c>
      <c r="E70" s="2" t="inlineStr">
        <is>
          <t>OFF</t>
        </is>
      </c>
      <c r="F70" s="2" t="inlineStr">
        <is>
          <t>B05-PRE</t>
        </is>
      </c>
      <c r="G70" s="2" t="inlineStr">
        <is>
          <t>Strength crew 1</t>
        </is>
      </c>
      <c r="H70" s="2" t="inlineStr">
        <is>
          <t>Construction</t>
        </is>
      </c>
      <c r="I70" s="2" t="inlineStr">
        <is>
          <t>2027-10-22</t>
        </is>
      </c>
      <c r="J70" s="2" t="inlineStr">
        <is>
          <t>2027-11-13</t>
        </is>
      </c>
      <c r="K70" s="2" t="inlineStr">
        <is>
          <t>2027-12-01</t>
        </is>
      </c>
      <c r="L70" s="2" t="inlineStr">
        <is>
          <t>2027-12-23</t>
        </is>
      </c>
      <c r="M70" s="2" t="n">
        <v>40</v>
      </c>
      <c r="N70" s="2" t="inlineStr">
        <is>
          <t>Proposed4MT/crew-day; actual weld/access quantities not validated</t>
        </is>
      </c>
      <c r="O70" s="2" t="inlineStr">
        <is>
          <t>PROPOSED / NOT APPROVED</t>
        </is>
      </c>
    </row>
    <row r="71">
      <c r="A71" s="2" t="inlineStr">
        <is>
          <t>B05-INS</t>
        </is>
      </c>
      <c r="B71" s="2" t="inlineStr">
        <is>
          <t>BHS-SLQ</t>
        </is>
      </c>
      <c r="C71" s="2" t="inlineStr">
        <is>
          <t>New bridge installation</t>
        </is>
      </c>
      <c r="D71" s="2" t="n">
        <v>7</v>
      </c>
      <c r="E71" s="2" t="inlineStr">
        <is>
          <t>OFF</t>
        </is>
      </c>
      <c r="F71" s="2" t="inlineStr">
        <is>
          <t>B05-STR;D-MAR;D-BEAR;D-GRAT</t>
        </is>
      </c>
      <c r="G71" s="2" t="inlineStr">
        <is>
          <t>Heavy-lift spread</t>
        </is>
      </c>
      <c r="H71" s="2" t="inlineStr">
        <is>
          <t>Marine / Construction</t>
        </is>
      </c>
      <c r="I71" s="2" t="inlineStr">
        <is>
          <t>2027-11-13</t>
        </is>
      </c>
      <c r="J71" s="2" t="inlineStr">
        <is>
          <t>2027-11-20</t>
        </is>
      </c>
      <c r="K71" s="2" t="inlineStr">
        <is>
          <t>2028-01-03</t>
        </is>
      </c>
      <c r="L71" s="2" t="inlineStr">
        <is>
          <t>2028-01-10</t>
        </is>
      </c>
      <c r="M71" s="2" t="n">
        <v>51</v>
      </c>
      <c r="N71" s="2" t="inlineStr">
        <is>
          <t>Aggregate planning allowance; engineered lifts and temporary stability required</t>
        </is>
      </c>
      <c r="O71" s="2" t="inlineStr">
        <is>
          <t>PROPOSED / NOT APPROVED</t>
        </is>
      </c>
    </row>
    <row r="72">
      <c r="A72" s="2" t="inlineStr">
        <is>
          <t>B05-SRV</t>
        </is>
      </c>
      <c r="B72" s="2" t="inlineStr">
        <is>
          <t>BHS-SLQ</t>
        </is>
      </c>
      <c r="C72" s="2" t="inlineStr">
        <is>
          <t>Services transfer, test and accepted reinstatement</t>
        </is>
      </c>
      <c r="D72" s="2" t="n">
        <v>5</v>
      </c>
      <c r="E72" s="2" t="inlineStr">
        <is>
          <t>OFF</t>
        </is>
      </c>
      <c r="F72" s="2" t="inlineStr">
        <is>
          <t>B05-INS;D-PIPE;D-ELEC;D-INST;D-TRAY</t>
        </is>
      </c>
      <c r="G72" s="2" t="inlineStr">
        <is>
          <t>Service transfer team</t>
        </is>
      </c>
      <c r="H72" s="2" t="inlineStr">
        <is>
          <t>Commissioning</t>
        </is>
      </c>
      <c r="I72" s="2" t="inlineStr">
        <is>
          <t>2027-11-20</t>
        </is>
      </c>
      <c r="J72" s="2" t="inlineStr">
        <is>
          <t>2027-11-25</t>
        </is>
      </c>
      <c r="K72" s="2" t="inlineStr">
        <is>
          <t>2028-01-14</t>
        </is>
      </c>
      <c r="L72" s="2" t="inlineStr">
        <is>
          <t>2028-01-19</t>
        </is>
      </c>
      <c r="M72" s="2" t="n">
        <v>55</v>
      </c>
      <c r="N72" s="2" t="inlineStr">
        <is>
          <t>Proposed allowance; replace with verified inputs</t>
        </is>
      </c>
      <c r="O72" s="2" t="inlineStr">
        <is>
          <t>PROPOSED / NOT APPROVED</t>
        </is>
      </c>
    </row>
    <row r="73">
      <c r="A73" s="2" t="inlineStr">
        <is>
          <t>B05-DEM</t>
        </is>
      </c>
      <c r="B73" s="2" t="inlineStr">
        <is>
          <t>BHS-SLQ</t>
        </is>
      </c>
      <c r="C73" s="2" t="inlineStr">
        <is>
          <t>Engineered demolition/removal and scrap backload</t>
        </is>
      </c>
      <c r="D73" s="2" t="n">
        <v>14</v>
      </c>
      <c r="E73" s="2" t="inlineStr">
        <is>
          <t>OFF</t>
        </is>
      </c>
      <c r="F73" s="2" t="inlineStr">
        <is>
          <t>B05-SRV</t>
        </is>
      </c>
      <c r="G73" s="2" t="inlineStr">
        <is>
          <t>Removal team</t>
        </is>
      </c>
      <c r="H73" s="2" t="inlineStr">
        <is>
          <t>Construction</t>
        </is>
      </c>
      <c r="I73" s="2" t="inlineStr">
        <is>
          <t>2027-11-25</t>
        </is>
      </c>
      <c r="J73" s="2" t="inlineStr">
        <is>
          <t>2027-12-09</t>
        </is>
      </c>
      <c r="K73" s="2" t="inlineStr">
        <is>
          <t>2028-02-03</t>
        </is>
      </c>
      <c r="L73" s="2" t="inlineStr">
        <is>
          <t>2028-02-17</t>
        </is>
      </c>
      <c r="M73" s="2" t="n">
        <v>70</v>
      </c>
      <c r="N73" s="2" t="inlineStr">
        <is>
          <t>Proposed15MT/day allowance; BHS sequence after safe new service transfer, subject to approved method</t>
        </is>
      </c>
      <c r="O73" s="2" t="inlineStr">
        <is>
          <t>PROPOSED / NOT APPROVED</t>
        </is>
      </c>
    </row>
    <row r="74">
      <c r="A74" s="2" t="inlineStr">
        <is>
          <t>B05-PUN</t>
        </is>
      </c>
      <c r="B74" s="2" t="inlineStr">
        <is>
          <t>BHS-SLQ</t>
        </is>
      </c>
      <c r="C74" s="2" t="inlineStr">
        <is>
          <t>Inspection, touch-up and offshore punch closure</t>
        </is>
      </c>
      <c r="D74" s="2" t="n">
        <v>3</v>
      </c>
      <c r="E74" s="2" t="inlineStr">
        <is>
          <t>OFF</t>
        </is>
      </c>
      <c r="F74" s="2" t="inlineStr">
        <is>
          <t>B05-DEM</t>
        </is>
      </c>
      <c r="G74" s="2" t="inlineStr"/>
      <c r="H74" s="2" t="inlineStr">
        <is>
          <t>QA / Commissioning</t>
        </is>
      </c>
      <c r="I74" s="2" t="inlineStr">
        <is>
          <t>2027-12-09</t>
        </is>
      </c>
      <c r="J74" s="2" t="inlineStr">
        <is>
          <t>2027-12-12</t>
        </is>
      </c>
      <c r="K74" s="2" t="inlineStr">
        <is>
          <t>2028-03-06</t>
        </is>
      </c>
      <c r="L74" s="2" t="inlineStr">
        <is>
          <t>2028-03-09</t>
        </is>
      </c>
      <c r="M74" s="2" t="n">
        <v>88</v>
      </c>
      <c r="N74" s="2" t="inlineStr">
        <is>
          <t>Proposed allowance; replace with verified inputs</t>
        </is>
      </c>
      <c r="O74" s="2" t="inlineStr">
        <is>
          <t>PROPOSED / NOT APPROVED</t>
        </is>
      </c>
    </row>
    <row r="75">
      <c r="A75" s="2" t="inlineStr">
        <is>
          <t>B05-DOS</t>
        </is>
      </c>
      <c r="B75" s="2" t="inlineStr">
        <is>
          <t>BHS-SLQ</t>
        </is>
      </c>
      <c r="C75" s="2" t="inlineStr">
        <is>
          <t>As-built, QA and turnover dossier acceptance</t>
        </is>
      </c>
      <c r="D75" s="2" t="n">
        <v>10</v>
      </c>
      <c r="E75" s="2" t="inlineStr">
        <is>
          <t>OFFICE</t>
        </is>
      </c>
      <c r="F75" s="2" t="inlineStr">
        <is>
          <t>B05-PUN</t>
        </is>
      </c>
      <c r="G75" s="2" t="inlineStr"/>
      <c r="H75" s="2" t="inlineStr">
        <is>
          <t>Document Control</t>
        </is>
      </c>
      <c r="I75" s="2" t="inlineStr">
        <is>
          <t>2027-12-13</t>
        </is>
      </c>
      <c r="J75" s="2" t="inlineStr">
        <is>
          <t>2027-12-25</t>
        </is>
      </c>
      <c r="K75" s="2" t="inlineStr">
        <is>
          <t>2028-03-09</t>
        </is>
      </c>
      <c r="L75" s="2" t="inlineStr">
        <is>
          <t>2028-03-23</t>
        </is>
      </c>
      <c r="M75" s="2" t="n">
        <v>87</v>
      </c>
      <c r="N75" s="2" t="inlineStr">
        <is>
          <t>Proposed allowance; replace with verified inputs</t>
        </is>
      </c>
      <c r="O75" s="2" t="inlineStr">
        <is>
          <t>PROPOSED / NOT APPROVED</t>
        </is>
      </c>
    </row>
    <row r="76">
      <c r="A76" s="2" t="inlineStr">
        <is>
          <t>B02-BAS</t>
        </is>
      </c>
      <c r="B76" s="2" t="inlineStr">
        <is>
          <t>ICW-ICG LD</t>
        </is>
      </c>
      <c r="C76" s="2" t="inlineStr">
        <is>
          <t>Design basis, loads and interfaces</t>
        </is>
      </c>
      <c r="D76" s="2" t="n">
        <v>5</v>
      </c>
      <c r="E76" s="2" t="inlineStr">
        <is>
          <t>OFFICE</t>
        </is>
      </c>
      <c r="F76" s="2" t="inlineStr">
        <is>
          <t>G05;D-DES</t>
        </is>
      </c>
      <c r="G76" s="2" t="inlineStr"/>
      <c r="H76" s="2" t="inlineStr">
        <is>
          <t>Engineering</t>
        </is>
      </c>
      <c r="I76" s="2" t="inlineStr">
        <is>
          <t>2026-12-28</t>
        </is>
      </c>
      <c r="J76" s="2" t="inlineStr">
        <is>
          <t>2027-01-02</t>
        </is>
      </c>
      <c r="K76" s="2" t="inlineStr">
        <is>
          <t>2027-04-02</t>
        </is>
      </c>
      <c r="L76" s="2" t="inlineStr">
        <is>
          <t>2027-04-09</t>
        </is>
      </c>
      <c r="M76" s="2" t="n">
        <v>95</v>
      </c>
      <c r="N76" s="2" t="inlineStr">
        <is>
          <t>Proposed allowance; replace with verified inputs</t>
        </is>
      </c>
      <c r="O76" s="2" t="inlineStr">
        <is>
          <t>PROPOSED / NOT APPROVED</t>
        </is>
      </c>
    </row>
    <row r="77">
      <c r="A77" s="2" t="inlineStr">
        <is>
          <t>B02-BRV</t>
        </is>
      </c>
      <c r="B77" s="2" t="inlineStr">
        <is>
          <t>ICW-ICG LD</t>
        </is>
      </c>
      <c r="C77" s="2" t="inlineStr">
        <is>
          <t>Basis review and comment closure allowance</t>
        </is>
      </c>
      <c r="D77" s="2" t="n">
        <v>10</v>
      </c>
      <c r="E77" s="2" t="inlineStr">
        <is>
          <t>OFFICE</t>
        </is>
      </c>
      <c r="F77" s="2" t="inlineStr">
        <is>
          <t>B02-BAS</t>
        </is>
      </c>
      <c r="G77" s="2" t="inlineStr"/>
      <c r="H77" s="2" t="inlineStr">
        <is>
          <t>Engineering</t>
        </is>
      </c>
      <c r="I77" s="2" t="inlineStr">
        <is>
          <t>2027-01-04</t>
        </is>
      </c>
      <c r="J77" s="2" t="inlineStr">
        <is>
          <t>2027-01-16</t>
        </is>
      </c>
      <c r="K77" s="2" t="inlineStr">
        <is>
          <t>2027-04-09</t>
        </is>
      </c>
      <c r="L77" s="2" t="inlineStr">
        <is>
          <t>2027-04-23</t>
        </is>
      </c>
      <c r="M77" s="2" t="n">
        <v>95</v>
      </c>
      <c r="N77" s="2" t="inlineStr">
        <is>
          <t>Proposed allowance; replace with verified inputs</t>
        </is>
      </c>
      <c r="O77" s="2" t="inlineStr">
        <is>
          <t>PROPOSED / NOT APPROVED</t>
        </is>
      </c>
    </row>
    <row r="78">
      <c r="A78" s="2" t="inlineStr">
        <is>
          <t>B02-ANA</t>
        </is>
      </c>
      <c r="B78" s="2" t="inlineStr">
        <is>
          <t>ICW-ICG LD</t>
        </is>
      </c>
      <c r="C78" s="2" t="inlineStr">
        <is>
          <t>Bridge/platform and preservice analysis preparation</t>
        </is>
      </c>
      <c r="D78" s="2" t="n">
        <v>20</v>
      </c>
      <c r="E78" s="2" t="inlineStr">
        <is>
          <t>OFFICE</t>
        </is>
      </c>
      <c r="F78" s="2" t="inlineStr">
        <is>
          <t>B02-BRV</t>
        </is>
      </c>
      <c r="G78" s="2" t="inlineStr"/>
      <c r="H78" s="2" t="inlineStr">
        <is>
          <t>Structural</t>
        </is>
      </c>
      <c r="I78" s="2" t="inlineStr">
        <is>
          <t>2027-01-18</t>
        </is>
      </c>
      <c r="J78" s="2" t="inlineStr">
        <is>
          <t>2027-02-13</t>
        </is>
      </c>
      <c r="K78" s="2" t="inlineStr">
        <is>
          <t>2027-04-23</t>
        </is>
      </c>
      <c r="L78" s="2" t="inlineStr">
        <is>
          <t>2027-05-21</t>
        </is>
      </c>
      <c r="M78" s="2" t="n">
        <v>95</v>
      </c>
      <c r="N78" s="2" t="inlineStr">
        <is>
          <t>Proposed engineering effort window; native analysis/check evidence not supplied</t>
        </is>
      </c>
      <c r="O78" s="2" t="inlineStr">
        <is>
          <t>PROPOSED / NOT APPROVED</t>
        </is>
      </c>
    </row>
    <row r="79">
      <c r="A79" s="2" t="inlineStr">
        <is>
          <t>B02-ARV</t>
        </is>
      </c>
      <c r="B79" s="2" t="inlineStr">
        <is>
          <t>ICW-ICG LD</t>
        </is>
      </c>
      <c r="C79" s="2" t="inlineStr">
        <is>
          <t>Analysis review and comment closure allowance</t>
        </is>
      </c>
      <c r="D79" s="2" t="n">
        <v>10</v>
      </c>
      <c r="E79" s="2" t="inlineStr">
        <is>
          <t>OFFICE</t>
        </is>
      </c>
      <c r="F79" s="2" t="inlineStr">
        <is>
          <t>B02-ANA</t>
        </is>
      </c>
      <c r="G79" s="2" t="inlineStr"/>
      <c r="H79" s="2" t="inlineStr">
        <is>
          <t>Engineering</t>
        </is>
      </c>
      <c r="I79" s="2" t="inlineStr">
        <is>
          <t>2027-02-15</t>
        </is>
      </c>
      <c r="J79" s="2" t="inlineStr">
        <is>
          <t>2027-02-27</t>
        </is>
      </c>
      <c r="K79" s="2" t="inlineStr">
        <is>
          <t>2027-05-21</t>
        </is>
      </c>
      <c r="L79" s="2" t="inlineStr">
        <is>
          <t>2027-06-04</t>
        </is>
      </c>
      <c r="M79" s="2" t="n">
        <v>95</v>
      </c>
      <c r="N79" s="2" t="inlineStr">
        <is>
          <t>Proposed allowance; replace with verified inputs</t>
        </is>
      </c>
      <c r="O79" s="2" t="inlineStr">
        <is>
          <t>PROPOSED / NOT APPROVED</t>
        </is>
      </c>
    </row>
    <row r="80">
      <c r="A80" s="2" t="inlineStr">
        <is>
          <t>B02-DET</t>
        </is>
      </c>
      <c r="B80" s="2" t="inlineStr">
        <is>
          <t>ICW-ICG LD</t>
        </is>
      </c>
      <c r="C80" s="2" t="inlineStr">
        <is>
          <t>Connection, bearing, landing and workpack detailing</t>
        </is>
      </c>
      <c r="D80" s="2" t="n">
        <v>15</v>
      </c>
      <c r="E80" s="2" t="inlineStr">
        <is>
          <t>OFFICE</t>
        </is>
      </c>
      <c r="F80" s="2" t="inlineStr">
        <is>
          <t>B02-ARV</t>
        </is>
      </c>
      <c r="G80" s="2" t="inlineStr"/>
      <c r="H80" s="2" t="inlineStr">
        <is>
          <t>Structural</t>
        </is>
      </c>
      <c r="I80" s="2" t="inlineStr">
        <is>
          <t>2027-03-01</t>
        </is>
      </c>
      <c r="J80" s="2" t="inlineStr">
        <is>
          <t>2027-03-20</t>
        </is>
      </c>
      <c r="K80" s="2" t="inlineStr">
        <is>
          <t>2027-06-04</t>
        </is>
      </c>
      <c r="L80" s="2" t="inlineStr">
        <is>
          <t>2027-06-25</t>
        </is>
      </c>
      <c r="M80" s="2" t="n">
        <v>95</v>
      </c>
      <c r="N80" s="2" t="inlineStr">
        <is>
          <t>Proposed allowance; replace with verified inputs</t>
        </is>
      </c>
      <c r="O80" s="2" t="inlineStr">
        <is>
          <t>PROPOSED / NOT APPROVED</t>
        </is>
      </c>
    </row>
    <row r="81">
      <c r="A81" s="2" t="inlineStr">
        <is>
          <t>B02-DRV</t>
        </is>
      </c>
      <c r="B81" s="2" t="inlineStr">
        <is>
          <t>ICW-ICG LD</t>
        </is>
      </c>
      <c r="C81" s="2" t="inlineStr">
        <is>
          <t>Drawing review and comment closure allowance</t>
        </is>
      </c>
      <c r="D81" s="2" t="n">
        <v>10</v>
      </c>
      <c r="E81" s="2" t="inlineStr">
        <is>
          <t>OFFICE</t>
        </is>
      </c>
      <c r="F81" s="2" t="inlineStr">
        <is>
          <t>B02-DET</t>
        </is>
      </c>
      <c r="G81" s="2" t="inlineStr"/>
      <c r="H81" s="2" t="inlineStr">
        <is>
          <t>Engineering</t>
        </is>
      </c>
      <c r="I81" s="2" t="inlineStr">
        <is>
          <t>2027-03-22</t>
        </is>
      </c>
      <c r="J81" s="2" t="inlineStr">
        <is>
          <t>2027-04-03</t>
        </is>
      </c>
      <c r="K81" s="2" t="inlineStr">
        <is>
          <t>2027-06-25</t>
        </is>
      </c>
      <c r="L81" s="2" t="inlineStr">
        <is>
          <t>2027-07-09</t>
        </is>
      </c>
      <c r="M81" s="2" t="n">
        <v>95</v>
      </c>
      <c r="N81" s="2" t="inlineStr">
        <is>
          <t>Proposed allowance; replace with verified inputs</t>
        </is>
      </c>
      <c r="O81" s="2" t="inlineStr">
        <is>
          <t>PROPOSED / NOT APPROVED</t>
        </is>
      </c>
    </row>
    <row r="82">
      <c r="A82" s="2" t="inlineStr">
        <is>
          <t>B02-AFC</t>
        </is>
      </c>
      <c r="B82" s="2" t="inlineStr">
        <is>
          <t>ICW-ICG LD</t>
        </is>
      </c>
      <c r="C82" s="2" t="inlineStr">
        <is>
          <t>AFC design/MTO independent check and release gate</t>
        </is>
      </c>
      <c r="D82" s="2" t="n">
        <v>0</v>
      </c>
      <c r="E82" s="2" t="inlineStr">
        <is>
          <t>ALL</t>
        </is>
      </c>
      <c r="F82" s="2" t="inlineStr">
        <is>
          <t>B02-DRV</t>
        </is>
      </c>
      <c r="G82" s="2" t="inlineStr"/>
      <c r="H82" s="2" t="inlineStr">
        <is>
          <t>Engineering</t>
        </is>
      </c>
      <c r="I82" s="2" t="inlineStr">
        <is>
          <t>2027-04-03</t>
        </is>
      </c>
      <c r="J82" s="2" t="inlineStr">
        <is>
          <t>2027-04-03</t>
        </is>
      </c>
      <c r="K82" s="2" t="inlineStr">
        <is>
          <t>2027-07-09</t>
        </is>
      </c>
      <c r="L82" s="2" t="inlineStr">
        <is>
          <t>2027-07-09</t>
        </is>
      </c>
      <c r="M82" s="2" t="n">
        <v>97</v>
      </c>
      <c r="N82" s="2" t="inlineStr">
        <is>
          <t>Gate; actual signed release not established</t>
        </is>
      </c>
      <c r="O82" s="2" t="inlineStr">
        <is>
          <t>PROPOSED / NOT APPROVED</t>
        </is>
      </c>
    </row>
    <row r="83">
      <c r="A83" s="2" t="inlineStr">
        <is>
          <t>B02-RFQ</t>
        </is>
      </c>
      <c r="B83" s="2" t="inlineStr">
        <is>
          <t>ICW-ICG LD</t>
        </is>
      </c>
      <c r="C83" s="2" t="inlineStr">
        <is>
          <t>Bridge steel RFQ, evaluation and PS preparation</t>
        </is>
      </c>
      <c r="D83" s="2" t="n">
        <v>7</v>
      </c>
      <c r="E83" s="2" t="inlineStr">
        <is>
          <t>OFFICE</t>
        </is>
      </c>
      <c r="F83" s="2" t="inlineStr">
        <is>
          <t>B02-BRV</t>
        </is>
      </c>
      <c r="G83" s="2" t="inlineStr"/>
      <c r="H83" s="2" t="inlineStr">
        <is>
          <t>Procurement</t>
        </is>
      </c>
      <c r="I83" s="2" t="inlineStr">
        <is>
          <t>2027-01-18</t>
        </is>
      </c>
      <c r="J83" s="2" t="inlineStr">
        <is>
          <t>2027-01-27</t>
        </is>
      </c>
      <c r="K83" s="2" t="inlineStr">
        <is>
          <t>2027-06-16</t>
        </is>
      </c>
      <c r="L83" s="2" t="inlineStr">
        <is>
          <t>2027-06-25</t>
        </is>
      </c>
      <c r="M83" s="2" t="n">
        <v>149</v>
      </c>
      <c r="N83" s="2" t="inlineStr">
        <is>
          <t>Proposed allowance; replace with verified inputs</t>
        </is>
      </c>
      <c r="O83" s="2" t="inlineStr">
        <is>
          <t>PROPOSED / NOT APPROVED</t>
        </is>
      </c>
    </row>
    <row r="84">
      <c r="A84" s="2" t="inlineStr">
        <is>
          <t>B02-PRV</t>
        </is>
      </c>
      <c r="B84" s="2" t="inlineStr">
        <is>
          <t>ICW-ICG LD</t>
        </is>
      </c>
      <c r="C84" s="2" t="inlineStr">
        <is>
          <t>Bridge steel PS review allowance</t>
        </is>
      </c>
      <c r="D84" s="2" t="n">
        <v>10</v>
      </c>
      <c r="E84" s="2" t="inlineStr">
        <is>
          <t>OFFICE</t>
        </is>
      </c>
      <c r="F84" s="2" t="inlineStr">
        <is>
          <t>B02-RFQ</t>
        </is>
      </c>
      <c r="G84" s="2" t="inlineStr"/>
      <c r="H84" s="2" t="inlineStr">
        <is>
          <t>Procurement</t>
        </is>
      </c>
      <c r="I84" s="2" t="inlineStr">
        <is>
          <t>2027-01-27</t>
        </is>
      </c>
      <c r="J84" s="2" t="inlineStr">
        <is>
          <t>2027-02-10</t>
        </is>
      </c>
      <c r="K84" s="2" t="inlineStr">
        <is>
          <t>2027-06-25</t>
        </is>
      </c>
      <c r="L84" s="2" t="inlineStr">
        <is>
          <t>2027-07-09</t>
        </is>
      </c>
      <c r="M84" s="2" t="n">
        <v>149</v>
      </c>
      <c r="N84" s="2" t="inlineStr">
        <is>
          <t>Proposed allowance; replace with verified inputs</t>
        </is>
      </c>
      <c r="O84" s="2" t="inlineStr">
        <is>
          <t>PROPOSED / NOT APPROVED</t>
        </is>
      </c>
    </row>
    <row r="85">
      <c r="A85" s="2" t="inlineStr">
        <is>
          <t>B02-PO</t>
        </is>
      </c>
      <c r="B85" s="2" t="inlineStr">
        <is>
          <t>ICW-ICG LD</t>
        </is>
      </c>
      <c r="C85" s="2" t="inlineStr">
        <is>
          <t>Bridge steel compliant PO release gate</t>
        </is>
      </c>
      <c r="D85" s="2" t="n">
        <v>0</v>
      </c>
      <c r="E85" s="2" t="inlineStr">
        <is>
          <t>ALL</t>
        </is>
      </c>
      <c r="F85" s="2" t="inlineStr">
        <is>
          <t>B02-AFC;B02-PRV</t>
        </is>
      </c>
      <c r="G85" s="2" t="inlineStr"/>
      <c r="H85" s="2" t="inlineStr">
        <is>
          <t>Procurement</t>
        </is>
      </c>
      <c r="I85" s="2" t="inlineStr">
        <is>
          <t>2027-04-03</t>
        </is>
      </c>
      <c r="J85" s="2" t="inlineStr">
        <is>
          <t>2027-04-03</t>
        </is>
      </c>
      <c r="K85" s="2" t="inlineStr">
        <is>
          <t>2027-07-09</t>
        </is>
      </c>
      <c r="L85" s="2" t="inlineStr">
        <is>
          <t>2027-07-09</t>
        </is>
      </c>
      <c r="M85" s="2" t="n">
        <v>97</v>
      </c>
      <c r="N85" s="2" t="inlineStr">
        <is>
          <t>No at-risk purchase assumed; amended domestic-origin evidence required</t>
        </is>
      </c>
      <c r="O85" s="2" t="inlineStr">
        <is>
          <t>PROPOSED / NOT APPROVED</t>
        </is>
      </c>
    </row>
    <row r="86">
      <c r="A86" s="2" t="inlineStr">
        <is>
          <t>B02-MAT</t>
        </is>
      </c>
      <c r="B86" s="2" t="inlineStr">
        <is>
          <t>ICW-ICG LD</t>
        </is>
      </c>
      <c r="C86" s="2" t="inlineStr">
        <is>
          <t>Mill production, inspection and steel delivery</t>
        </is>
      </c>
      <c r="D86" s="2" t="n">
        <v>45</v>
      </c>
      <c r="E86" s="2" t="inlineStr">
        <is>
          <t>ALL</t>
        </is>
      </c>
      <c r="F86" s="2" t="inlineStr">
        <is>
          <t>B02-PO</t>
        </is>
      </c>
      <c r="G86" s="2" t="inlineStr"/>
      <c r="H86" s="2" t="inlineStr">
        <is>
          <t>Procurement</t>
        </is>
      </c>
      <c r="I86" s="2" t="inlineStr">
        <is>
          <t>2027-04-03</t>
        </is>
      </c>
      <c r="J86" s="2" t="inlineStr">
        <is>
          <t>2027-05-18</t>
        </is>
      </c>
      <c r="K86" s="2" t="inlineStr">
        <is>
          <t>2027-07-09</t>
        </is>
      </c>
      <c r="L86" s="2" t="inlineStr">
        <is>
          <t>2027-08-23</t>
        </is>
      </c>
      <c r="M86" s="2" t="n">
        <v>97</v>
      </c>
      <c r="N86" s="2" t="inlineStr">
        <is>
          <t>Unquoted45calendar-day placeholder; origin, mill capacity and transport unresolved</t>
        </is>
      </c>
      <c r="O86" s="2" t="inlineStr">
        <is>
          <t>PROPOSED / NOT APPROVED</t>
        </is>
      </c>
    </row>
    <row r="87">
      <c r="A87" s="2" t="inlineStr">
        <is>
          <t>B02-FAB</t>
        </is>
      </c>
      <c r="B87" s="2" t="inlineStr">
        <is>
          <t>ICW-ICG LD</t>
        </is>
      </c>
      <c r="C87" s="2" t="inlineStr">
        <is>
          <t>Fit-up, welding and dimensional control</t>
        </is>
      </c>
      <c r="D87" s="2" t="n">
        <v>31</v>
      </c>
      <c r="E87" s="2" t="inlineStr">
        <is>
          <t>YARD</t>
        </is>
      </c>
      <c r="F87" s="2" t="inlineStr">
        <is>
          <t>B02-MAT;D-NDT;D-TPI</t>
        </is>
      </c>
      <c r="G87" s="2" t="inlineStr">
        <is>
          <t>Fabrication line 2</t>
        </is>
      </c>
      <c r="H87" s="2" t="inlineStr">
        <is>
          <t>Fabrication</t>
        </is>
      </c>
      <c r="I87" s="2" t="inlineStr">
        <is>
          <t>2027-05-18</t>
        </is>
      </c>
      <c r="J87" s="2" t="inlineStr">
        <is>
          <t>2027-06-23</t>
        </is>
      </c>
      <c r="K87" s="2" t="inlineStr">
        <is>
          <t>2027-08-23</t>
        </is>
      </c>
      <c r="L87" s="2" t="inlineStr">
        <is>
          <t>2027-09-28</t>
        </is>
      </c>
      <c r="M87" s="2" t="n">
        <v>97</v>
      </c>
      <c r="N87" s="2" t="inlineStr">
        <is>
          <t>Assumed4MT per productive bay-day; includes aggregate steel, not validated shop productivity</t>
        </is>
      </c>
      <c r="O87" s="2" t="inlineStr">
        <is>
          <t>PROPOSED / NOT APPROVED</t>
        </is>
      </c>
    </row>
    <row r="88">
      <c r="A88" s="2" t="inlineStr">
        <is>
          <t>B02-NDT</t>
        </is>
      </c>
      <c r="B88" s="2" t="inlineStr">
        <is>
          <t>ICW-ICG LD</t>
        </is>
      </c>
      <c r="C88" s="2" t="inlineStr">
        <is>
          <t>NDT, repair allowance and dimensional release</t>
        </is>
      </c>
      <c r="D88" s="2" t="n">
        <v>6</v>
      </c>
      <c r="E88" s="2" t="inlineStr">
        <is>
          <t>YARD</t>
        </is>
      </c>
      <c r="F88" s="2" t="inlineStr">
        <is>
          <t>B02-FAB</t>
        </is>
      </c>
      <c r="G88" s="2" t="inlineStr"/>
      <c r="H88" s="2" t="inlineStr">
        <is>
          <t>QA</t>
        </is>
      </c>
      <c r="I88" s="2" t="inlineStr">
        <is>
          <t>2027-06-23</t>
        </is>
      </c>
      <c r="J88" s="2" t="inlineStr">
        <is>
          <t>2027-06-30</t>
        </is>
      </c>
      <c r="K88" s="2" t="inlineStr">
        <is>
          <t>2027-09-28</t>
        </is>
      </c>
      <c r="L88" s="2" t="inlineStr">
        <is>
          <t>2027-10-05</t>
        </is>
      </c>
      <c r="M88" s="2" t="n">
        <v>97</v>
      </c>
      <c r="N88" s="2" t="inlineStr">
        <is>
          <t>Proposed allowance; replace with verified inputs</t>
        </is>
      </c>
      <c r="O88" s="2" t="inlineStr">
        <is>
          <t>PROPOSED / NOT APPROVED</t>
        </is>
      </c>
    </row>
    <row r="89">
      <c r="A89" s="2" t="inlineStr">
        <is>
          <t>B02-COA</t>
        </is>
      </c>
      <c r="B89" s="2" t="inlineStr">
        <is>
          <t>ICW-ICG LD</t>
        </is>
      </c>
      <c r="C89" s="2" t="inlineStr">
        <is>
          <t>Surface preparation, coating and curing allowance</t>
        </is>
      </c>
      <c r="D89" s="2" t="n">
        <v>10</v>
      </c>
      <c r="E89" s="2" t="inlineStr">
        <is>
          <t>YARD</t>
        </is>
      </c>
      <c r="F89" s="2" t="inlineStr">
        <is>
          <t>B02-NDT;D-COAT;B05-COA</t>
        </is>
      </c>
      <c r="G89" s="2" t="inlineStr">
        <is>
          <t>Coating cell</t>
        </is>
      </c>
      <c r="H89" s="2" t="inlineStr">
        <is>
          <t>Coating</t>
        </is>
      </c>
      <c r="I89" s="2" t="inlineStr">
        <is>
          <t>2027-08-27</t>
        </is>
      </c>
      <c r="J89" s="2" t="inlineStr">
        <is>
          <t>2027-09-08</t>
        </is>
      </c>
      <c r="K89" s="2" t="inlineStr">
        <is>
          <t>2027-10-05</t>
        </is>
      </c>
      <c r="L89" s="2" t="inlineStr">
        <is>
          <t>2027-10-16</t>
        </is>
      </c>
      <c r="M89" s="2" t="n">
        <v>39</v>
      </c>
      <c r="N89" s="2" t="inlineStr">
        <is>
          <t>Proposed allowance; replace with verified inputs</t>
        </is>
      </c>
      <c r="O89" s="2" t="inlineStr">
        <is>
          <t>PROPOSED / NOT APPROVED</t>
        </is>
      </c>
    </row>
    <row r="90">
      <c r="A90" s="2" t="inlineStr">
        <is>
          <t>B02-REL</t>
        </is>
      </c>
      <c r="B90" s="2" t="inlineStr">
        <is>
          <t>ICW-ICG LD</t>
        </is>
      </c>
      <c r="C90" s="2" t="inlineStr">
        <is>
          <t>Trial fit, verified weight/COG and loadout release</t>
        </is>
      </c>
      <c r="D90" s="2" t="n">
        <v>5</v>
      </c>
      <c r="E90" s="2" t="inlineStr">
        <is>
          <t>YARD</t>
        </is>
      </c>
      <c r="F90" s="2" t="inlineStr">
        <is>
          <t>B02-COA</t>
        </is>
      </c>
      <c r="G90" s="2" t="inlineStr"/>
      <c r="H90" s="2" t="inlineStr">
        <is>
          <t>QA / Marine</t>
        </is>
      </c>
      <c r="I90" s="2" t="inlineStr">
        <is>
          <t>2027-09-08</t>
        </is>
      </c>
      <c r="J90" s="2" t="inlineStr">
        <is>
          <t>2027-09-14</t>
        </is>
      </c>
      <c r="K90" s="2" t="inlineStr">
        <is>
          <t>2027-12-06</t>
        </is>
      </c>
      <c r="L90" s="2" t="inlineStr">
        <is>
          <t>2027-12-11</t>
        </is>
      </c>
      <c r="M90" s="2" t="n">
        <v>89</v>
      </c>
      <c r="N90" s="2" t="inlineStr">
        <is>
          <t>Proposed allowance; replace with verified inputs</t>
        </is>
      </c>
      <c r="O90" s="2" t="inlineStr">
        <is>
          <t>PROPOSED / NOT APPROVED</t>
        </is>
      </c>
    </row>
    <row r="91">
      <c r="A91" s="2" t="inlineStr">
        <is>
          <t>B02-TRN</t>
        </is>
      </c>
      <c r="B91" s="2" t="inlineStr">
        <is>
          <t>ICW-ICG LD</t>
        </is>
      </c>
      <c r="C91" s="2" t="inlineStr">
        <is>
          <t>Loadout, transport and offshore receipt</t>
        </is>
      </c>
      <c r="D91" s="2" t="n">
        <v>3</v>
      </c>
      <c r="E91" s="2" t="inlineStr">
        <is>
          <t>OFF</t>
        </is>
      </c>
      <c r="F91" s="2" t="inlineStr">
        <is>
          <t>B02-REL;D-CARGO;B05-TRN</t>
        </is>
      </c>
      <c r="G91" s="2" t="inlineStr">
        <is>
          <t>Cargo spread</t>
        </is>
      </c>
      <c r="H91" s="2" t="inlineStr">
        <is>
          <t>Logistics</t>
        </is>
      </c>
      <c r="I91" s="2" t="inlineStr">
        <is>
          <t>2027-10-19</t>
        </is>
      </c>
      <c r="J91" s="2" t="inlineStr">
        <is>
          <t>2027-10-22</t>
        </is>
      </c>
      <c r="K91" s="2" t="inlineStr">
        <is>
          <t>2027-12-11</t>
        </is>
      </c>
      <c r="L91" s="2" t="inlineStr">
        <is>
          <t>2027-12-14</t>
        </is>
      </c>
      <c r="M91" s="2" t="n">
        <v>53</v>
      </c>
      <c r="N91" s="2" t="inlineStr">
        <is>
          <t>Proposed allowance; replace with verified inputs</t>
        </is>
      </c>
      <c r="O91" s="2" t="inlineStr">
        <is>
          <t>PROPOSED / NOT APPROVED</t>
        </is>
      </c>
    </row>
    <row r="92">
      <c r="A92" s="2" t="inlineStr">
        <is>
          <t>B02-PRE</t>
        </is>
      </c>
      <c r="B92" s="2" t="inlineStr">
        <is>
          <t>ICW-ICG LD</t>
        </is>
      </c>
      <c r="C92" s="2" t="inlineStr">
        <is>
          <t>PTW, access, SIMOPS and work-front readiness</t>
        </is>
      </c>
      <c r="D92" s="2" t="n">
        <v>3</v>
      </c>
      <c r="E92" s="2" t="inlineStr">
        <is>
          <t>OFF</t>
        </is>
      </c>
      <c r="F92" s="2" t="inlineStr">
        <is>
          <t>B02-TRN;D-SCAF;D-PPE</t>
        </is>
      </c>
      <c r="G92" s="2" t="inlineStr"/>
      <c r="H92" s="2" t="inlineStr">
        <is>
          <t>Construction</t>
        </is>
      </c>
      <c r="I92" s="2" t="inlineStr">
        <is>
          <t>2027-10-22</t>
        </is>
      </c>
      <c r="J92" s="2" t="inlineStr">
        <is>
          <t>2027-10-25</t>
        </is>
      </c>
      <c r="K92" s="2" t="inlineStr">
        <is>
          <t>2027-12-15</t>
        </is>
      </c>
      <c r="L92" s="2" t="inlineStr">
        <is>
          <t>2027-12-18</t>
        </is>
      </c>
      <c r="M92" s="2" t="n">
        <v>54</v>
      </c>
      <c r="N92" s="2" t="inlineStr">
        <is>
          <t>Proposed allowance; replace with verified inputs</t>
        </is>
      </c>
      <c r="O92" s="2" t="inlineStr">
        <is>
          <t>PROPOSED / NOT APPROVED</t>
        </is>
      </c>
    </row>
    <row r="93">
      <c r="A93" s="2" t="inlineStr">
        <is>
          <t>B02-STR</t>
        </is>
      </c>
      <c r="B93" s="2" t="inlineStr">
        <is>
          <t>ICW-ICG LD</t>
        </is>
      </c>
      <c r="C93" s="2" t="inlineStr">
        <is>
          <t>Landing/platform pre-install strengthening</t>
        </is>
      </c>
      <c r="D93" s="2" t="n">
        <v>17</v>
      </c>
      <c r="E93" s="2" t="inlineStr">
        <is>
          <t>OFF</t>
        </is>
      </c>
      <c r="F93" s="2" t="inlineStr">
        <is>
          <t>B02-PRE</t>
        </is>
      </c>
      <c r="G93" s="2" t="inlineStr">
        <is>
          <t>Strength crew 2</t>
        </is>
      </c>
      <c r="H93" s="2" t="inlineStr">
        <is>
          <t>Construction</t>
        </is>
      </c>
      <c r="I93" s="2" t="inlineStr">
        <is>
          <t>2027-10-25</t>
        </is>
      </c>
      <c r="J93" s="2" t="inlineStr">
        <is>
          <t>2027-11-11</t>
        </is>
      </c>
      <c r="K93" s="2" t="inlineStr">
        <is>
          <t>2027-12-18</t>
        </is>
      </c>
      <c r="L93" s="2" t="inlineStr">
        <is>
          <t>2028-01-04</t>
        </is>
      </c>
      <c r="M93" s="2" t="n">
        <v>54</v>
      </c>
      <c r="N93" s="2" t="inlineStr">
        <is>
          <t>Proposed4MT/crew-day; actual weld/access quantities not validated</t>
        </is>
      </c>
      <c r="O93" s="2" t="inlineStr">
        <is>
          <t>PROPOSED / NOT APPROVED</t>
        </is>
      </c>
    </row>
    <row r="94">
      <c r="A94" s="2" t="inlineStr">
        <is>
          <t>B02-INS</t>
        </is>
      </c>
      <c r="B94" s="2" t="inlineStr">
        <is>
          <t>ICW-ICG LD</t>
        </is>
      </c>
      <c r="C94" s="2" t="inlineStr">
        <is>
          <t>New bridge installation</t>
        </is>
      </c>
      <c r="D94" s="2" t="n">
        <v>7</v>
      </c>
      <c r="E94" s="2" t="inlineStr">
        <is>
          <t>OFF</t>
        </is>
      </c>
      <c r="F94" s="2" t="inlineStr">
        <is>
          <t>B02-STR;D-MAR;D-BEAR;D-GRAT;B05-INS</t>
        </is>
      </c>
      <c r="G94" s="2" t="inlineStr">
        <is>
          <t>Heavy-lift spread</t>
        </is>
      </c>
      <c r="H94" s="2" t="inlineStr">
        <is>
          <t>Marine / Construction</t>
        </is>
      </c>
      <c r="I94" s="2" t="inlineStr">
        <is>
          <t>2027-11-20</t>
        </is>
      </c>
      <c r="J94" s="2" t="inlineStr">
        <is>
          <t>2027-11-27</t>
        </is>
      </c>
      <c r="K94" s="2" t="inlineStr">
        <is>
          <t>2028-01-10</t>
        </is>
      </c>
      <c r="L94" s="2" t="inlineStr">
        <is>
          <t>2028-01-17</t>
        </is>
      </c>
      <c r="M94" s="2" t="n">
        <v>51</v>
      </c>
      <c r="N94" s="2" t="inlineStr">
        <is>
          <t>Aggregate planning allowance; engineered lifts and temporary stability required</t>
        </is>
      </c>
      <c r="O94" s="2" t="inlineStr">
        <is>
          <t>PROPOSED / NOT APPROVED</t>
        </is>
      </c>
    </row>
    <row r="95">
      <c r="A95" s="2" t="inlineStr">
        <is>
          <t>B02-SRV</t>
        </is>
      </c>
      <c r="B95" s="2" t="inlineStr">
        <is>
          <t>ICW-ICG LD</t>
        </is>
      </c>
      <c r="C95" s="2" t="inlineStr">
        <is>
          <t>Services transfer, test and accepted reinstatement</t>
        </is>
      </c>
      <c r="D95" s="2" t="n">
        <v>5</v>
      </c>
      <c r="E95" s="2" t="inlineStr">
        <is>
          <t>OFF</t>
        </is>
      </c>
      <c r="F95" s="2" t="inlineStr">
        <is>
          <t>B02-INS;D-PIPE;D-ELEC;D-INST;D-TRAY;B05-SRV</t>
        </is>
      </c>
      <c r="G95" s="2" t="inlineStr">
        <is>
          <t>Service transfer team</t>
        </is>
      </c>
      <c r="H95" s="2" t="inlineStr">
        <is>
          <t>Commissioning</t>
        </is>
      </c>
      <c r="I95" s="2" t="inlineStr">
        <is>
          <t>2027-11-27</t>
        </is>
      </c>
      <c r="J95" s="2" t="inlineStr">
        <is>
          <t>2027-12-02</t>
        </is>
      </c>
      <c r="K95" s="2" t="inlineStr">
        <is>
          <t>2028-01-19</t>
        </is>
      </c>
      <c r="L95" s="2" t="inlineStr">
        <is>
          <t>2028-01-24</t>
        </is>
      </c>
      <c r="M95" s="2" t="n">
        <v>53</v>
      </c>
      <c r="N95" s="2" t="inlineStr">
        <is>
          <t>Proposed allowance; replace with verified inputs</t>
        </is>
      </c>
      <c r="O95" s="2" t="inlineStr">
        <is>
          <t>PROPOSED / NOT APPROVED</t>
        </is>
      </c>
    </row>
    <row r="96">
      <c r="A96" s="2" t="inlineStr">
        <is>
          <t>B02-DEM</t>
        </is>
      </c>
      <c r="B96" s="2" t="inlineStr">
        <is>
          <t>ICW-ICG LD</t>
        </is>
      </c>
      <c r="C96" s="2" t="inlineStr">
        <is>
          <t>Engineered demolition/removal and scrap backload</t>
        </is>
      </c>
      <c r="D96" s="2" t="n">
        <v>2</v>
      </c>
      <c r="E96" s="2" t="inlineStr">
        <is>
          <t>OFF</t>
        </is>
      </c>
      <c r="F96" s="2" t="inlineStr">
        <is>
          <t>B02-SRV;B05-DEM</t>
        </is>
      </c>
      <c r="G96" s="2" t="inlineStr">
        <is>
          <t>Removal team</t>
        </is>
      </c>
      <c r="H96" s="2" t="inlineStr">
        <is>
          <t>Construction</t>
        </is>
      </c>
      <c r="I96" s="2" t="inlineStr">
        <is>
          <t>2027-12-09</t>
        </is>
      </c>
      <c r="J96" s="2" t="inlineStr">
        <is>
          <t>2027-12-11</t>
        </is>
      </c>
      <c r="K96" s="2" t="inlineStr">
        <is>
          <t>2028-02-17</t>
        </is>
      </c>
      <c r="L96" s="2" t="inlineStr">
        <is>
          <t>2028-02-19</t>
        </is>
      </c>
      <c r="M96" s="2" t="n">
        <v>70</v>
      </c>
      <c r="N96" s="2" t="inlineStr">
        <is>
          <t>Proposed15MT/day allowance; BHS sequence after safe new service transfer, subject to approved method</t>
        </is>
      </c>
      <c r="O96" s="2" t="inlineStr">
        <is>
          <t>PROPOSED / NOT APPROVED</t>
        </is>
      </c>
    </row>
    <row r="97">
      <c r="A97" s="2" t="inlineStr">
        <is>
          <t>B02-PUN</t>
        </is>
      </c>
      <c r="B97" s="2" t="inlineStr">
        <is>
          <t>ICW-ICG LD</t>
        </is>
      </c>
      <c r="C97" s="2" t="inlineStr">
        <is>
          <t>Inspection, touch-up and offshore punch closure</t>
        </is>
      </c>
      <c r="D97" s="2" t="n">
        <v>3</v>
      </c>
      <c r="E97" s="2" t="inlineStr">
        <is>
          <t>OFF</t>
        </is>
      </c>
      <c r="F97" s="2" t="inlineStr">
        <is>
          <t>B02-DEM</t>
        </is>
      </c>
      <c r="G97" s="2" t="inlineStr"/>
      <c r="H97" s="2" t="inlineStr">
        <is>
          <t>QA / Commissioning</t>
        </is>
      </c>
      <c r="I97" s="2" t="inlineStr">
        <is>
          <t>2027-12-11</t>
        </is>
      </c>
      <c r="J97" s="2" t="inlineStr">
        <is>
          <t>2027-12-14</t>
        </is>
      </c>
      <c r="K97" s="2" t="inlineStr">
        <is>
          <t>2028-03-06</t>
        </is>
      </c>
      <c r="L97" s="2" t="inlineStr">
        <is>
          <t>2028-03-09</t>
        </is>
      </c>
      <c r="M97" s="2" t="n">
        <v>86</v>
      </c>
      <c r="N97" s="2" t="inlineStr">
        <is>
          <t>Proposed allowance; replace with verified inputs</t>
        </is>
      </c>
      <c r="O97" s="2" t="inlineStr">
        <is>
          <t>PROPOSED / NOT APPROVED</t>
        </is>
      </c>
    </row>
    <row r="98">
      <c r="A98" s="2" t="inlineStr">
        <is>
          <t>B02-DOS</t>
        </is>
      </c>
      <c r="B98" s="2" t="inlineStr">
        <is>
          <t>ICW-ICG LD</t>
        </is>
      </c>
      <c r="C98" s="2" t="inlineStr">
        <is>
          <t>As-built, QA and turnover dossier acceptance</t>
        </is>
      </c>
      <c r="D98" s="2" t="n">
        <v>10</v>
      </c>
      <c r="E98" s="2" t="inlineStr">
        <is>
          <t>OFFICE</t>
        </is>
      </c>
      <c r="F98" s="2" t="inlineStr">
        <is>
          <t>B02-PUN</t>
        </is>
      </c>
      <c r="G98" s="2" t="inlineStr"/>
      <c r="H98" s="2" t="inlineStr">
        <is>
          <t>Document Control</t>
        </is>
      </c>
      <c r="I98" s="2" t="inlineStr">
        <is>
          <t>2027-12-14</t>
        </is>
      </c>
      <c r="J98" s="2" t="inlineStr">
        <is>
          <t>2027-12-28</t>
        </is>
      </c>
      <c r="K98" s="2" t="inlineStr">
        <is>
          <t>2028-03-09</t>
        </is>
      </c>
      <c r="L98" s="2" t="inlineStr">
        <is>
          <t>2028-03-23</t>
        </is>
      </c>
      <c r="M98" s="2" t="n">
        <v>86</v>
      </c>
      <c r="N98" s="2" t="inlineStr">
        <is>
          <t>Proposed allowance; replace with verified inputs</t>
        </is>
      </c>
      <c r="O98" s="2" t="inlineStr">
        <is>
          <t>PROPOSED / NOT APPROVED</t>
        </is>
      </c>
    </row>
    <row r="99">
      <c r="A99" s="2" t="inlineStr">
        <is>
          <t>B04-BAS</t>
        </is>
      </c>
      <c r="B99" s="2" t="inlineStr">
        <is>
          <t>ICG-ICP LD</t>
        </is>
      </c>
      <c r="C99" s="2" t="inlineStr">
        <is>
          <t>Design basis, loads and interfaces</t>
        </is>
      </c>
      <c r="D99" s="2" t="n">
        <v>5</v>
      </c>
      <c r="E99" s="2" t="inlineStr">
        <is>
          <t>OFFICE</t>
        </is>
      </c>
      <c r="F99" s="2" t="inlineStr">
        <is>
          <t>G05;D-DES</t>
        </is>
      </c>
      <c r="G99" s="2" t="inlineStr"/>
      <c r="H99" s="2" t="inlineStr">
        <is>
          <t>Engineering</t>
        </is>
      </c>
      <c r="I99" s="2" t="inlineStr">
        <is>
          <t>2026-12-28</t>
        </is>
      </c>
      <c r="J99" s="2" t="inlineStr">
        <is>
          <t>2027-01-02</t>
        </is>
      </c>
      <c r="K99" s="2" t="inlineStr">
        <is>
          <t>2027-03-19</t>
        </is>
      </c>
      <c r="L99" s="2" t="inlineStr">
        <is>
          <t>2027-03-26</t>
        </is>
      </c>
      <c r="M99" s="2" t="n">
        <v>81</v>
      </c>
      <c r="N99" s="2" t="inlineStr">
        <is>
          <t>Proposed allowance; replace with verified inputs</t>
        </is>
      </c>
      <c r="O99" s="2" t="inlineStr">
        <is>
          <t>PROPOSED / NOT APPROVED</t>
        </is>
      </c>
    </row>
    <row r="100">
      <c r="A100" s="2" t="inlineStr">
        <is>
          <t>B04-BRV</t>
        </is>
      </c>
      <c r="B100" s="2" t="inlineStr">
        <is>
          <t>ICG-ICP LD</t>
        </is>
      </c>
      <c r="C100" s="2" t="inlineStr">
        <is>
          <t>Basis review and comment closure allowance</t>
        </is>
      </c>
      <c r="D100" s="2" t="n">
        <v>10</v>
      </c>
      <c r="E100" s="2" t="inlineStr">
        <is>
          <t>OFFICE</t>
        </is>
      </c>
      <c r="F100" s="2" t="inlineStr">
        <is>
          <t>B04-BAS</t>
        </is>
      </c>
      <c r="G100" s="2" t="inlineStr"/>
      <c r="H100" s="2" t="inlineStr">
        <is>
          <t>Engineering</t>
        </is>
      </c>
      <c r="I100" s="2" t="inlineStr">
        <is>
          <t>2027-01-04</t>
        </is>
      </c>
      <c r="J100" s="2" t="inlineStr">
        <is>
          <t>2027-01-16</t>
        </is>
      </c>
      <c r="K100" s="2" t="inlineStr">
        <is>
          <t>2027-03-26</t>
        </is>
      </c>
      <c r="L100" s="2" t="inlineStr">
        <is>
          <t>2027-04-09</t>
        </is>
      </c>
      <c r="M100" s="2" t="n">
        <v>81</v>
      </c>
      <c r="N100" s="2" t="inlineStr">
        <is>
          <t>Proposed allowance; replace with verified inputs</t>
        </is>
      </c>
      <c r="O100" s="2" t="inlineStr">
        <is>
          <t>PROPOSED / NOT APPROVED</t>
        </is>
      </c>
    </row>
    <row r="101">
      <c r="A101" s="2" t="inlineStr">
        <is>
          <t>B04-ANA</t>
        </is>
      </c>
      <c r="B101" s="2" t="inlineStr">
        <is>
          <t>ICG-ICP LD</t>
        </is>
      </c>
      <c r="C101" s="2" t="inlineStr">
        <is>
          <t>Bridge/platform and preservice analysis preparation</t>
        </is>
      </c>
      <c r="D101" s="2" t="n">
        <v>20</v>
      </c>
      <c r="E101" s="2" t="inlineStr">
        <is>
          <t>OFFICE</t>
        </is>
      </c>
      <c r="F101" s="2" t="inlineStr">
        <is>
          <t>B04-BRV</t>
        </is>
      </c>
      <c r="G101" s="2" t="inlineStr"/>
      <c r="H101" s="2" t="inlineStr">
        <is>
          <t>Structural</t>
        </is>
      </c>
      <c r="I101" s="2" t="inlineStr">
        <is>
          <t>2027-01-18</t>
        </is>
      </c>
      <c r="J101" s="2" t="inlineStr">
        <is>
          <t>2027-02-13</t>
        </is>
      </c>
      <c r="K101" s="2" t="inlineStr">
        <is>
          <t>2027-04-09</t>
        </is>
      </c>
      <c r="L101" s="2" t="inlineStr">
        <is>
          <t>2027-05-07</t>
        </is>
      </c>
      <c r="M101" s="2" t="n">
        <v>81</v>
      </c>
      <c r="N101" s="2" t="inlineStr">
        <is>
          <t>Proposed engineering effort window; native analysis/check evidence not supplied</t>
        </is>
      </c>
      <c r="O101" s="2" t="inlineStr">
        <is>
          <t>PROPOSED / NOT APPROVED</t>
        </is>
      </c>
    </row>
    <row r="102">
      <c r="A102" s="2" t="inlineStr">
        <is>
          <t>B04-ARV</t>
        </is>
      </c>
      <c r="B102" s="2" t="inlineStr">
        <is>
          <t>ICG-ICP LD</t>
        </is>
      </c>
      <c r="C102" s="2" t="inlineStr">
        <is>
          <t>Analysis review and comment closure allowance</t>
        </is>
      </c>
      <c r="D102" s="2" t="n">
        <v>10</v>
      </c>
      <c r="E102" s="2" t="inlineStr">
        <is>
          <t>OFFICE</t>
        </is>
      </c>
      <c r="F102" s="2" t="inlineStr">
        <is>
          <t>B04-ANA</t>
        </is>
      </c>
      <c r="G102" s="2" t="inlineStr"/>
      <c r="H102" s="2" t="inlineStr">
        <is>
          <t>Engineering</t>
        </is>
      </c>
      <c r="I102" s="2" t="inlineStr">
        <is>
          <t>2027-02-15</t>
        </is>
      </c>
      <c r="J102" s="2" t="inlineStr">
        <is>
          <t>2027-02-27</t>
        </is>
      </c>
      <c r="K102" s="2" t="inlineStr">
        <is>
          <t>2027-05-07</t>
        </is>
      </c>
      <c r="L102" s="2" t="inlineStr">
        <is>
          <t>2027-05-21</t>
        </is>
      </c>
      <c r="M102" s="2" t="n">
        <v>81</v>
      </c>
      <c r="N102" s="2" t="inlineStr">
        <is>
          <t>Proposed allowance; replace with verified inputs</t>
        </is>
      </c>
      <c r="O102" s="2" t="inlineStr">
        <is>
          <t>PROPOSED / NOT APPROVED</t>
        </is>
      </c>
    </row>
    <row r="103">
      <c r="A103" s="2" t="inlineStr">
        <is>
          <t>B04-DET</t>
        </is>
      </c>
      <c r="B103" s="2" t="inlineStr">
        <is>
          <t>ICG-ICP LD</t>
        </is>
      </c>
      <c r="C103" s="2" t="inlineStr">
        <is>
          <t>Connection, bearing, landing and workpack detailing</t>
        </is>
      </c>
      <c r="D103" s="2" t="n">
        <v>15</v>
      </c>
      <c r="E103" s="2" t="inlineStr">
        <is>
          <t>OFFICE</t>
        </is>
      </c>
      <c r="F103" s="2" t="inlineStr">
        <is>
          <t>B04-ARV</t>
        </is>
      </c>
      <c r="G103" s="2" t="inlineStr"/>
      <c r="H103" s="2" t="inlineStr">
        <is>
          <t>Structural</t>
        </is>
      </c>
      <c r="I103" s="2" t="inlineStr">
        <is>
          <t>2027-03-01</t>
        </is>
      </c>
      <c r="J103" s="2" t="inlineStr">
        <is>
          <t>2027-03-20</t>
        </is>
      </c>
      <c r="K103" s="2" t="inlineStr">
        <is>
          <t>2027-05-21</t>
        </is>
      </c>
      <c r="L103" s="2" t="inlineStr">
        <is>
          <t>2027-06-11</t>
        </is>
      </c>
      <c r="M103" s="2" t="n">
        <v>81</v>
      </c>
      <c r="N103" s="2" t="inlineStr">
        <is>
          <t>Proposed allowance; replace with verified inputs</t>
        </is>
      </c>
      <c r="O103" s="2" t="inlineStr">
        <is>
          <t>PROPOSED / NOT APPROVED</t>
        </is>
      </c>
    </row>
    <row r="104">
      <c r="A104" s="2" t="inlineStr">
        <is>
          <t>B04-DRV</t>
        </is>
      </c>
      <c r="B104" s="2" t="inlineStr">
        <is>
          <t>ICG-ICP LD</t>
        </is>
      </c>
      <c r="C104" s="2" t="inlineStr">
        <is>
          <t>Drawing review and comment closure allowance</t>
        </is>
      </c>
      <c r="D104" s="2" t="n">
        <v>10</v>
      </c>
      <c r="E104" s="2" t="inlineStr">
        <is>
          <t>OFFICE</t>
        </is>
      </c>
      <c r="F104" s="2" t="inlineStr">
        <is>
          <t>B04-DET</t>
        </is>
      </c>
      <c r="G104" s="2" t="inlineStr"/>
      <c r="H104" s="2" t="inlineStr">
        <is>
          <t>Engineering</t>
        </is>
      </c>
      <c r="I104" s="2" t="inlineStr">
        <is>
          <t>2027-03-22</t>
        </is>
      </c>
      <c r="J104" s="2" t="inlineStr">
        <is>
          <t>2027-04-03</t>
        </is>
      </c>
      <c r="K104" s="2" t="inlineStr">
        <is>
          <t>2027-06-11</t>
        </is>
      </c>
      <c r="L104" s="2" t="inlineStr">
        <is>
          <t>2027-06-25</t>
        </is>
      </c>
      <c r="M104" s="2" t="n">
        <v>81</v>
      </c>
      <c r="N104" s="2" t="inlineStr">
        <is>
          <t>Proposed allowance; replace with verified inputs</t>
        </is>
      </c>
      <c r="O104" s="2" t="inlineStr">
        <is>
          <t>PROPOSED / NOT APPROVED</t>
        </is>
      </c>
    </row>
    <row r="105">
      <c r="A105" s="2" t="inlineStr">
        <is>
          <t>B04-AFC</t>
        </is>
      </c>
      <c r="B105" s="2" t="inlineStr">
        <is>
          <t>ICG-ICP LD</t>
        </is>
      </c>
      <c r="C105" s="2" t="inlineStr">
        <is>
          <t>AFC design/MTO independent check and release gate</t>
        </is>
      </c>
      <c r="D105" s="2" t="n">
        <v>0</v>
      </c>
      <c r="E105" s="2" t="inlineStr">
        <is>
          <t>ALL</t>
        </is>
      </c>
      <c r="F105" s="2" t="inlineStr">
        <is>
          <t>B04-DRV</t>
        </is>
      </c>
      <c r="G105" s="2" t="inlineStr"/>
      <c r="H105" s="2" t="inlineStr">
        <is>
          <t>Engineering</t>
        </is>
      </c>
      <c r="I105" s="2" t="inlineStr">
        <is>
          <t>2027-04-03</t>
        </is>
      </c>
      <c r="J105" s="2" t="inlineStr">
        <is>
          <t>2027-04-03</t>
        </is>
      </c>
      <c r="K105" s="2" t="inlineStr">
        <is>
          <t>2027-06-25</t>
        </is>
      </c>
      <c r="L105" s="2" t="inlineStr">
        <is>
          <t>2027-06-25</t>
        </is>
      </c>
      <c r="M105" s="2" t="n">
        <v>83</v>
      </c>
      <c r="N105" s="2" t="inlineStr">
        <is>
          <t>Gate; actual signed release not established</t>
        </is>
      </c>
      <c r="O105" s="2" t="inlineStr">
        <is>
          <t>PROPOSED / NOT APPROVED</t>
        </is>
      </c>
    </row>
    <row r="106">
      <c r="A106" s="2" t="inlineStr">
        <is>
          <t>B04-RFQ</t>
        </is>
      </c>
      <c r="B106" s="2" t="inlineStr">
        <is>
          <t>ICG-ICP LD</t>
        </is>
      </c>
      <c r="C106" s="2" t="inlineStr">
        <is>
          <t>Bridge steel RFQ, evaluation and PS preparation</t>
        </is>
      </c>
      <c r="D106" s="2" t="n">
        <v>7</v>
      </c>
      <c r="E106" s="2" t="inlineStr">
        <is>
          <t>OFFICE</t>
        </is>
      </c>
      <c r="F106" s="2" t="inlineStr">
        <is>
          <t>B04-BRV</t>
        </is>
      </c>
      <c r="G106" s="2" t="inlineStr"/>
      <c r="H106" s="2" t="inlineStr">
        <is>
          <t>Procurement</t>
        </is>
      </c>
      <c r="I106" s="2" t="inlineStr">
        <is>
          <t>2027-01-18</t>
        </is>
      </c>
      <c r="J106" s="2" t="inlineStr">
        <is>
          <t>2027-01-27</t>
        </is>
      </c>
      <c r="K106" s="2" t="inlineStr">
        <is>
          <t>2027-06-02</t>
        </is>
      </c>
      <c r="L106" s="2" t="inlineStr">
        <is>
          <t>2027-06-11</t>
        </is>
      </c>
      <c r="M106" s="2" t="n">
        <v>135</v>
      </c>
      <c r="N106" s="2" t="inlineStr">
        <is>
          <t>Proposed allowance; replace with verified inputs</t>
        </is>
      </c>
      <c r="O106" s="2" t="inlineStr">
        <is>
          <t>PROPOSED / NOT APPROVED</t>
        </is>
      </c>
    </row>
    <row r="107">
      <c r="A107" s="2" t="inlineStr">
        <is>
          <t>B04-PRV</t>
        </is>
      </c>
      <c r="B107" s="2" t="inlineStr">
        <is>
          <t>ICG-ICP LD</t>
        </is>
      </c>
      <c r="C107" s="2" t="inlineStr">
        <is>
          <t>Bridge steel PS review allowance</t>
        </is>
      </c>
      <c r="D107" s="2" t="n">
        <v>10</v>
      </c>
      <c r="E107" s="2" t="inlineStr">
        <is>
          <t>OFFICE</t>
        </is>
      </c>
      <c r="F107" s="2" t="inlineStr">
        <is>
          <t>B04-RFQ</t>
        </is>
      </c>
      <c r="G107" s="2" t="inlineStr"/>
      <c r="H107" s="2" t="inlineStr">
        <is>
          <t>Procurement</t>
        </is>
      </c>
      <c r="I107" s="2" t="inlineStr">
        <is>
          <t>2027-01-27</t>
        </is>
      </c>
      <c r="J107" s="2" t="inlineStr">
        <is>
          <t>2027-02-10</t>
        </is>
      </c>
      <c r="K107" s="2" t="inlineStr">
        <is>
          <t>2027-06-11</t>
        </is>
      </c>
      <c r="L107" s="2" t="inlineStr">
        <is>
          <t>2027-06-25</t>
        </is>
      </c>
      <c r="M107" s="2" t="n">
        <v>135</v>
      </c>
      <c r="N107" s="2" t="inlineStr">
        <is>
          <t>Proposed allowance; replace with verified inputs</t>
        </is>
      </c>
      <c r="O107" s="2" t="inlineStr">
        <is>
          <t>PROPOSED / NOT APPROVED</t>
        </is>
      </c>
    </row>
    <row r="108">
      <c r="A108" s="2" t="inlineStr">
        <is>
          <t>B04-PO</t>
        </is>
      </c>
      <c r="B108" s="2" t="inlineStr">
        <is>
          <t>ICG-ICP LD</t>
        </is>
      </c>
      <c r="C108" s="2" t="inlineStr">
        <is>
          <t>Bridge steel compliant PO release gate</t>
        </is>
      </c>
      <c r="D108" s="2" t="n">
        <v>0</v>
      </c>
      <c r="E108" s="2" t="inlineStr">
        <is>
          <t>ALL</t>
        </is>
      </c>
      <c r="F108" s="2" t="inlineStr">
        <is>
          <t>B04-AFC;B04-PRV</t>
        </is>
      </c>
      <c r="G108" s="2" t="inlineStr"/>
      <c r="H108" s="2" t="inlineStr">
        <is>
          <t>Procurement</t>
        </is>
      </c>
      <c r="I108" s="2" t="inlineStr">
        <is>
          <t>2027-04-03</t>
        </is>
      </c>
      <c r="J108" s="2" t="inlineStr">
        <is>
          <t>2027-04-03</t>
        </is>
      </c>
      <c r="K108" s="2" t="inlineStr">
        <is>
          <t>2027-06-25</t>
        </is>
      </c>
      <c r="L108" s="2" t="inlineStr">
        <is>
          <t>2027-06-25</t>
        </is>
      </c>
      <c r="M108" s="2" t="n">
        <v>83</v>
      </c>
      <c r="N108" s="2" t="inlineStr">
        <is>
          <t>No at-risk purchase assumed; amended domestic-origin evidence required</t>
        </is>
      </c>
      <c r="O108" s="2" t="inlineStr">
        <is>
          <t>PROPOSED / NOT APPROVED</t>
        </is>
      </c>
    </row>
    <row r="109">
      <c r="A109" s="2" t="inlineStr">
        <is>
          <t>B04-MAT</t>
        </is>
      </c>
      <c r="B109" s="2" t="inlineStr">
        <is>
          <t>ICG-ICP LD</t>
        </is>
      </c>
      <c r="C109" s="2" t="inlineStr">
        <is>
          <t>Mill production, inspection and steel delivery</t>
        </is>
      </c>
      <c r="D109" s="2" t="n">
        <v>45</v>
      </c>
      <c r="E109" s="2" t="inlineStr">
        <is>
          <t>ALL</t>
        </is>
      </c>
      <c r="F109" s="2" t="inlineStr">
        <is>
          <t>B04-PO</t>
        </is>
      </c>
      <c r="G109" s="2" t="inlineStr"/>
      <c r="H109" s="2" t="inlineStr">
        <is>
          <t>Procurement</t>
        </is>
      </c>
      <c r="I109" s="2" t="inlineStr">
        <is>
          <t>2027-04-03</t>
        </is>
      </c>
      <c r="J109" s="2" t="inlineStr">
        <is>
          <t>2027-05-18</t>
        </is>
      </c>
      <c r="K109" s="2" t="inlineStr">
        <is>
          <t>2027-06-25</t>
        </is>
      </c>
      <c r="L109" s="2" t="inlineStr">
        <is>
          <t>2027-08-09</t>
        </is>
      </c>
      <c r="M109" s="2" t="n">
        <v>83</v>
      </c>
      <c r="N109" s="2" t="inlineStr">
        <is>
          <t>Unquoted45calendar-day placeholder; origin, mill capacity and transport unresolved</t>
        </is>
      </c>
      <c r="O109" s="2" t="inlineStr">
        <is>
          <t>PROPOSED / NOT APPROVED</t>
        </is>
      </c>
    </row>
    <row r="110">
      <c r="A110" s="2" t="inlineStr">
        <is>
          <t>B04-FAB</t>
        </is>
      </c>
      <c r="B110" s="2" t="inlineStr">
        <is>
          <t>ICG-ICP LD</t>
        </is>
      </c>
      <c r="C110" s="2" t="inlineStr">
        <is>
          <t>Fit-up, welding and dimensional control</t>
        </is>
      </c>
      <c r="D110" s="2" t="n">
        <v>40</v>
      </c>
      <c r="E110" s="2" t="inlineStr">
        <is>
          <t>YARD</t>
        </is>
      </c>
      <c r="F110" s="2" t="inlineStr">
        <is>
          <t>B04-MAT;D-NDT;D-TPI;B05-FAB</t>
        </is>
      </c>
      <c r="G110" s="2" t="inlineStr">
        <is>
          <t>Fabrication line 1</t>
        </is>
      </c>
      <c r="H110" s="2" t="inlineStr">
        <is>
          <t>Fabrication</t>
        </is>
      </c>
      <c r="I110" s="2" t="inlineStr">
        <is>
          <t>2027-08-09</t>
        </is>
      </c>
      <c r="J110" s="2" t="inlineStr">
        <is>
          <t>2027-09-24</t>
        </is>
      </c>
      <c r="K110" s="2" t="inlineStr">
        <is>
          <t>2027-08-09</t>
        </is>
      </c>
      <c r="L110" s="2" t="inlineStr">
        <is>
          <t>2027-09-24</t>
        </is>
      </c>
      <c r="M110" s="2" t="n">
        <v>0</v>
      </c>
      <c r="N110" s="2" t="inlineStr">
        <is>
          <t>Assumed4MT per productive bay-day; includes aggregate steel, not validated shop productivity</t>
        </is>
      </c>
      <c r="O110" s="2" t="inlineStr">
        <is>
          <t>PROPOSED / NOT APPROVED</t>
        </is>
      </c>
    </row>
    <row r="111">
      <c r="A111" s="2" t="inlineStr">
        <is>
          <t>B04-NDT</t>
        </is>
      </c>
      <c r="B111" s="2" t="inlineStr">
        <is>
          <t>ICG-ICP LD</t>
        </is>
      </c>
      <c r="C111" s="2" t="inlineStr">
        <is>
          <t>NDT, repair allowance and dimensional release</t>
        </is>
      </c>
      <c r="D111" s="2" t="n">
        <v>6</v>
      </c>
      <c r="E111" s="2" t="inlineStr">
        <is>
          <t>YARD</t>
        </is>
      </c>
      <c r="F111" s="2" t="inlineStr">
        <is>
          <t>B04-FAB</t>
        </is>
      </c>
      <c r="G111" s="2" t="inlineStr"/>
      <c r="H111" s="2" t="inlineStr">
        <is>
          <t>QA</t>
        </is>
      </c>
      <c r="I111" s="2" t="inlineStr">
        <is>
          <t>2027-09-24</t>
        </is>
      </c>
      <c r="J111" s="2" t="inlineStr">
        <is>
          <t>2027-10-01</t>
        </is>
      </c>
      <c r="K111" s="2" t="inlineStr">
        <is>
          <t>2027-10-09</t>
        </is>
      </c>
      <c r="L111" s="2" t="inlineStr">
        <is>
          <t>2027-10-16</t>
        </is>
      </c>
      <c r="M111" s="2" t="n">
        <v>15</v>
      </c>
      <c r="N111" s="2" t="inlineStr">
        <is>
          <t>Proposed allowance; replace with verified inputs</t>
        </is>
      </c>
      <c r="O111" s="2" t="inlineStr">
        <is>
          <t>PROPOSED / NOT APPROVED</t>
        </is>
      </c>
    </row>
    <row r="112">
      <c r="A112" s="2" t="inlineStr">
        <is>
          <t>B04-COA</t>
        </is>
      </c>
      <c r="B112" s="2" t="inlineStr">
        <is>
          <t>ICG-ICP LD</t>
        </is>
      </c>
      <c r="C112" s="2" t="inlineStr">
        <is>
          <t>Surface preparation, coating and curing allowance</t>
        </is>
      </c>
      <c r="D112" s="2" t="n">
        <v>10</v>
      </c>
      <c r="E112" s="2" t="inlineStr">
        <is>
          <t>YARD</t>
        </is>
      </c>
      <c r="F112" s="2" t="inlineStr">
        <is>
          <t>B04-NDT;D-COAT;B02-COA</t>
        </is>
      </c>
      <c r="G112" s="2" t="inlineStr">
        <is>
          <t>Coating cell</t>
        </is>
      </c>
      <c r="H112" s="2" t="inlineStr">
        <is>
          <t>Coating</t>
        </is>
      </c>
      <c r="I112" s="2" t="inlineStr">
        <is>
          <t>2027-10-01</t>
        </is>
      </c>
      <c r="J112" s="2" t="inlineStr">
        <is>
          <t>2027-10-13</t>
        </is>
      </c>
      <c r="K112" s="2" t="inlineStr">
        <is>
          <t>2027-10-16</t>
        </is>
      </c>
      <c r="L112" s="2" t="inlineStr">
        <is>
          <t>2027-10-28</t>
        </is>
      </c>
      <c r="M112" s="2" t="n">
        <v>15</v>
      </c>
      <c r="N112" s="2" t="inlineStr">
        <is>
          <t>Proposed allowance; replace with verified inputs</t>
        </is>
      </c>
      <c r="O112" s="2" t="inlineStr">
        <is>
          <t>PROPOSED / NOT APPROVED</t>
        </is>
      </c>
    </row>
    <row r="113">
      <c r="A113" s="2" t="inlineStr">
        <is>
          <t>B04-REL</t>
        </is>
      </c>
      <c r="B113" s="2" t="inlineStr">
        <is>
          <t>ICG-ICP LD</t>
        </is>
      </c>
      <c r="C113" s="2" t="inlineStr">
        <is>
          <t>Trial fit, verified weight/COG and loadout release</t>
        </is>
      </c>
      <c r="D113" s="2" t="n">
        <v>5</v>
      </c>
      <c r="E113" s="2" t="inlineStr">
        <is>
          <t>YARD</t>
        </is>
      </c>
      <c r="F113" s="2" t="inlineStr">
        <is>
          <t>B04-COA</t>
        </is>
      </c>
      <c r="G113" s="2" t="inlineStr"/>
      <c r="H113" s="2" t="inlineStr">
        <is>
          <t>QA / Marine</t>
        </is>
      </c>
      <c r="I113" s="2" t="inlineStr">
        <is>
          <t>2027-10-13</t>
        </is>
      </c>
      <c r="J113" s="2" t="inlineStr">
        <is>
          <t>2027-10-19</t>
        </is>
      </c>
      <c r="K113" s="2" t="inlineStr">
        <is>
          <t>2027-12-08</t>
        </is>
      </c>
      <c r="L113" s="2" t="inlineStr">
        <is>
          <t>2027-12-14</t>
        </is>
      </c>
      <c r="M113" s="2" t="n">
        <v>56</v>
      </c>
      <c r="N113" s="2" t="inlineStr">
        <is>
          <t>Proposed allowance; replace with verified inputs</t>
        </is>
      </c>
      <c r="O113" s="2" t="inlineStr">
        <is>
          <t>PROPOSED / NOT APPROVED</t>
        </is>
      </c>
    </row>
    <row r="114">
      <c r="A114" s="2" t="inlineStr">
        <is>
          <t>B04-TRN</t>
        </is>
      </c>
      <c r="B114" s="2" t="inlineStr">
        <is>
          <t>ICG-ICP LD</t>
        </is>
      </c>
      <c r="C114" s="2" t="inlineStr">
        <is>
          <t>Loadout, transport and offshore receipt</t>
        </is>
      </c>
      <c r="D114" s="2" t="n">
        <v>3</v>
      </c>
      <c r="E114" s="2" t="inlineStr">
        <is>
          <t>OFF</t>
        </is>
      </c>
      <c r="F114" s="2" t="inlineStr">
        <is>
          <t>B04-REL;D-CARGO;B02-TRN</t>
        </is>
      </c>
      <c r="G114" s="2" t="inlineStr">
        <is>
          <t>Cargo spread</t>
        </is>
      </c>
      <c r="H114" s="2" t="inlineStr">
        <is>
          <t>Logistics</t>
        </is>
      </c>
      <c r="I114" s="2" t="inlineStr">
        <is>
          <t>2027-10-22</t>
        </is>
      </c>
      <c r="J114" s="2" t="inlineStr">
        <is>
          <t>2027-10-25</t>
        </is>
      </c>
      <c r="K114" s="2" t="inlineStr">
        <is>
          <t>2027-12-14</t>
        </is>
      </c>
      <c r="L114" s="2" t="inlineStr">
        <is>
          <t>2027-12-17</t>
        </is>
      </c>
      <c r="M114" s="2" t="n">
        <v>53</v>
      </c>
      <c r="N114" s="2" t="inlineStr">
        <is>
          <t>Proposed allowance; replace with verified inputs</t>
        </is>
      </c>
      <c r="O114" s="2" t="inlineStr">
        <is>
          <t>PROPOSED / NOT APPROVED</t>
        </is>
      </c>
    </row>
    <row r="115">
      <c r="A115" s="2" t="inlineStr">
        <is>
          <t>B04-PRE</t>
        </is>
      </c>
      <c r="B115" s="2" t="inlineStr">
        <is>
          <t>ICG-ICP LD</t>
        </is>
      </c>
      <c r="C115" s="2" t="inlineStr">
        <is>
          <t>PTW, access, SIMOPS and work-front readiness</t>
        </is>
      </c>
      <c r="D115" s="2" t="n">
        <v>3</v>
      </c>
      <c r="E115" s="2" t="inlineStr">
        <is>
          <t>OFF</t>
        </is>
      </c>
      <c r="F115" s="2" t="inlineStr">
        <is>
          <t>B04-TRN;D-SCAF;D-PPE</t>
        </is>
      </c>
      <c r="G115" s="2" t="inlineStr"/>
      <c r="H115" s="2" t="inlineStr">
        <is>
          <t>Construction</t>
        </is>
      </c>
      <c r="I115" s="2" t="inlineStr">
        <is>
          <t>2027-10-25</t>
        </is>
      </c>
      <c r="J115" s="2" t="inlineStr">
        <is>
          <t>2027-10-28</t>
        </is>
      </c>
      <c r="K115" s="2" t="inlineStr">
        <is>
          <t>2027-12-30</t>
        </is>
      </c>
      <c r="L115" s="2" t="inlineStr">
        <is>
          <t>2028-01-02</t>
        </is>
      </c>
      <c r="M115" s="2" t="n">
        <v>66</v>
      </c>
      <c r="N115" s="2" t="inlineStr">
        <is>
          <t>Proposed allowance; replace with verified inputs</t>
        </is>
      </c>
      <c r="O115" s="2" t="inlineStr">
        <is>
          <t>PROPOSED / NOT APPROVED</t>
        </is>
      </c>
    </row>
    <row r="116">
      <c r="A116" s="2" t="inlineStr">
        <is>
          <t>B04-STR</t>
        </is>
      </c>
      <c r="B116" s="2" t="inlineStr">
        <is>
          <t>ICG-ICP LD</t>
        </is>
      </c>
      <c r="C116" s="2" t="inlineStr">
        <is>
          <t>Landing/platform pre-install strengthening</t>
        </is>
      </c>
      <c r="D116" s="2" t="n">
        <v>12</v>
      </c>
      <c r="E116" s="2" t="inlineStr">
        <is>
          <t>OFF</t>
        </is>
      </c>
      <c r="F116" s="2" t="inlineStr">
        <is>
          <t>B04-PRE</t>
        </is>
      </c>
      <c r="G116" s="2" t="inlineStr">
        <is>
          <t>Strength crew 3</t>
        </is>
      </c>
      <c r="H116" s="2" t="inlineStr">
        <is>
          <t>Construction</t>
        </is>
      </c>
      <c r="I116" s="2" t="inlineStr">
        <is>
          <t>2027-10-28</t>
        </is>
      </c>
      <c r="J116" s="2" t="inlineStr">
        <is>
          <t>2027-11-09</t>
        </is>
      </c>
      <c r="K116" s="2" t="inlineStr">
        <is>
          <t>2028-01-02</t>
        </is>
      </c>
      <c r="L116" s="2" t="inlineStr">
        <is>
          <t>2028-01-14</t>
        </is>
      </c>
      <c r="M116" s="2" t="n">
        <v>66</v>
      </c>
      <c r="N116" s="2" t="inlineStr">
        <is>
          <t>Proposed4MT/crew-day; actual weld/access quantities not validated</t>
        </is>
      </c>
      <c r="O116" s="2" t="inlineStr">
        <is>
          <t>PROPOSED / NOT APPROVED</t>
        </is>
      </c>
    </row>
    <row r="117">
      <c r="A117" s="2" t="inlineStr">
        <is>
          <t>B04-INS</t>
        </is>
      </c>
      <c r="B117" s="2" t="inlineStr">
        <is>
          <t>ICG-ICP LD</t>
        </is>
      </c>
      <c r="C117" s="2" t="inlineStr">
        <is>
          <t>New bridge installation</t>
        </is>
      </c>
      <c r="D117" s="2" t="n">
        <v>7</v>
      </c>
      <c r="E117" s="2" t="inlineStr">
        <is>
          <t>OFF</t>
        </is>
      </c>
      <c r="F117" s="2" t="inlineStr">
        <is>
          <t>B04-STR;D-MAR;D-BEAR;D-GRAT;B02-INS</t>
        </is>
      </c>
      <c r="G117" s="2" t="inlineStr">
        <is>
          <t>Heavy-lift spread</t>
        </is>
      </c>
      <c r="H117" s="2" t="inlineStr">
        <is>
          <t>Marine / Construction</t>
        </is>
      </c>
      <c r="I117" s="2" t="inlineStr">
        <is>
          <t>2027-11-27</t>
        </is>
      </c>
      <c r="J117" s="2" t="inlineStr">
        <is>
          <t>2027-12-04</t>
        </is>
      </c>
      <c r="K117" s="2" t="inlineStr">
        <is>
          <t>2028-01-17</t>
        </is>
      </c>
      <c r="L117" s="2" t="inlineStr">
        <is>
          <t>2028-01-24</t>
        </is>
      </c>
      <c r="M117" s="2" t="n">
        <v>51</v>
      </c>
      <c r="N117" s="2" t="inlineStr">
        <is>
          <t>Aggregate planning allowance; engineered lifts and temporary stability required</t>
        </is>
      </c>
      <c r="O117" s="2" t="inlineStr">
        <is>
          <t>PROPOSED / NOT APPROVED</t>
        </is>
      </c>
    </row>
    <row r="118">
      <c r="A118" s="2" t="inlineStr">
        <is>
          <t>B04-SRV</t>
        </is>
      </c>
      <c r="B118" s="2" t="inlineStr">
        <is>
          <t>ICG-ICP LD</t>
        </is>
      </c>
      <c r="C118" s="2" t="inlineStr">
        <is>
          <t>Services transfer, test and accepted reinstatement</t>
        </is>
      </c>
      <c r="D118" s="2" t="n">
        <v>5</v>
      </c>
      <c r="E118" s="2" t="inlineStr">
        <is>
          <t>OFF</t>
        </is>
      </c>
      <c r="F118" s="2" t="inlineStr">
        <is>
          <t>B04-INS;D-PIPE;D-ELEC;D-INST;D-TRAY;B02-SRV</t>
        </is>
      </c>
      <c r="G118" s="2" t="inlineStr">
        <is>
          <t>Service transfer team</t>
        </is>
      </c>
      <c r="H118" s="2" t="inlineStr">
        <is>
          <t>Commissioning</t>
        </is>
      </c>
      <c r="I118" s="2" t="inlineStr">
        <is>
          <t>2027-12-04</t>
        </is>
      </c>
      <c r="J118" s="2" t="inlineStr">
        <is>
          <t>2027-12-09</t>
        </is>
      </c>
      <c r="K118" s="2" t="inlineStr">
        <is>
          <t>2028-01-24</t>
        </is>
      </c>
      <c r="L118" s="2" t="inlineStr">
        <is>
          <t>2028-01-29</t>
        </is>
      </c>
      <c r="M118" s="2" t="n">
        <v>51</v>
      </c>
      <c r="N118" s="2" t="inlineStr">
        <is>
          <t>Proposed allowance; replace with verified inputs</t>
        </is>
      </c>
      <c r="O118" s="2" t="inlineStr">
        <is>
          <t>PROPOSED / NOT APPROVED</t>
        </is>
      </c>
    </row>
    <row r="119">
      <c r="A119" s="2" t="inlineStr">
        <is>
          <t>B04-DEM</t>
        </is>
      </c>
      <c r="B119" s="2" t="inlineStr">
        <is>
          <t>ICG-ICP LD</t>
        </is>
      </c>
      <c r="C119" s="2" t="inlineStr">
        <is>
          <t>Engineered demolition/removal and scrap backload</t>
        </is>
      </c>
      <c r="D119" s="2" t="n">
        <v>2</v>
      </c>
      <c r="E119" s="2" t="inlineStr">
        <is>
          <t>OFF</t>
        </is>
      </c>
      <c r="F119" s="2" t="inlineStr">
        <is>
          <t>B04-SRV;B02-DEM</t>
        </is>
      </c>
      <c r="G119" s="2" t="inlineStr">
        <is>
          <t>Removal team</t>
        </is>
      </c>
      <c r="H119" s="2" t="inlineStr">
        <is>
          <t>Construction</t>
        </is>
      </c>
      <c r="I119" s="2" t="inlineStr">
        <is>
          <t>2027-12-11</t>
        </is>
      </c>
      <c r="J119" s="2" t="inlineStr">
        <is>
          <t>2027-12-13</t>
        </is>
      </c>
      <c r="K119" s="2" t="inlineStr">
        <is>
          <t>2028-02-19</t>
        </is>
      </c>
      <c r="L119" s="2" t="inlineStr">
        <is>
          <t>2028-02-21</t>
        </is>
      </c>
      <c r="M119" s="2" t="n">
        <v>70</v>
      </c>
      <c r="N119" s="2" t="inlineStr">
        <is>
          <t>Proposed15MT/day allowance; BHS sequence after safe new service transfer, subject to approved method</t>
        </is>
      </c>
      <c r="O119" s="2" t="inlineStr">
        <is>
          <t>PROPOSED / NOT APPROVED</t>
        </is>
      </c>
    </row>
    <row r="120">
      <c r="A120" s="2" t="inlineStr">
        <is>
          <t>B04-PUN</t>
        </is>
      </c>
      <c r="B120" s="2" t="inlineStr">
        <is>
          <t>ICG-ICP LD</t>
        </is>
      </c>
      <c r="C120" s="2" t="inlineStr">
        <is>
          <t>Inspection, touch-up and offshore punch closure</t>
        </is>
      </c>
      <c r="D120" s="2" t="n">
        <v>3</v>
      </c>
      <c r="E120" s="2" t="inlineStr">
        <is>
          <t>OFF</t>
        </is>
      </c>
      <c r="F120" s="2" t="inlineStr">
        <is>
          <t>B04-DEM</t>
        </is>
      </c>
      <c r="G120" s="2" t="inlineStr"/>
      <c r="H120" s="2" t="inlineStr">
        <is>
          <t>QA / Commissioning</t>
        </is>
      </c>
      <c r="I120" s="2" t="inlineStr">
        <is>
          <t>2027-12-13</t>
        </is>
      </c>
      <c r="J120" s="2" t="inlineStr">
        <is>
          <t>2027-12-16</t>
        </is>
      </c>
      <c r="K120" s="2" t="inlineStr">
        <is>
          <t>2028-03-06</t>
        </is>
      </c>
      <c r="L120" s="2" t="inlineStr">
        <is>
          <t>2028-03-09</t>
        </is>
      </c>
      <c r="M120" s="2" t="n">
        <v>84</v>
      </c>
      <c r="N120" s="2" t="inlineStr">
        <is>
          <t>Proposed allowance; replace with verified inputs</t>
        </is>
      </c>
      <c r="O120" s="2" t="inlineStr">
        <is>
          <t>PROPOSED / NOT APPROVED</t>
        </is>
      </c>
    </row>
    <row r="121">
      <c r="A121" s="2" t="inlineStr">
        <is>
          <t>B04-DOS</t>
        </is>
      </c>
      <c r="B121" s="2" t="inlineStr">
        <is>
          <t>ICG-ICP LD</t>
        </is>
      </c>
      <c r="C121" s="2" t="inlineStr">
        <is>
          <t>As-built, QA and turnover dossier acceptance</t>
        </is>
      </c>
      <c r="D121" s="2" t="n">
        <v>10</v>
      </c>
      <c r="E121" s="2" t="inlineStr">
        <is>
          <t>OFFICE</t>
        </is>
      </c>
      <c r="F121" s="2" t="inlineStr">
        <is>
          <t>B04-PUN</t>
        </is>
      </c>
      <c r="G121" s="2" t="inlineStr"/>
      <c r="H121" s="2" t="inlineStr">
        <is>
          <t>Document Control</t>
        </is>
      </c>
      <c r="I121" s="2" t="inlineStr">
        <is>
          <t>2027-12-16</t>
        </is>
      </c>
      <c r="J121" s="2" t="inlineStr">
        <is>
          <t>2027-12-30</t>
        </is>
      </c>
      <c r="K121" s="2" t="inlineStr">
        <is>
          <t>2028-03-09</t>
        </is>
      </c>
      <c r="L121" s="2" t="inlineStr">
        <is>
          <t>2028-03-23</t>
        </is>
      </c>
      <c r="M121" s="2" t="n">
        <v>84</v>
      </c>
      <c r="N121" s="2" t="inlineStr">
        <is>
          <t>Proposed allowance; replace with verified inputs</t>
        </is>
      </c>
      <c r="O121" s="2" t="inlineStr">
        <is>
          <t>PROPOSED / NOT APPROVED</t>
        </is>
      </c>
    </row>
    <row r="122">
      <c r="A122" s="2" t="inlineStr">
        <is>
          <t>B01-BAS</t>
        </is>
      </c>
      <c r="B122" s="2" t="inlineStr">
        <is>
          <t>ICW-ICG UD</t>
        </is>
      </c>
      <c r="C122" s="2" t="inlineStr">
        <is>
          <t>Design basis, loads and interfaces</t>
        </is>
      </c>
      <c r="D122" s="2" t="n">
        <v>5</v>
      </c>
      <c r="E122" s="2" t="inlineStr">
        <is>
          <t>OFFICE</t>
        </is>
      </c>
      <c r="F122" s="2" t="inlineStr">
        <is>
          <t>G05;D-DES</t>
        </is>
      </c>
      <c r="G122" s="2" t="inlineStr"/>
      <c r="H122" s="2" t="inlineStr">
        <is>
          <t>Engineering</t>
        </is>
      </c>
      <c r="I122" s="2" t="inlineStr">
        <is>
          <t>2026-12-28</t>
        </is>
      </c>
      <c r="J122" s="2" t="inlineStr">
        <is>
          <t>2027-01-02</t>
        </is>
      </c>
      <c r="K122" s="2" t="inlineStr">
        <is>
          <t>2027-05-27</t>
        </is>
      </c>
      <c r="L122" s="2" t="inlineStr">
        <is>
          <t>2027-06-03</t>
        </is>
      </c>
      <c r="M122" s="2" t="n">
        <v>150</v>
      </c>
      <c r="N122" s="2" t="inlineStr">
        <is>
          <t>Proposed allowance; replace with verified inputs</t>
        </is>
      </c>
      <c r="O122" s="2" t="inlineStr">
        <is>
          <t>PROPOSED / NOT APPROVED</t>
        </is>
      </c>
    </row>
    <row r="123">
      <c r="A123" s="2" t="inlineStr">
        <is>
          <t>B01-BRV</t>
        </is>
      </c>
      <c r="B123" s="2" t="inlineStr">
        <is>
          <t>ICW-ICG UD</t>
        </is>
      </c>
      <c r="C123" s="2" t="inlineStr">
        <is>
          <t>Basis review and comment closure allowance</t>
        </is>
      </c>
      <c r="D123" s="2" t="n">
        <v>10</v>
      </c>
      <c r="E123" s="2" t="inlineStr">
        <is>
          <t>OFFICE</t>
        </is>
      </c>
      <c r="F123" s="2" t="inlineStr">
        <is>
          <t>B01-BAS</t>
        </is>
      </c>
      <c r="G123" s="2" t="inlineStr"/>
      <c r="H123" s="2" t="inlineStr">
        <is>
          <t>Engineering</t>
        </is>
      </c>
      <c r="I123" s="2" t="inlineStr">
        <is>
          <t>2027-01-04</t>
        </is>
      </c>
      <c r="J123" s="2" t="inlineStr">
        <is>
          <t>2027-01-16</t>
        </is>
      </c>
      <c r="K123" s="2" t="inlineStr">
        <is>
          <t>2027-06-03</t>
        </is>
      </c>
      <c r="L123" s="2" t="inlineStr">
        <is>
          <t>2027-06-17</t>
        </is>
      </c>
      <c r="M123" s="2" t="n">
        <v>150</v>
      </c>
      <c r="N123" s="2" t="inlineStr">
        <is>
          <t>Proposed allowance; replace with verified inputs</t>
        </is>
      </c>
      <c r="O123" s="2" t="inlineStr">
        <is>
          <t>PROPOSED / NOT APPROVED</t>
        </is>
      </c>
    </row>
    <row r="124">
      <c r="A124" s="2" t="inlineStr">
        <is>
          <t>B01-ANA</t>
        </is>
      </c>
      <c r="B124" s="2" t="inlineStr">
        <is>
          <t>ICW-ICG UD</t>
        </is>
      </c>
      <c r="C124" s="2" t="inlineStr">
        <is>
          <t>Bridge/platform and preservice analysis preparation</t>
        </is>
      </c>
      <c r="D124" s="2" t="n">
        <v>12</v>
      </c>
      <c r="E124" s="2" t="inlineStr">
        <is>
          <t>OFFICE</t>
        </is>
      </c>
      <c r="F124" s="2" t="inlineStr">
        <is>
          <t>B01-BRV</t>
        </is>
      </c>
      <c r="G124" s="2" t="inlineStr"/>
      <c r="H124" s="2" t="inlineStr">
        <is>
          <t>Structural</t>
        </is>
      </c>
      <c r="I124" s="2" t="inlineStr">
        <is>
          <t>2027-01-18</t>
        </is>
      </c>
      <c r="J124" s="2" t="inlineStr">
        <is>
          <t>2027-02-03</t>
        </is>
      </c>
      <c r="K124" s="2" t="inlineStr">
        <is>
          <t>2027-06-17</t>
        </is>
      </c>
      <c r="L124" s="2" t="inlineStr">
        <is>
          <t>2027-07-05</t>
        </is>
      </c>
      <c r="M124" s="2" t="n">
        <v>150</v>
      </c>
      <c r="N124" s="2" t="inlineStr">
        <is>
          <t>Proposed engineering effort window; native analysis/check evidence not supplied</t>
        </is>
      </c>
      <c r="O124" s="2" t="inlineStr">
        <is>
          <t>PROPOSED / NOT APPROVED</t>
        </is>
      </c>
    </row>
    <row r="125">
      <c r="A125" s="2" t="inlineStr">
        <is>
          <t>B01-ARV</t>
        </is>
      </c>
      <c r="B125" s="2" t="inlineStr">
        <is>
          <t>ICW-ICG UD</t>
        </is>
      </c>
      <c r="C125" s="2" t="inlineStr">
        <is>
          <t>Analysis review and comment closure allowance</t>
        </is>
      </c>
      <c r="D125" s="2" t="n">
        <v>10</v>
      </c>
      <c r="E125" s="2" t="inlineStr">
        <is>
          <t>OFFICE</t>
        </is>
      </c>
      <c r="F125" s="2" t="inlineStr">
        <is>
          <t>B01-ANA</t>
        </is>
      </c>
      <c r="G125" s="2" t="inlineStr"/>
      <c r="H125" s="2" t="inlineStr">
        <is>
          <t>Engineering</t>
        </is>
      </c>
      <c r="I125" s="2" t="inlineStr">
        <is>
          <t>2027-02-03</t>
        </is>
      </c>
      <c r="J125" s="2" t="inlineStr">
        <is>
          <t>2027-02-17</t>
        </is>
      </c>
      <c r="K125" s="2" t="inlineStr">
        <is>
          <t>2027-07-05</t>
        </is>
      </c>
      <c r="L125" s="2" t="inlineStr">
        <is>
          <t>2027-07-19</t>
        </is>
      </c>
      <c r="M125" s="2" t="n">
        <v>152</v>
      </c>
      <c r="N125" s="2" t="inlineStr">
        <is>
          <t>Proposed allowance; replace with verified inputs</t>
        </is>
      </c>
      <c r="O125" s="2" t="inlineStr">
        <is>
          <t>PROPOSED / NOT APPROVED</t>
        </is>
      </c>
    </row>
    <row r="126">
      <c r="A126" s="2" t="inlineStr">
        <is>
          <t>B01-DET</t>
        </is>
      </c>
      <c r="B126" s="2" t="inlineStr">
        <is>
          <t>ICW-ICG UD</t>
        </is>
      </c>
      <c r="C126" s="2" t="inlineStr">
        <is>
          <t>Connection, bearing, landing and workpack detailing</t>
        </is>
      </c>
      <c r="D126" s="2" t="n">
        <v>10</v>
      </c>
      <c r="E126" s="2" t="inlineStr">
        <is>
          <t>OFFICE</t>
        </is>
      </c>
      <c r="F126" s="2" t="inlineStr">
        <is>
          <t>B01-ARV</t>
        </is>
      </c>
      <c r="G126" s="2" t="inlineStr"/>
      <c r="H126" s="2" t="inlineStr">
        <is>
          <t>Structural</t>
        </is>
      </c>
      <c r="I126" s="2" t="inlineStr">
        <is>
          <t>2027-02-17</t>
        </is>
      </c>
      <c r="J126" s="2" t="inlineStr">
        <is>
          <t>2027-03-03</t>
        </is>
      </c>
      <c r="K126" s="2" t="inlineStr">
        <is>
          <t>2027-07-19</t>
        </is>
      </c>
      <c r="L126" s="2" t="inlineStr">
        <is>
          <t>2027-08-02</t>
        </is>
      </c>
      <c r="M126" s="2" t="n">
        <v>152</v>
      </c>
      <c r="N126" s="2" t="inlineStr">
        <is>
          <t>Proposed allowance; replace with verified inputs</t>
        </is>
      </c>
      <c r="O126" s="2" t="inlineStr">
        <is>
          <t>PROPOSED / NOT APPROVED</t>
        </is>
      </c>
    </row>
    <row r="127">
      <c r="A127" s="2" t="inlineStr">
        <is>
          <t>B01-DRV</t>
        </is>
      </c>
      <c r="B127" s="2" t="inlineStr">
        <is>
          <t>ICW-ICG UD</t>
        </is>
      </c>
      <c r="C127" s="2" t="inlineStr">
        <is>
          <t>Drawing review and comment closure allowance</t>
        </is>
      </c>
      <c r="D127" s="2" t="n">
        <v>10</v>
      </c>
      <c r="E127" s="2" t="inlineStr">
        <is>
          <t>OFFICE</t>
        </is>
      </c>
      <c r="F127" s="2" t="inlineStr">
        <is>
          <t>B01-DET</t>
        </is>
      </c>
      <c r="G127" s="2" t="inlineStr"/>
      <c r="H127" s="2" t="inlineStr">
        <is>
          <t>Engineering</t>
        </is>
      </c>
      <c r="I127" s="2" t="inlineStr">
        <is>
          <t>2027-03-03</t>
        </is>
      </c>
      <c r="J127" s="2" t="inlineStr">
        <is>
          <t>2027-03-17</t>
        </is>
      </c>
      <c r="K127" s="2" t="inlineStr">
        <is>
          <t>2027-08-02</t>
        </is>
      </c>
      <c r="L127" s="2" t="inlineStr">
        <is>
          <t>2027-08-16</t>
        </is>
      </c>
      <c r="M127" s="2" t="n">
        <v>152</v>
      </c>
      <c r="N127" s="2" t="inlineStr">
        <is>
          <t>Proposed allowance; replace with verified inputs</t>
        </is>
      </c>
      <c r="O127" s="2" t="inlineStr">
        <is>
          <t>PROPOSED / NOT APPROVED</t>
        </is>
      </c>
    </row>
    <row r="128">
      <c r="A128" s="2" t="inlineStr">
        <is>
          <t>B01-AFC</t>
        </is>
      </c>
      <c r="B128" s="2" t="inlineStr">
        <is>
          <t>ICW-ICG UD</t>
        </is>
      </c>
      <c r="C128" s="2" t="inlineStr">
        <is>
          <t>AFC design/MTO independent check and release gate</t>
        </is>
      </c>
      <c r="D128" s="2" t="n">
        <v>0</v>
      </c>
      <c r="E128" s="2" t="inlineStr">
        <is>
          <t>ALL</t>
        </is>
      </c>
      <c r="F128" s="2" t="inlineStr">
        <is>
          <t>B01-DRV</t>
        </is>
      </c>
      <c r="G128" s="2" t="inlineStr"/>
      <c r="H128" s="2" t="inlineStr">
        <is>
          <t>Engineering</t>
        </is>
      </c>
      <c r="I128" s="2" t="inlineStr">
        <is>
          <t>2027-03-17</t>
        </is>
      </c>
      <c r="J128" s="2" t="inlineStr">
        <is>
          <t>2027-03-17</t>
        </is>
      </c>
      <c r="K128" s="2" t="inlineStr">
        <is>
          <t>2027-08-16</t>
        </is>
      </c>
      <c r="L128" s="2" t="inlineStr">
        <is>
          <t>2027-08-16</t>
        </is>
      </c>
      <c r="M128" s="2" t="n">
        <v>152</v>
      </c>
      <c r="N128" s="2" t="inlineStr">
        <is>
          <t>Gate; actual signed release not established</t>
        </is>
      </c>
      <c r="O128" s="2" t="inlineStr">
        <is>
          <t>PROPOSED / NOT APPROVED</t>
        </is>
      </c>
    </row>
    <row r="129">
      <c r="A129" s="2" t="inlineStr">
        <is>
          <t>B01-RFQ</t>
        </is>
      </c>
      <c r="B129" s="2" t="inlineStr">
        <is>
          <t>ICW-ICG UD</t>
        </is>
      </c>
      <c r="C129" s="2" t="inlineStr">
        <is>
          <t>Bridge steel RFQ, evaluation and PS preparation</t>
        </is>
      </c>
      <c r="D129" s="2" t="n">
        <v>7</v>
      </c>
      <c r="E129" s="2" t="inlineStr">
        <is>
          <t>OFFICE</t>
        </is>
      </c>
      <c r="F129" s="2" t="inlineStr">
        <is>
          <t>B01-BRV</t>
        </is>
      </c>
      <c r="G129" s="2" t="inlineStr"/>
      <c r="H129" s="2" t="inlineStr">
        <is>
          <t>Procurement</t>
        </is>
      </c>
      <c r="I129" s="2" t="inlineStr">
        <is>
          <t>2027-01-18</t>
        </is>
      </c>
      <c r="J129" s="2" t="inlineStr">
        <is>
          <t>2027-01-27</t>
        </is>
      </c>
      <c r="K129" s="2" t="inlineStr">
        <is>
          <t>2027-07-22</t>
        </is>
      </c>
      <c r="L129" s="2" t="inlineStr">
        <is>
          <t>2027-08-02</t>
        </is>
      </c>
      <c r="M129" s="2" t="n">
        <v>185</v>
      </c>
      <c r="N129" s="2" t="inlineStr">
        <is>
          <t>Proposed allowance; replace with verified inputs</t>
        </is>
      </c>
      <c r="O129" s="2" t="inlineStr">
        <is>
          <t>PROPOSED / NOT APPROVED</t>
        </is>
      </c>
    </row>
    <row r="130">
      <c r="A130" s="2" t="inlineStr">
        <is>
          <t>B01-PRV</t>
        </is>
      </c>
      <c r="B130" s="2" t="inlineStr">
        <is>
          <t>ICW-ICG UD</t>
        </is>
      </c>
      <c r="C130" s="2" t="inlineStr">
        <is>
          <t>Bridge steel PS review allowance</t>
        </is>
      </c>
      <c r="D130" s="2" t="n">
        <v>10</v>
      </c>
      <c r="E130" s="2" t="inlineStr">
        <is>
          <t>OFFICE</t>
        </is>
      </c>
      <c r="F130" s="2" t="inlineStr">
        <is>
          <t>B01-RFQ</t>
        </is>
      </c>
      <c r="G130" s="2" t="inlineStr"/>
      <c r="H130" s="2" t="inlineStr">
        <is>
          <t>Procurement</t>
        </is>
      </c>
      <c r="I130" s="2" t="inlineStr">
        <is>
          <t>2027-01-27</t>
        </is>
      </c>
      <c r="J130" s="2" t="inlineStr">
        <is>
          <t>2027-02-10</t>
        </is>
      </c>
      <c r="K130" s="2" t="inlineStr">
        <is>
          <t>2027-08-02</t>
        </is>
      </c>
      <c r="L130" s="2" t="inlineStr">
        <is>
          <t>2027-08-16</t>
        </is>
      </c>
      <c r="M130" s="2" t="n">
        <v>187</v>
      </c>
      <c r="N130" s="2" t="inlineStr">
        <is>
          <t>Proposed allowance; replace with verified inputs</t>
        </is>
      </c>
      <c r="O130" s="2" t="inlineStr">
        <is>
          <t>PROPOSED / NOT APPROVED</t>
        </is>
      </c>
    </row>
    <row r="131">
      <c r="A131" s="2" t="inlineStr">
        <is>
          <t>B01-PO</t>
        </is>
      </c>
      <c r="B131" s="2" t="inlineStr">
        <is>
          <t>ICW-ICG UD</t>
        </is>
      </c>
      <c r="C131" s="2" t="inlineStr">
        <is>
          <t>Bridge steel compliant PO release gate</t>
        </is>
      </c>
      <c r="D131" s="2" t="n">
        <v>0</v>
      </c>
      <c r="E131" s="2" t="inlineStr">
        <is>
          <t>ALL</t>
        </is>
      </c>
      <c r="F131" s="2" t="inlineStr">
        <is>
          <t>B01-AFC;B01-PRV</t>
        </is>
      </c>
      <c r="G131" s="2" t="inlineStr"/>
      <c r="H131" s="2" t="inlineStr">
        <is>
          <t>Procurement</t>
        </is>
      </c>
      <c r="I131" s="2" t="inlineStr">
        <is>
          <t>2027-03-17</t>
        </is>
      </c>
      <c r="J131" s="2" t="inlineStr">
        <is>
          <t>2027-03-17</t>
        </is>
      </c>
      <c r="K131" s="2" t="inlineStr">
        <is>
          <t>2027-08-16</t>
        </is>
      </c>
      <c r="L131" s="2" t="inlineStr">
        <is>
          <t>2027-08-16</t>
        </is>
      </c>
      <c r="M131" s="2" t="n">
        <v>152</v>
      </c>
      <c r="N131" s="2" t="inlineStr">
        <is>
          <t>No at-risk purchase assumed; amended domestic-origin evidence required</t>
        </is>
      </c>
      <c r="O131" s="2" t="inlineStr">
        <is>
          <t>PROPOSED / NOT APPROVED</t>
        </is>
      </c>
    </row>
    <row r="132">
      <c r="A132" s="2" t="inlineStr">
        <is>
          <t>B01-MAT</t>
        </is>
      </c>
      <c r="B132" s="2" t="inlineStr">
        <is>
          <t>ICW-ICG UD</t>
        </is>
      </c>
      <c r="C132" s="2" t="inlineStr">
        <is>
          <t>Mill production, inspection and steel delivery</t>
        </is>
      </c>
      <c r="D132" s="2" t="n">
        <v>45</v>
      </c>
      <c r="E132" s="2" t="inlineStr">
        <is>
          <t>ALL</t>
        </is>
      </c>
      <c r="F132" s="2" t="inlineStr">
        <is>
          <t>B01-PO</t>
        </is>
      </c>
      <c r="G132" s="2" t="inlineStr"/>
      <c r="H132" s="2" t="inlineStr">
        <is>
          <t>Procurement</t>
        </is>
      </c>
      <c r="I132" s="2" t="inlineStr">
        <is>
          <t>2027-03-17</t>
        </is>
      </c>
      <c r="J132" s="2" t="inlineStr">
        <is>
          <t>2027-05-01</t>
        </is>
      </c>
      <c r="K132" s="2" t="inlineStr">
        <is>
          <t>2027-08-16</t>
        </is>
      </c>
      <c r="L132" s="2" t="inlineStr">
        <is>
          <t>2027-09-30</t>
        </is>
      </c>
      <c r="M132" s="2" t="n">
        <v>152</v>
      </c>
      <c r="N132" s="2" t="inlineStr">
        <is>
          <t>Unquoted45calendar-day placeholder; origin, mill capacity and transport unresolved</t>
        </is>
      </c>
      <c r="O132" s="2" t="inlineStr">
        <is>
          <t>PROPOSED / NOT APPROVED</t>
        </is>
      </c>
    </row>
    <row r="133">
      <c r="A133" s="2" t="inlineStr">
        <is>
          <t>B01-FAB</t>
        </is>
      </c>
      <c r="B133" s="2" t="inlineStr">
        <is>
          <t>ICW-ICG UD</t>
        </is>
      </c>
      <c r="C133" s="2" t="inlineStr">
        <is>
          <t>Fit-up, welding and dimensional control</t>
        </is>
      </c>
      <c r="D133" s="2" t="n">
        <v>13</v>
      </c>
      <c r="E133" s="2" t="inlineStr">
        <is>
          <t>YARD</t>
        </is>
      </c>
      <c r="F133" s="2" t="inlineStr">
        <is>
          <t>B01-MAT;D-NDT;D-TPI;B02-FAB</t>
        </is>
      </c>
      <c r="G133" s="2" t="inlineStr">
        <is>
          <t>Fabrication line 2</t>
        </is>
      </c>
      <c r="H133" s="2" t="inlineStr">
        <is>
          <t>Fabrication</t>
        </is>
      </c>
      <c r="I133" s="2" t="inlineStr">
        <is>
          <t>2027-06-23</t>
        </is>
      </c>
      <c r="J133" s="2" t="inlineStr">
        <is>
          <t>2027-07-08</t>
        </is>
      </c>
      <c r="K133" s="2" t="inlineStr">
        <is>
          <t>2027-09-30</t>
        </is>
      </c>
      <c r="L133" s="2" t="inlineStr">
        <is>
          <t>2027-10-15</t>
        </is>
      </c>
      <c r="M133" s="2" t="n">
        <v>99</v>
      </c>
      <c r="N133" s="2" t="inlineStr">
        <is>
          <t>Assumed4MT per productive bay-day; includes aggregate steel, not validated shop productivity</t>
        </is>
      </c>
      <c r="O133" s="2" t="inlineStr">
        <is>
          <t>PROPOSED / NOT APPROVED</t>
        </is>
      </c>
    </row>
    <row r="134">
      <c r="A134" s="2" t="inlineStr">
        <is>
          <t>B01-NDT</t>
        </is>
      </c>
      <c r="B134" s="2" t="inlineStr">
        <is>
          <t>ICW-ICG UD</t>
        </is>
      </c>
      <c r="C134" s="2" t="inlineStr">
        <is>
          <t>NDT, repair allowance and dimensional release</t>
        </is>
      </c>
      <c r="D134" s="2" t="n">
        <v>6</v>
      </c>
      <c r="E134" s="2" t="inlineStr">
        <is>
          <t>YARD</t>
        </is>
      </c>
      <c r="F134" s="2" t="inlineStr">
        <is>
          <t>B01-FAB</t>
        </is>
      </c>
      <c r="G134" s="2" t="inlineStr"/>
      <c r="H134" s="2" t="inlineStr">
        <is>
          <t>QA</t>
        </is>
      </c>
      <c r="I134" s="2" t="inlineStr">
        <is>
          <t>2027-07-08</t>
        </is>
      </c>
      <c r="J134" s="2" t="inlineStr">
        <is>
          <t>2027-07-15</t>
        </is>
      </c>
      <c r="K134" s="2" t="inlineStr">
        <is>
          <t>2027-10-21</t>
        </is>
      </c>
      <c r="L134" s="2" t="inlineStr">
        <is>
          <t>2027-10-28</t>
        </is>
      </c>
      <c r="M134" s="2" t="n">
        <v>105</v>
      </c>
      <c r="N134" s="2" t="inlineStr">
        <is>
          <t>Proposed allowance; replace with verified inputs</t>
        </is>
      </c>
      <c r="O134" s="2" t="inlineStr">
        <is>
          <t>PROPOSED / NOT APPROVED</t>
        </is>
      </c>
    </row>
    <row r="135">
      <c r="A135" s="2" t="inlineStr">
        <is>
          <t>B01-COA</t>
        </is>
      </c>
      <c r="B135" s="2" t="inlineStr">
        <is>
          <t>ICW-ICG UD</t>
        </is>
      </c>
      <c r="C135" s="2" t="inlineStr">
        <is>
          <t>Surface preparation, coating and curing allowance</t>
        </is>
      </c>
      <c r="D135" s="2" t="n">
        <v>10</v>
      </c>
      <c r="E135" s="2" t="inlineStr">
        <is>
          <t>YARD</t>
        </is>
      </c>
      <c r="F135" s="2" t="inlineStr">
        <is>
          <t>B01-NDT;D-COAT;B04-COA</t>
        </is>
      </c>
      <c r="G135" s="2" t="inlineStr">
        <is>
          <t>Coating cell</t>
        </is>
      </c>
      <c r="H135" s="2" t="inlineStr">
        <is>
          <t>Coating</t>
        </is>
      </c>
      <c r="I135" s="2" t="inlineStr">
        <is>
          <t>2027-10-13</t>
        </is>
      </c>
      <c r="J135" s="2" t="inlineStr">
        <is>
          <t>2027-10-24</t>
        </is>
      </c>
      <c r="K135" s="2" t="inlineStr">
        <is>
          <t>2027-10-28</t>
        </is>
      </c>
      <c r="L135" s="2" t="inlineStr">
        <is>
          <t>2027-11-09</t>
        </is>
      </c>
      <c r="M135" s="2" t="n">
        <v>15</v>
      </c>
      <c r="N135" s="2" t="inlineStr">
        <is>
          <t>Proposed allowance; replace with verified inputs</t>
        </is>
      </c>
      <c r="O135" s="2" t="inlineStr">
        <is>
          <t>PROPOSED / NOT APPROVED</t>
        </is>
      </c>
    </row>
    <row r="136">
      <c r="A136" s="2" t="inlineStr">
        <is>
          <t>B01-REL</t>
        </is>
      </c>
      <c r="B136" s="2" t="inlineStr">
        <is>
          <t>ICW-ICG UD</t>
        </is>
      </c>
      <c r="C136" s="2" t="inlineStr">
        <is>
          <t>Trial fit, verified weight/COG and loadout release</t>
        </is>
      </c>
      <c r="D136" s="2" t="n">
        <v>5</v>
      </c>
      <c r="E136" s="2" t="inlineStr">
        <is>
          <t>YARD</t>
        </is>
      </c>
      <c r="F136" s="2" t="inlineStr">
        <is>
          <t>B01-COA</t>
        </is>
      </c>
      <c r="G136" s="2" t="inlineStr"/>
      <c r="H136" s="2" t="inlineStr">
        <is>
          <t>QA / Marine</t>
        </is>
      </c>
      <c r="I136" s="2" t="inlineStr">
        <is>
          <t>2027-10-25</t>
        </is>
      </c>
      <c r="J136" s="2" t="inlineStr">
        <is>
          <t>2027-10-30</t>
        </is>
      </c>
      <c r="K136" s="2" t="inlineStr">
        <is>
          <t>2027-12-11</t>
        </is>
      </c>
      <c r="L136" s="2" t="inlineStr">
        <is>
          <t>2027-12-17</t>
        </is>
      </c>
      <c r="M136" s="2" t="n">
        <v>47</v>
      </c>
      <c r="N136" s="2" t="inlineStr">
        <is>
          <t>Proposed allowance; replace with verified inputs</t>
        </is>
      </c>
      <c r="O136" s="2" t="inlineStr">
        <is>
          <t>PROPOSED / NOT APPROVED</t>
        </is>
      </c>
    </row>
    <row r="137">
      <c r="A137" s="2" t="inlineStr">
        <is>
          <t>B01-TRN</t>
        </is>
      </c>
      <c r="B137" s="2" t="inlineStr">
        <is>
          <t>ICW-ICG UD</t>
        </is>
      </c>
      <c r="C137" s="2" t="inlineStr">
        <is>
          <t>Loadout, transport and offshore receipt</t>
        </is>
      </c>
      <c r="D137" s="2" t="n">
        <v>3</v>
      </c>
      <c r="E137" s="2" t="inlineStr">
        <is>
          <t>OFF</t>
        </is>
      </c>
      <c r="F137" s="2" t="inlineStr">
        <is>
          <t>B01-REL;D-CARGO;B04-TRN</t>
        </is>
      </c>
      <c r="G137" s="2" t="inlineStr">
        <is>
          <t>Cargo spread</t>
        </is>
      </c>
      <c r="H137" s="2" t="inlineStr">
        <is>
          <t>Logistics</t>
        </is>
      </c>
      <c r="I137" s="2" t="inlineStr">
        <is>
          <t>2027-10-30</t>
        </is>
      </c>
      <c r="J137" s="2" t="inlineStr">
        <is>
          <t>2027-11-02</t>
        </is>
      </c>
      <c r="K137" s="2" t="inlineStr">
        <is>
          <t>2027-12-17</t>
        </is>
      </c>
      <c r="L137" s="2" t="inlineStr">
        <is>
          <t>2027-12-20</t>
        </is>
      </c>
      <c r="M137" s="2" t="n">
        <v>48</v>
      </c>
      <c r="N137" s="2" t="inlineStr">
        <is>
          <t>Proposed allowance; replace with verified inputs</t>
        </is>
      </c>
      <c r="O137" s="2" t="inlineStr">
        <is>
          <t>PROPOSED / NOT APPROVED</t>
        </is>
      </c>
    </row>
    <row r="138">
      <c r="A138" s="2" t="inlineStr">
        <is>
          <t>B01-PRE</t>
        </is>
      </c>
      <c r="B138" s="2" t="inlineStr">
        <is>
          <t>ICW-ICG UD</t>
        </is>
      </c>
      <c r="C138" s="2" t="inlineStr">
        <is>
          <t>PTW, access, SIMOPS and work-front readiness</t>
        </is>
      </c>
      <c r="D138" s="2" t="n">
        <v>3</v>
      </c>
      <c r="E138" s="2" t="inlineStr">
        <is>
          <t>OFF</t>
        </is>
      </c>
      <c r="F138" s="2" t="inlineStr">
        <is>
          <t>B01-TRN;D-SCAF;D-PPE</t>
        </is>
      </c>
      <c r="G138" s="2" t="inlineStr"/>
      <c r="H138" s="2" t="inlineStr">
        <is>
          <t>Construction</t>
        </is>
      </c>
      <c r="I138" s="2" t="inlineStr">
        <is>
          <t>2027-11-02</t>
        </is>
      </c>
      <c r="J138" s="2" t="inlineStr">
        <is>
          <t>2027-11-05</t>
        </is>
      </c>
      <c r="K138" s="2" t="inlineStr">
        <is>
          <t>2027-12-20</t>
        </is>
      </c>
      <c r="L138" s="2" t="inlineStr">
        <is>
          <t>2027-12-23</t>
        </is>
      </c>
      <c r="M138" s="2" t="n">
        <v>48</v>
      </c>
      <c r="N138" s="2" t="inlineStr">
        <is>
          <t>Proposed allowance; replace with verified inputs</t>
        </is>
      </c>
      <c r="O138" s="2" t="inlineStr">
        <is>
          <t>PROPOSED / NOT APPROVED</t>
        </is>
      </c>
    </row>
    <row r="139">
      <c r="A139" s="2" t="inlineStr">
        <is>
          <t>B01-STR</t>
        </is>
      </c>
      <c r="B139" s="2" t="inlineStr">
        <is>
          <t>ICW-ICG UD</t>
        </is>
      </c>
      <c r="C139" s="2" t="inlineStr">
        <is>
          <t>Landing/platform pre-install strengthening</t>
        </is>
      </c>
      <c r="D139" s="2" t="n">
        <v>8</v>
      </c>
      <c r="E139" s="2" t="inlineStr">
        <is>
          <t>OFF</t>
        </is>
      </c>
      <c r="F139" s="2" t="inlineStr">
        <is>
          <t>B01-PRE;B05-STR</t>
        </is>
      </c>
      <c r="G139" s="2" t="inlineStr">
        <is>
          <t>Strength crew 1</t>
        </is>
      </c>
      <c r="H139" s="2" t="inlineStr">
        <is>
          <t>Construction</t>
        </is>
      </c>
      <c r="I139" s="2" t="inlineStr">
        <is>
          <t>2027-11-13</t>
        </is>
      </c>
      <c r="J139" s="2" t="inlineStr">
        <is>
          <t>2027-11-21</t>
        </is>
      </c>
      <c r="K139" s="2" t="inlineStr">
        <is>
          <t>2027-12-23</t>
        </is>
      </c>
      <c r="L139" s="2" t="inlineStr">
        <is>
          <t>2027-12-31</t>
        </is>
      </c>
      <c r="M139" s="2" t="n">
        <v>40</v>
      </c>
      <c r="N139" s="2" t="inlineStr">
        <is>
          <t>Proposed4MT/crew-day; actual weld/access quantities not validated</t>
        </is>
      </c>
      <c r="O139" s="2" t="inlineStr">
        <is>
          <t>PROPOSED / NOT APPROVED</t>
        </is>
      </c>
    </row>
    <row r="140">
      <c r="A140" s="2" t="inlineStr">
        <is>
          <t>B01-INS</t>
        </is>
      </c>
      <c r="B140" s="2" t="inlineStr">
        <is>
          <t>ICW-ICG UD</t>
        </is>
      </c>
      <c r="C140" s="2" t="inlineStr">
        <is>
          <t>Bridge strengthening and replacement items</t>
        </is>
      </c>
      <c r="D140" s="2" t="n">
        <v>5</v>
      </c>
      <c r="E140" s="2" t="inlineStr">
        <is>
          <t>OFF</t>
        </is>
      </c>
      <c r="F140" s="2" t="inlineStr">
        <is>
          <t>B01-STR;D-MAR;D-BEAR;D-GRAT</t>
        </is>
      </c>
      <c r="G140" s="2" t="inlineStr">
        <is>
          <t>Strength crew 1</t>
        </is>
      </c>
      <c r="H140" s="2" t="inlineStr">
        <is>
          <t>Marine / Construction</t>
        </is>
      </c>
      <c r="I140" s="2" t="inlineStr">
        <is>
          <t>2027-11-21</t>
        </is>
      </c>
      <c r="J140" s="2" t="inlineStr">
        <is>
          <t>2027-11-26</t>
        </is>
      </c>
      <c r="K140" s="2" t="inlineStr">
        <is>
          <t>2027-12-31</t>
        </is>
      </c>
      <c r="L140" s="2" t="inlineStr">
        <is>
          <t>2028-01-05</t>
        </is>
      </c>
      <c r="M140" s="2" t="n">
        <v>40</v>
      </c>
      <c r="N140" s="2" t="inlineStr">
        <is>
          <t>Aggregate planning allowance; engineered lifts and temporary stability required</t>
        </is>
      </c>
      <c r="O140" s="2" t="inlineStr">
        <is>
          <t>PROPOSED / NOT APPROVED</t>
        </is>
      </c>
    </row>
    <row r="141">
      <c r="A141" s="2" t="inlineStr">
        <is>
          <t>B01-SRV</t>
        </is>
      </c>
      <c r="B141" s="2" t="inlineStr">
        <is>
          <t>ICW-ICG UD</t>
        </is>
      </c>
      <c r="C141" s="2" t="inlineStr">
        <is>
          <t>Services transfer, test and accepted reinstatement</t>
        </is>
      </c>
      <c r="D141" s="2" t="n">
        <v>5</v>
      </c>
      <c r="E141" s="2" t="inlineStr">
        <is>
          <t>OFF</t>
        </is>
      </c>
      <c r="F141" s="2" t="inlineStr">
        <is>
          <t>B01-INS;D-PIPE;D-ELEC;D-INST;D-TRAY;B04-SRV</t>
        </is>
      </c>
      <c r="G141" s="2" t="inlineStr">
        <is>
          <t>Service transfer team</t>
        </is>
      </c>
      <c r="H141" s="2" t="inlineStr">
        <is>
          <t>Commissioning</t>
        </is>
      </c>
      <c r="I141" s="2" t="inlineStr">
        <is>
          <t>2027-12-09</t>
        </is>
      </c>
      <c r="J141" s="2" t="inlineStr">
        <is>
          <t>2027-12-14</t>
        </is>
      </c>
      <c r="K141" s="2" t="inlineStr">
        <is>
          <t>2028-01-29</t>
        </is>
      </c>
      <c r="L141" s="2" t="inlineStr">
        <is>
          <t>2028-02-03</t>
        </is>
      </c>
      <c r="M141" s="2" t="n">
        <v>51</v>
      </c>
      <c r="N141" s="2" t="inlineStr">
        <is>
          <t>Proposed allowance; replace with verified inputs</t>
        </is>
      </c>
      <c r="O141" s="2" t="inlineStr">
        <is>
          <t>PROPOSED / NOT APPROVED</t>
        </is>
      </c>
    </row>
    <row r="142">
      <c r="A142" s="2" t="inlineStr">
        <is>
          <t>B01-DEM</t>
        </is>
      </c>
      <c r="B142" s="2" t="inlineStr">
        <is>
          <t>ICW-ICG UD</t>
        </is>
      </c>
      <c r="C142" s="2" t="inlineStr">
        <is>
          <t>Engineered demolition/removal and scrap backload</t>
        </is>
      </c>
      <c r="D142" s="2" t="n">
        <v>2</v>
      </c>
      <c r="E142" s="2" t="inlineStr">
        <is>
          <t>OFF</t>
        </is>
      </c>
      <c r="F142" s="2" t="inlineStr">
        <is>
          <t>B01-SRV;B04-DEM</t>
        </is>
      </c>
      <c r="G142" s="2" t="inlineStr">
        <is>
          <t>Removal team</t>
        </is>
      </c>
      <c r="H142" s="2" t="inlineStr">
        <is>
          <t>Construction</t>
        </is>
      </c>
      <c r="I142" s="2" t="inlineStr">
        <is>
          <t>2027-12-14</t>
        </is>
      </c>
      <c r="J142" s="2" t="inlineStr">
        <is>
          <t>2027-12-16</t>
        </is>
      </c>
      <c r="K142" s="2" t="inlineStr">
        <is>
          <t>2028-02-21</t>
        </is>
      </c>
      <c r="L142" s="2" t="inlineStr">
        <is>
          <t>2028-02-23</t>
        </is>
      </c>
      <c r="M142" s="2" t="n">
        <v>69</v>
      </c>
      <c r="N142" s="2" t="inlineStr">
        <is>
          <t>Proposed15MT/day allowance; BHS sequence after safe new service transfer, subject to approved method</t>
        </is>
      </c>
      <c r="O142" s="2" t="inlineStr">
        <is>
          <t>PROPOSED / NOT APPROVED</t>
        </is>
      </c>
    </row>
    <row r="143">
      <c r="A143" s="2" t="inlineStr">
        <is>
          <t>B01-PUN</t>
        </is>
      </c>
      <c r="B143" s="2" t="inlineStr">
        <is>
          <t>ICW-ICG UD</t>
        </is>
      </c>
      <c r="C143" s="2" t="inlineStr">
        <is>
          <t>Inspection, touch-up and offshore punch closure</t>
        </is>
      </c>
      <c r="D143" s="2" t="n">
        <v>3</v>
      </c>
      <c r="E143" s="2" t="inlineStr">
        <is>
          <t>OFF</t>
        </is>
      </c>
      <c r="F143" s="2" t="inlineStr">
        <is>
          <t>B01-DEM</t>
        </is>
      </c>
      <c r="G143" s="2" t="inlineStr"/>
      <c r="H143" s="2" t="inlineStr">
        <is>
          <t>QA / Commissioning</t>
        </is>
      </c>
      <c r="I143" s="2" t="inlineStr">
        <is>
          <t>2027-12-16</t>
        </is>
      </c>
      <c r="J143" s="2" t="inlineStr">
        <is>
          <t>2027-12-19</t>
        </is>
      </c>
      <c r="K143" s="2" t="inlineStr">
        <is>
          <t>2028-03-06</t>
        </is>
      </c>
      <c r="L143" s="2" t="inlineStr">
        <is>
          <t>2028-03-09</t>
        </is>
      </c>
      <c r="M143" s="2" t="n">
        <v>81</v>
      </c>
      <c r="N143" s="2" t="inlineStr">
        <is>
          <t>Proposed allowance; replace with verified inputs</t>
        </is>
      </c>
      <c r="O143" s="2" t="inlineStr">
        <is>
          <t>PROPOSED / NOT APPROVED</t>
        </is>
      </c>
    </row>
    <row r="144">
      <c r="A144" s="2" t="inlineStr">
        <is>
          <t>B01-DOS</t>
        </is>
      </c>
      <c r="B144" s="2" t="inlineStr">
        <is>
          <t>ICW-ICG UD</t>
        </is>
      </c>
      <c r="C144" s="2" t="inlineStr">
        <is>
          <t>As-built, QA and turnover dossier acceptance</t>
        </is>
      </c>
      <c r="D144" s="2" t="n">
        <v>10</v>
      </c>
      <c r="E144" s="2" t="inlineStr">
        <is>
          <t>OFFICE</t>
        </is>
      </c>
      <c r="F144" s="2" t="inlineStr">
        <is>
          <t>B01-PUN</t>
        </is>
      </c>
      <c r="G144" s="2" t="inlineStr"/>
      <c r="H144" s="2" t="inlineStr">
        <is>
          <t>Document Control</t>
        </is>
      </c>
      <c r="I144" s="2" t="inlineStr">
        <is>
          <t>2027-12-20</t>
        </is>
      </c>
      <c r="J144" s="2" t="inlineStr">
        <is>
          <t>2028-01-01</t>
        </is>
      </c>
      <c r="K144" s="2" t="inlineStr">
        <is>
          <t>2028-03-09</t>
        </is>
      </c>
      <c r="L144" s="2" t="inlineStr">
        <is>
          <t>2028-03-23</t>
        </is>
      </c>
      <c r="M144" s="2" t="n">
        <v>80</v>
      </c>
      <c r="N144" s="2" t="inlineStr">
        <is>
          <t>Proposed allowance; replace with verified inputs</t>
        </is>
      </c>
      <c r="O144" s="2" t="inlineStr">
        <is>
          <t>PROPOSED / NOT APPROVED</t>
        </is>
      </c>
    </row>
    <row r="145">
      <c r="A145" s="2" t="inlineStr">
        <is>
          <t>B03-BAS</t>
        </is>
      </c>
      <c r="B145" s="2" t="inlineStr">
        <is>
          <t>ICG-ICP UD</t>
        </is>
      </c>
      <c r="C145" s="2" t="inlineStr">
        <is>
          <t>Design basis, loads and interfaces</t>
        </is>
      </c>
      <c r="D145" s="2" t="n">
        <v>5</v>
      </c>
      <c r="E145" s="2" t="inlineStr">
        <is>
          <t>OFFICE</t>
        </is>
      </c>
      <c r="F145" s="2" t="inlineStr">
        <is>
          <t>G05;D-DES</t>
        </is>
      </c>
      <c r="G145" s="2" t="inlineStr"/>
      <c r="H145" s="2" t="inlineStr">
        <is>
          <t>Engineering</t>
        </is>
      </c>
      <c r="I145" s="2" t="inlineStr">
        <is>
          <t>2026-12-28</t>
        </is>
      </c>
      <c r="J145" s="2" t="inlineStr">
        <is>
          <t>2027-01-02</t>
        </is>
      </c>
      <c r="K145" s="2" t="inlineStr">
        <is>
          <t>2027-05-21</t>
        </is>
      </c>
      <c r="L145" s="2" t="inlineStr">
        <is>
          <t>2027-05-28</t>
        </is>
      </c>
      <c r="M145" s="2" t="n">
        <v>144</v>
      </c>
      <c r="N145" s="2" t="inlineStr">
        <is>
          <t>Proposed allowance; replace with verified inputs</t>
        </is>
      </c>
      <c r="O145" s="2" t="inlineStr">
        <is>
          <t>PROPOSED / NOT APPROVED</t>
        </is>
      </c>
    </row>
    <row r="146">
      <c r="A146" s="2" t="inlineStr">
        <is>
          <t>B03-BRV</t>
        </is>
      </c>
      <c r="B146" s="2" t="inlineStr">
        <is>
          <t>ICG-ICP UD</t>
        </is>
      </c>
      <c r="C146" s="2" t="inlineStr">
        <is>
          <t>Basis review and comment closure allowance</t>
        </is>
      </c>
      <c r="D146" s="2" t="n">
        <v>10</v>
      </c>
      <c r="E146" s="2" t="inlineStr">
        <is>
          <t>OFFICE</t>
        </is>
      </c>
      <c r="F146" s="2" t="inlineStr">
        <is>
          <t>B03-BAS</t>
        </is>
      </c>
      <c r="G146" s="2" t="inlineStr"/>
      <c r="H146" s="2" t="inlineStr">
        <is>
          <t>Engineering</t>
        </is>
      </c>
      <c r="I146" s="2" t="inlineStr">
        <is>
          <t>2027-01-04</t>
        </is>
      </c>
      <c r="J146" s="2" t="inlineStr">
        <is>
          <t>2027-01-16</t>
        </is>
      </c>
      <c r="K146" s="2" t="inlineStr">
        <is>
          <t>2027-05-28</t>
        </is>
      </c>
      <c r="L146" s="2" t="inlineStr">
        <is>
          <t>2027-06-11</t>
        </is>
      </c>
      <c r="M146" s="2" t="n">
        <v>144</v>
      </c>
      <c r="N146" s="2" t="inlineStr">
        <is>
          <t>Proposed allowance; replace with verified inputs</t>
        </is>
      </c>
      <c r="O146" s="2" t="inlineStr">
        <is>
          <t>PROPOSED / NOT APPROVED</t>
        </is>
      </c>
    </row>
    <row r="147">
      <c r="A147" s="2" t="inlineStr">
        <is>
          <t>B03-ANA</t>
        </is>
      </c>
      <c r="B147" s="2" t="inlineStr">
        <is>
          <t>ICG-ICP UD</t>
        </is>
      </c>
      <c r="C147" s="2" t="inlineStr">
        <is>
          <t>Bridge/platform and preservice analysis preparation</t>
        </is>
      </c>
      <c r="D147" s="2" t="n">
        <v>12</v>
      </c>
      <c r="E147" s="2" t="inlineStr">
        <is>
          <t>OFFICE</t>
        </is>
      </c>
      <c r="F147" s="2" t="inlineStr">
        <is>
          <t>B03-BRV</t>
        </is>
      </c>
      <c r="G147" s="2" t="inlineStr"/>
      <c r="H147" s="2" t="inlineStr">
        <is>
          <t>Structural</t>
        </is>
      </c>
      <c r="I147" s="2" t="inlineStr">
        <is>
          <t>2027-01-18</t>
        </is>
      </c>
      <c r="J147" s="2" t="inlineStr">
        <is>
          <t>2027-02-03</t>
        </is>
      </c>
      <c r="K147" s="2" t="inlineStr">
        <is>
          <t>2027-06-11</t>
        </is>
      </c>
      <c r="L147" s="2" t="inlineStr">
        <is>
          <t>2027-06-29</t>
        </is>
      </c>
      <c r="M147" s="2" t="n">
        <v>144</v>
      </c>
      <c r="N147" s="2" t="inlineStr">
        <is>
          <t>Proposed engineering effort window; native analysis/check evidence not supplied</t>
        </is>
      </c>
      <c r="O147" s="2" t="inlineStr">
        <is>
          <t>PROPOSED / NOT APPROVED</t>
        </is>
      </c>
    </row>
    <row r="148">
      <c r="A148" s="2" t="inlineStr">
        <is>
          <t>B03-ARV</t>
        </is>
      </c>
      <c r="B148" s="2" t="inlineStr">
        <is>
          <t>ICG-ICP UD</t>
        </is>
      </c>
      <c r="C148" s="2" t="inlineStr">
        <is>
          <t>Analysis review and comment closure allowance</t>
        </is>
      </c>
      <c r="D148" s="2" t="n">
        <v>10</v>
      </c>
      <c r="E148" s="2" t="inlineStr">
        <is>
          <t>OFFICE</t>
        </is>
      </c>
      <c r="F148" s="2" t="inlineStr">
        <is>
          <t>B03-ANA</t>
        </is>
      </c>
      <c r="G148" s="2" t="inlineStr"/>
      <c r="H148" s="2" t="inlineStr">
        <is>
          <t>Engineering</t>
        </is>
      </c>
      <c r="I148" s="2" t="inlineStr">
        <is>
          <t>2027-02-03</t>
        </is>
      </c>
      <c r="J148" s="2" t="inlineStr">
        <is>
          <t>2027-02-17</t>
        </is>
      </c>
      <c r="K148" s="2" t="inlineStr">
        <is>
          <t>2027-06-29</t>
        </is>
      </c>
      <c r="L148" s="2" t="inlineStr">
        <is>
          <t>2027-07-13</t>
        </is>
      </c>
      <c r="M148" s="2" t="n">
        <v>146</v>
      </c>
      <c r="N148" s="2" t="inlineStr">
        <is>
          <t>Proposed allowance; replace with verified inputs</t>
        </is>
      </c>
      <c r="O148" s="2" t="inlineStr">
        <is>
          <t>PROPOSED / NOT APPROVED</t>
        </is>
      </c>
    </row>
    <row r="149">
      <c r="A149" s="2" t="inlineStr">
        <is>
          <t>B03-DET</t>
        </is>
      </c>
      <c r="B149" s="2" t="inlineStr">
        <is>
          <t>ICG-ICP UD</t>
        </is>
      </c>
      <c r="C149" s="2" t="inlineStr">
        <is>
          <t>Connection, bearing, landing and workpack detailing</t>
        </is>
      </c>
      <c r="D149" s="2" t="n">
        <v>10</v>
      </c>
      <c r="E149" s="2" t="inlineStr">
        <is>
          <t>OFFICE</t>
        </is>
      </c>
      <c r="F149" s="2" t="inlineStr">
        <is>
          <t>B03-ARV</t>
        </is>
      </c>
      <c r="G149" s="2" t="inlineStr"/>
      <c r="H149" s="2" t="inlineStr">
        <is>
          <t>Structural</t>
        </is>
      </c>
      <c r="I149" s="2" t="inlineStr">
        <is>
          <t>2027-02-17</t>
        </is>
      </c>
      <c r="J149" s="2" t="inlineStr">
        <is>
          <t>2027-03-03</t>
        </is>
      </c>
      <c r="K149" s="2" t="inlineStr">
        <is>
          <t>2027-07-13</t>
        </is>
      </c>
      <c r="L149" s="2" t="inlineStr">
        <is>
          <t>2027-07-27</t>
        </is>
      </c>
      <c r="M149" s="2" t="n">
        <v>146</v>
      </c>
      <c r="N149" s="2" t="inlineStr">
        <is>
          <t>Proposed allowance; replace with verified inputs</t>
        </is>
      </c>
      <c r="O149" s="2" t="inlineStr">
        <is>
          <t>PROPOSED / NOT APPROVED</t>
        </is>
      </c>
    </row>
    <row r="150">
      <c r="A150" s="2" t="inlineStr">
        <is>
          <t>B03-DRV</t>
        </is>
      </c>
      <c r="B150" s="2" t="inlineStr">
        <is>
          <t>ICG-ICP UD</t>
        </is>
      </c>
      <c r="C150" s="2" t="inlineStr">
        <is>
          <t>Drawing review and comment closure allowance</t>
        </is>
      </c>
      <c r="D150" s="2" t="n">
        <v>10</v>
      </c>
      <c r="E150" s="2" t="inlineStr">
        <is>
          <t>OFFICE</t>
        </is>
      </c>
      <c r="F150" s="2" t="inlineStr">
        <is>
          <t>B03-DET</t>
        </is>
      </c>
      <c r="G150" s="2" t="inlineStr"/>
      <c r="H150" s="2" t="inlineStr">
        <is>
          <t>Engineering</t>
        </is>
      </c>
      <c r="I150" s="2" t="inlineStr">
        <is>
          <t>2027-03-03</t>
        </is>
      </c>
      <c r="J150" s="2" t="inlineStr">
        <is>
          <t>2027-03-17</t>
        </is>
      </c>
      <c r="K150" s="2" t="inlineStr">
        <is>
          <t>2027-07-27</t>
        </is>
      </c>
      <c r="L150" s="2" t="inlineStr">
        <is>
          <t>2027-08-10</t>
        </is>
      </c>
      <c r="M150" s="2" t="n">
        <v>146</v>
      </c>
      <c r="N150" s="2" t="inlineStr">
        <is>
          <t>Proposed allowance; replace with verified inputs</t>
        </is>
      </c>
      <c r="O150" s="2" t="inlineStr">
        <is>
          <t>PROPOSED / NOT APPROVED</t>
        </is>
      </c>
    </row>
    <row r="151">
      <c r="A151" s="2" t="inlineStr">
        <is>
          <t>B03-AFC</t>
        </is>
      </c>
      <c r="B151" s="2" t="inlineStr">
        <is>
          <t>ICG-ICP UD</t>
        </is>
      </c>
      <c r="C151" s="2" t="inlineStr">
        <is>
          <t>AFC design/MTO independent check and release gate</t>
        </is>
      </c>
      <c r="D151" s="2" t="n">
        <v>0</v>
      </c>
      <c r="E151" s="2" t="inlineStr">
        <is>
          <t>ALL</t>
        </is>
      </c>
      <c r="F151" s="2" t="inlineStr">
        <is>
          <t>B03-DRV</t>
        </is>
      </c>
      <c r="G151" s="2" t="inlineStr"/>
      <c r="H151" s="2" t="inlineStr">
        <is>
          <t>Engineering</t>
        </is>
      </c>
      <c r="I151" s="2" t="inlineStr">
        <is>
          <t>2027-03-17</t>
        </is>
      </c>
      <c r="J151" s="2" t="inlineStr">
        <is>
          <t>2027-03-17</t>
        </is>
      </c>
      <c r="K151" s="2" t="inlineStr">
        <is>
          <t>2027-08-10</t>
        </is>
      </c>
      <c r="L151" s="2" t="inlineStr">
        <is>
          <t>2027-08-10</t>
        </is>
      </c>
      <c r="M151" s="2" t="n">
        <v>146</v>
      </c>
      <c r="N151" s="2" t="inlineStr">
        <is>
          <t>Gate; actual signed release not established</t>
        </is>
      </c>
      <c r="O151" s="2" t="inlineStr">
        <is>
          <t>PROPOSED / NOT APPROVED</t>
        </is>
      </c>
    </row>
    <row r="152">
      <c r="A152" s="2" t="inlineStr">
        <is>
          <t>B03-RFQ</t>
        </is>
      </c>
      <c r="B152" s="2" t="inlineStr">
        <is>
          <t>ICG-ICP UD</t>
        </is>
      </c>
      <c r="C152" s="2" t="inlineStr">
        <is>
          <t>Bridge steel RFQ, evaluation and PS preparation</t>
        </is>
      </c>
      <c r="D152" s="2" t="n">
        <v>7</v>
      </c>
      <c r="E152" s="2" t="inlineStr">
        <is>
          <t>OFFICE</t>
        </is>
      </c>
      <c r="F152" s="2" t="inlineStr">
        <is>
          <t>B03-BRV</t>
        </is>
      </c>
      <c r="G152" s="2" t="inlineStr"/>
      <c r="H152" s="2" t="inlineStr">
        <is>
          <t>Procurement</t>
        </is>
      </c>
      <c r="I152" s="2" t="inlineStr">
        <is>
          <t>2027-01-18</t>
        </is>
      </c>
      <c r="J152" s="2" t="inlineStr">
        <is>
          <t>2027-01-27</t>
        </is>
      </c>
      <c r="K152" s="2" t="inlineStr">
        <is>
          <t>2027-07-16</t>
        </is>
      </c>
      <c r="L152" s="2" t="inlineStr">
        <is>
          <t>2027-07-27</t>
        </is>
      </c>
      <c r="M152" s="2" t="n">
        <v>179</v>
      </c>
      <c r="N152" s="2" t="inlineStr">
        <is>
          <t>Proposed allowance; replace with verified inputs</t>
        </is>
      </c>
      <c r="O152" s="2" t="inlineStr">
        <is>
          <t>PROPOSED / NOT APPROVED</t>
        </is>
      </c>
    </row>
    <row r="153">
      <c r="A153" s="2" t="inlineStr">
        <is>
          <t>B03-PRV</t>
        </is>
      </c>
      <c r="B153" s="2" t="inlineStr">
        <is>
          <t>ICG-ICP UD</t>
        </is>
      </c>
      <c r="C153" s="2" t="inlineStr">
        <is>
          <t>Bridge steel PS review allowance</t>
        </is>
      </c>
      <c r="D153" s="2" t="n">
        <v>10</v>
      </c>
      <c r="E153" s="2" t="inlineStr">
        <is>
          <t>OFFICE</t>
        </is>
      </c>
      <c r="F153" s="2" t="inlineStr">
        <is>
          <t>B03-RFQ</t>
        </is>
      </c>
      <c r="G153" s="2" t="inlineStr"/>
      <c r="H153" s="2" t="inlineStr">
        <is>
          <t>Procurement</t>
        </is>
      </c>
      <c r="I153" s="2" t="inlineStr">
        <is>
          <t>2027-01-27</t>
        </is>
      </c>
      <c r="J153" s="2" t="inlineStr">
        <is>
          <t>2027-02-10</t>
        </is>
      </c>
      <c r="K153" s="2" t="inlineStr">
        <is>
          <t>2027-07-27</t>
        </is>
      </c>
      <c r="L153" s="2" t="inlineStr">
        <is>
          <t>2027-08-10</t>
        </is>
      </c>
      <c r="M153" s="2" t="n">
        <v>181</v>
      </c>
      <c r="N153" s="2" t="inlineStr">
        <is>
          <t>Proposed allowance; replace with verified inputs</t>
        </is>
      </c>
      <c r="O153" s="2" t="inlineStr">
        <is>
          <t>PROPOSED / NOT APPROVED</t>
        </is>
      </c>
    </row>
    <row r="154">
      <c r="A154" s="2" t="inlineStr">
        <is>
          <t>B03-PO</t>
        </is>
      </c>
      <c r="B154" s="2" t="inlineStr">
        <is>
          <t>ICG-ICP UD</t>
        </is>
      </c>
      <c r="C154" s="2" t="inlineStr">
        <is>
          <t>Bridge steel compliant PO release gate</t>
        </is>
      </c>
      <c r="D154" s="2" t="n">
        <v>0</v>
      </c>
      <c r="E154" s="2" t="inlineStr">
        <is>
          <t>ALL</t>
        </is>
      </c>
      <c r="F154" s="2" t="inlineStr">
        <is>
          <t>B03-AFC;B03-PRV</t>
        </is>
      </c>
      <c r="G154" s="2" t="inlineStr"/>
      <c r="H154" s="2" t="inlineStr">
        <is>
          <t>Procurement</t>
        </is>
      </c>
      <c r="I154" s="2" t="inlineStr">
        <is>
          <t>2027-03-17</t>
        </is>
      </c>
      <c r="J154" s="2" t="inlineStr">
        <is>
          <t>2027-03-17</t>
        </is>
      </c>
      <c r="K154" s="2" t="inlineStr">
        <is>
          <t>2027-08-10</t>
        </is>
      </c>
      <c r="L154" s="2" t="inlineStr">
        <is>
          <t>2027-08-10</t>
        </is>
      </c>
      <c r="M154" s="2" t="n">
        <v>146</v>
      </c>
      <c r="N154" s="2" t="inlineStr">
        <is>
          <t>No at-risk purchase assumed; amended domestic-origin evidence required</t>
        </is>
      </c>
      <c r="O154" s="2" t="inlineStr">
        <is>
          <t>PROPOSED / NOT APPROVED</t>
        </is>
      </c>
    </row>
    <row r="155">
      <c r="A155" s="2" t="inlineStr">
        <is>
          <t>B03-MAT</t>
        </is>
      </c>
      <c r="B155" s="2" t="inlineStr">
        <is>
          <t>ICG-ICP UD</t>
        </is>
      </c>
      <c r="C155" s="2" t="inlineStr">
        <is>
          <t>Mill production, inspection and steel delivery</t>
        </is>
      </c>
      <c r="D155" s="2" t="n">
        <v>45</v>
      </c>
      <c r="E155" s="2" t="inlineStr">
        <is>
          <t>ALL</t>
        </is>
      </c>
      <c r="F155" s="2" t="inlineStr">
        <is>
          <t>B03-PO</t>
        </is>
      </c>
      <c r="G155" s="2" t="inlineStr"/>
      <c r="H155" s="2" t="inlineStr">
        <is>
          <t>Procurement</t>
        </is>
      </c>
      <c r="I155" s="2" t="inlineStr">
        <is>
          <t>2027-03-17</t>
        </is>
      </c>
      <c r="J155" s="2" t="inlineStr">
        <is>
          <t>2027-05-01</t>
        </is>
      </c>
      <c r="K155" s="2" t="inlineStr">
        <is>
          <t>2027-08-10</t>
        </is>
      </c>
      <c r="L155" s="2" t="inlineStr">
        <is>
          <t>2027-09-24</t>
        </is>
      </c>
      <c r="M155" s="2" t="n">
        <v>146</v>
      </c>
      <c r="N155" s="2" t="inlineStr">
        <is>
          <t>Unquoted45calendar-day placeholder; origin, mill capacity and transport unresolved</t>
        </is>
      </c>
      <c r="O155" s="2" t="inlineStr">
        <is>
          <t>PROPOSED / NOT APPROVED</t>
        </is>
      </c>
    </row>
    <row r="156">
      <c r="A156" s="2" t="inlineStr">
        <is>
          <t>B03-FAB</t>
        </is>
      </c>
      <c r="B156" s="2" t="inlineStr">
        <is>
          <t>ICG-ICP UD</t>
        </is>
      </c>
      <c r="C156" s="2" t="inlineStr">
        <is>
          <t>Fit-up, welding and dimensional control</t>
        </is>
      </c>
      <c r="D156" s="2" t="n">
        <v>29</v>
      </c>
      <c r="E156" s="2" t="inlineStr">
        <is>
          <t>YARD</t>
        </is>
      </c>
      <c r="F156" s="2" t="inlineStr">
        <is>
          <t>B03-MAT;D-NDT;D-TPI;B04-FAB</t>
        </is>
      </c>
      <c r="G156" s="2" t="inlineStr">
        <is>
          <t>Fabrication line 1</t>
        </is>
      </c>
      <c r="H156" s="2" t="inlineStr">
        <is>
          <t>Fabrication</t>
        </is>
      </c>
      <c r="I156" s="2" t="inlineStr">
        <is>
          <t>2027-09-24</t>
        </is>
      </c>
      <c r="J156" s="2" t="inlineStr">
        <is>
          <t>2027-10-28</t>
        </is>
      </c>
      <c r="K156" s="2" t="inlineStr">
        <is>
          <t>2027-09-24</t>
        </is>
      </c>
      <c r="L156" s="2" t="inlineStr">
        <is>
          <t>2027-10-28</t>
        </is>
      </c>
      <c r="M156" s="2" t="n">
        <v>0</v>
      </c>
      <c r="N156" s="2" t="inlineStr">
        <is>
          <t>Assumed4MT per productive bay-day; includes aggregate steel, not validated shop productivity</t>
        </is>
      </c>
      <c r="O156" s="2" t="inlineStr">
        <is>
          <t>PROPOSED / NOT APPROVED</t>
        </is>
      </c>
    </row>
    <row r="157">
      <c r="A157" s="2" t="inlineStr">
        <is>
          <t>B03-NDT</t>
        </is>
      </c>
      <c r="B157" s="2" t="inlineStr">
        <is>
          <t>ICG-ICP UD</t>
        </is>
      </c>
      <c r="C157" s="2" t="inlineStr">
        <is>
          <t>NDT, repair allowance and dimensional release</t>
        </is>
      </c>
      <c r="D157" s="2" t="n">
        <v>6</v>
      </c>
      <c r="E157" s="2" t="inlineStr">
        <is>
          <t>YARD</t>
        </is>
      </c>
      <c r="F157" s="2" t="inlineStr">
        <is>
          <t>B03-FAB</t>
        </is>
      </c>
      <c r="G157" s="2" t="inlineStr"/>
      <c r="H157" s="2" t="inlineStr">
        <is>
          <t>QA</t>
        </is>
      </c>
      <c r="I157" s="2" t="inlineStr">
        <is>
          <t>2027-10-28</t>
        </is>
      </c>
      <c r="J157" s="2" t="inlineStr">
        <is>
          <t>2027-11-04</t>
        </is>
      </c>
      <c r="K157" s="2" t="inlineStr">
        <is>
          <t>2027-11-02</t>
        </is>
      </c>
      <c r="L157" s="2" t="inlineStr">
        <is>
          <t>2027-11-09</t>
        </is>
      </c>
      <c r="M157" s="2" t="n">
        <v>5</v>
      </c>
      <c r="N157" s="2" t="inlineStr">
        <is>
          <t>Proposed allowance; replace with verified inputs</t>
        </is>
      </c>
      <c r="O157" s="2" t="inlineStr">
        <is>
          <t>PROPOSED / NOT APPROVED</t>
        </is>
      </c>
    </row>
    <row r="158">
      <c r="A158" s="2" t="inlineStr">
        <is>
          <t>B03-COA</t>
        </is>
      </c>
      <c r="B158" s="2" t="inlineStr">
        <is>
          <t>ICG-ICP UD</t>
        </is>
      </c>
      <c r="C158" s="2" t="inlineStr">
        <is>
          <t>Surface preparation, coating and curing allowance</t>
        </is>
      </c>
      <c r="D158" s="2" t="n">
        <v>10</v>
      </c>
      <c r="E158" s="2" t="inlineStr">
        <is>
          <t>YARD</t>
        </is>
      </c>
      <c r="F158" s="2" t="inlineStr">
        <is>
          <t>B03-NDT;D-COAT;B01-COA</t>
        </is>
      </c>
      <c r="G158" s="2" t="inlineStr">
        <is>
          <t>Coating cell</t>
        </is>
      </c>
      <c r="H158" s="2" t="inlineStr">
        <is>
          <t>Coating</t>
        </is>
      </c>
      <c r="I158" s="2" t="inlineStr">
        <is>
          <t>2027-11-04</t>
        </is>
      </c>
      <c r="J158" s="2" t="inlineStr">
        <is>
          <t>2027-11-16</t>
        </is>
      </c>
      <c r="K158" s="2" t="inlineStr">
        <is>
          <t>2027-11-09</t>
        </is>
      </c>
      <c r="L158" s="2" t="inlineStr">
        <is>
          <t>2027-11-20</t>
        </is>
      </c>
      <c r="M158" s="2" t="n">
        <v>5</v>
      </c>
      <c r="N158" s="2" t="inlineStr">
        <is>
          <t>Proposed allowance; replace with verified inputs</t>
        </is>
      </c>
      <c r="O158" s="2" t="inlineStr">
        <is>
          <t>PROPOSED / NOT APPROVED</t>
        </is>
      </c>
    </row>
    <row r="159">
      <c r="A159" s="2" t="inlineStr">
        <is>
          <t>B03-REL</t>
        </is>
      </c>
      <c r="B159" s="2" t="inlineStr">
        <is>
          <t>ICG-ICP UD</t>
        </is>
      </c>
      <c r="C159" s="2" t="inlineStr">
        <is>
          <t>Trial fit, verified weight/COG and loadout release</t>
        </is>
      </c>
      <c r="D159" s="2" t="n">
        <v>5</v>
      </c>
      <c r="E159" s="2" t="inlineStr">
        <is>
          <t>YARD</t>
        </is>
      </c>
      <c r="F159" s="2" t="inlineStr">
        <is>
          <t>B03-COA</t>
        </is>
      </c>
      <c r="G159" s="2" t="inlineStr"/>
      <c r="H159" s="2" t="inlineStr">
        <is>
          <t>QA / Marine</t>
        </is>
      </c>
      <c r="I159" s="2" t="inlineStr">
        <is>
          <t>2027-11-16</t>
        </is>
      </c>
      <c r="J159" s="2" t="inlineStr">
        <is>
          <t>2027-11-21</t>
        </is>
      </c>
      <c r="K159" s="2" t="inlineStr">
        <is>
          <t>2027-12-18</t>
        </is>
      </c>
      <c r="L159" s="2" t="inlineStr">
        <is>
          <t>2027-12-24</t>
        </is>
      </c>
      <c r="M159" s="2" t="n">
        <v>32</v>
      </c>
      <c r="N159" s="2" t="inlineStr">
        <is>
          <t>Proposed allowance; replace with verified inputs</t>
        </is>
      </c>
      <c r="O159" s="2" t="inlineStr">
        <is>
          <t>PROPOSED / NOT APPROVED</t>
        </is>
      </c>
    </row>
    <row r="160">
      <c r="A160" s="2" t="inlineStr">
        <is>
          <t>B03-TRN</t>
        </is>
      </c>
      <c r="B160" s="2" t="inlineStr">
        <is>
          <t>ICG-ICP UD</t>
        </is>
      </c>
      <c r="C160" s="2" t="inlineStr">
        <is>
          <t>Loadout, transport and offshore receipt</t>
        </is>
      </c>
      <c r="D160" s="2" t="n">
        <v>3</v>
      </c>
      <c r="E160" s="2" t="inlineStr">
        <is>
          <t>OFF</t>
        </is>
      </c>
      <c r="F160" s="2" t="inlineStr">
        <is>
          <t>B03-REL;D-CARGO;B01-TRN</t>
        </is>
      </c>
      <c r="G160" s="2" t="inlineStr">
        <is>
          <t>Cargo spread</t>
        </is>
      </c>
      <c r="H160" s="2" t="inlineStr">
        <is>
          <t>Logistics</t>
        </is>
      </c>
      <c r="I160" s="2" t="inlineStr">
        <is>
          <t>2027-11-21</t>
        </is>
      </c>
      <c r="J160" s="2" t="inlineStr">
        <is>
          <t>2027-11-24</t>
        </is>
      </c>
      <c r="K160" s="2" t="inlineStr">
        <is>
          <t>2027-12-24</t>
        </is>
      </c>
      <c r="L160" s="2" t="inlineStr">
        <is>
          <t>2027-12-27</t>
        </is>
      </c>
      <c r="M160" s="2" t="n">
        <v>33</v>
      </c>
      <c r="N160" s="2" t="inlineStr">
        <is>
          <t>Proposed allowance; replace with verified inputs</t>
        </is>
      </c>
      <c r="O160" s="2" t="inlineStr">
        <is>
          <t>PROPOSED / NOT APPROVED</t>
        </is>
      </c>
    </row>
    <row r="161">
      <c r="A161" s="2" t="inlineStr">
        <is>
          <t>B03-PRE</t>
        </is>
      </c>
      <c r="B161" s="2" t="inlineStr">
        <is>
          <t>ICG-ICP UD</t>
        </is>
      </c>
      <c r="C161" s="2" t="inlineStr">
        <is>
          <t>PTW, access, SIMOPS and work-front readiness</t>
        </is>
      </c>
      <c r="D161" s="2" t="n">
        <v>3</v>
      </c>
      <c r="E161" s="2" t="inlineStr">
        <is>
          <t>OFF</t>
        </is>
      </c>
      <c r="F161" s="2" t="inlineStr">
        <is>
          <t>B03-TRN;D-SCAF;D-PPE</t>
        </is>
      </c>
      <c r="G161" s="2" t="inlineStr"/>
      <c r="H161" s="2" t="inlineStr">
        <is>
          <t>Construction</t>
        </is>
      </c>
      <c r="I161" s="2" t="inlineStr">
        <is>
          <t>2027-11-24</t>
        </is>
      </c>
      <c r="J161" s="2" t="inlineStr">
        <is>
          <t>2027-11-27</t>
        </is>
      </c>
      <c r="K161" s="2" t="inlineStr">
        <is>
          <t>2028-01-01</t>
        </is>
      </c>
      <c r="L161" s="2" t="inlineStr">
        <is>
          <t>2028-01-04</t>
        </is>
      </c>
      <c r="M161" s="2" t="n">
        <v>38</v>
      </c>
      <c r="N161" s="2" t="inlineStr">
        <is>
          <t>Proposed allowance; replace with verified inputs</t>
        </is>
      </c>
      <c r="O161" s="2" t="inlineStr">
        <is>
          <t>PROPOSED / NOT APPROVED</t>
        </is>
      </c>
    </row>
    <row r="162">
      <c r="A162" s="2" t="inlineStr">
        <is>
          <t>B03-STR</t>
        </is>
      </c>
      <c r="B162" s="2" t="inlineStr">
        <is>
          <t>ICG-ICP UD</t>
        </is>
      </c>
      <c r="C162" s="2" t="inlineStr">
        <is>
          <t>Landing/platform pre-install strengthening</t>
        </is>
      </c>
      <c r="D162" s="2" t="n">
        <v>8</v>
      </c>
      <c r="E162" s="2" t="inlineStr">
        <is>
          <t>OFF</t>
        </is>
      </c>
      <c r="F162" s="2" t="inlineStr">
        <is>
          <t>B03-PRE;B02-STR</t>
        </is>
      </c>
      <c r="G162" s="2" t="inlineStr">
        <is>
          <t>Strength crew 2</t>
        </is>
      </c>
      <c r="H162" s="2" t="inlineStr">
        <is>
          <t>Construction</t>
        </is>
      </c>
      <c r="I162" s="2" t="inlineStr">
        <is>
          <t>2027-11-27</t>
        </is>
      </c>
      <c r="J162" s="2" t="inlineStr">
        <is>
          <t>2027-12-05</t>
        </is>
      </c>
      <c r="K162" s="2" t="inlineStr">
        <is>
          <t>2028-01-04</t>
        </is>
      </c>
      <c r="L162" s="2" t="inlineStr">
        <is>
          <t>2028-01-12</t>
        </is>
      </c>
      <c r="M162" s="2" t="n">
        <v>38</v>
      </c>
      <c r="N162" s="2" t="inlineStr">
        <is>
          <t>Proposed4MT/crew-day; actual weld/access quantities not validated</t>
        </is>
      </c>
      <c r="O162" s="2" t="inlineStr">
        <is>
          <t>PROPOSED / NOT APPROVED</t>
        </is>
      </c>
    </row>
    <row r="163">
      <c r="A163" s="2" t="inlineStr">
        <is>
          <t>B03-INS</t>
        </is>
      </c>
      <c r="B163" s="2" t="inlineStr">
        <is>
          <t>ICG-ICP UD</t>
        </is>
      </c>
      <c r="C163" s="2" t="inlineStr">
        <is>
          <t>Bridge strengthening and replacement items</t>
        </is>
      </c>
      <c r="D163" s="2" t="n">
        <v>22</v>
      </c>
      <c r="E163" s="2" t="inlineStr">
        <is>
          <t>OFF</t>
        </is>
      </c>
      <c r="F163" s="2" t="inlineStr">
        <is>
          <t>B03-STR;D-MAR;D-BEAR;D-GRAT</t>
        </is>
      </c>
      <c r="G163" s="2" t="inlineStr">
        <is>
          <t>Strength crew 2</t>
        </is>
      </c>
      <c r="H163" s="2" t="inlineStr">
        <is>
          <t>Marine / Construction</t>
        </is>
      </c>
      <c r="I163" s="2" t="inlineStr">
        <is>
          <t>2027-12-05</t>
        </is>
      </c>
      <c r="J163" s="2" t="inlineStr">
        <is>
          <t>2027-12-27</t>
        </is>
      </c>
      <c r="K163" s="2" t="inlineStr">
        <is>
          <t>2028-01-12</t>
        </is>
      </c>
      <c r="L163" s="2" t="inlineStr">
        <is>
          <t>2028-02-03</t>
        </is>
      </c>
      <c r="M163" s="2" t="n">
        <v>38</v>
      </c>
      <c r="N163" s="2" t="inlineStr">
        <is>
          <t>Aggregate planning allowance; engineered lifts and temporary stability required</t>
        </is>
      </c>
      <c r="O163" s="2" t="inlineStr">
        <is>
          <t>PROPOSED / NOT APPROVED</t>
        </is>
      </c>
    </row>
    <row r="164">
      <c r="A164" s="2" t="inlineStr">
        <is>
          <t>B03-SRV</t>
        </is>
      </c>
      <c r="B164" s="2" t="inlineStr">
        <is>
          <t>ICG-ICP UD</t>
        </is>
      </c>
      <c r="C164" s="2" t="inlineStr">
        <is>
          <t>Services transfer, test and accepted reinstatement</t>
        </is>
      </c>
      <c r="D164" s="2" t="n">
        <v>5</v>
      </c>
      <c r="E164" s="2" t="inlineStr">
        <is>
          <t>OFF</t>
        </is>
      </c>
      <c r="F164" s="2" t="inlineStr">
        <is>
          <t>B03-INS;D-PIPE;D-ELEC;D-INST;D-TRAY;B01-SRV</t>
        </is>
      </c>
      <c r="G164" s="2" t="inlineStr">
        <is>
          <t>Service transfer team</t>
        </is>
      </c>
      <c r="H164" s="2" t="inlineStr">
        <is>
          <t>Commissioning</t>
        </is>
      </c>
      <c r="I164" s="2" t="inlineStr">
        <is>
          <t>2027-12-27</t>
        </is>
      </c>
      <c r="J164" s="2" t="inlineStr">
        <is>
          <t>2028-01-01</t>
        </is>
      </c>
      <c r="K164" s="2" t="inlineStr">
        <is>
          <t>2028-02-03</t>
        </is>
      </c>
      <c r="L164" s="2" t="inlineStr">
        <is>
          <t>2028-02-08</t>
        </is>
      </c>
      <c r="M164" s="2" t="n">
        <v>38</v>
      </c>
      <c r="N164" s="2" t="inlineStr">
        <is>
          <t>Proposed allowance; replace with verified inputs</t>
        </is>
      </c>
      <c r="O164" s="2" t="inlineStr">
        <is>
          <t>PROPOSED / NOT APPROVED</t>
        </is>
      </c>
    </row>
    <row r="165">
      <c r="A165" s="2" t="inlineStr">
        <is>
          <t>B03-DEM</t>
        </is>
      </c>
      <c r="B165" s="2" t="inlineStr">
        <is>
          <t>ICG-ICP UD</t>
        </is>
      </c>
      <c r="C165" s="2" t="inlineStr">
        <is>
          <t>Engineered demolition/removal and scrap backload</t>
        </is>
      </c>
      <c r="D165" s="2" t="n">
        <v>2</v>
      </c>
      <c r="E165" s="2" t="inlineStr">
        <is>
          <t>OFF</t>
        </is>
      </c>
      <c r="F165" s="2" t="inlineStr">
        <is>
          <t>B03-SRV;B01-DEM</t>
        </is>
      </c>
      <c r="G165" s="2" t="inlineStr">
        <is>
          <t>Removal team</t>
        </is>
      </c>
      <c r="H165" s="2" t="inlineStr">
        <is>
          <t>Construction</t>
        </is>
      </c>
      <c r="I165" s="2" t="inlineStr">
        <is>
          <t>2028-01-01</t>
        </is>
      </c>
      <c r="J165" s="2" t="inlineStr">
        <is>
          <t>2028-01-03</t>
        </is>
      </c>
      <c r="K165" s="2" t="inlineStr">
        <is>
          <t>2028-02-23</t>
        </is>
      </c>
      <c r="L165" s="2" t="inlineStr">
        <is>
          <t>2028-02-25</t>
        </is>
      </c>
      <c r="M165" s="2" t="n">
        <v>53</v>
      </c>
      <c r="N165" s="2" t="inlineStr">
        <is>
          <t>Proposed15MT/day allowance; BHS sequence after safe new service transfer, subject to approved method</t>
        </is>
      </c>
      <c r="O165" s="2" t="inlineStr">
        <is>
          <t>PROPOSED / NOT APPROVED</t>
        </is>
      </c>
    </row>
    <row r="166">
      <c r="A166" s="2" t="inlineStr">
        <is>
          <t>B03-PUN</t>
        </is>
      </c>
      <c r="B166" s="2" t="inlineStr">
        <is>
          <t>ICG-ICP UD</t>
        </is>
      </c>
      <c r="C166" s="2" t="inlineStr">
        <is>
          <t>Inspection, touch-up and offshore punch closure</t>
        </is>
      </c>
      <c r="D166" s="2" t="n">
        <v>3</v>
      </c>
      <c r="E166" s="2" t="inlineStr">
        <is>
          <t>OFF</t>
        </is>
      </c>
      <c r="F166" s="2" t="inlineStr">
        <is>
          <t>B03-DEM</t>
        </is>
      </c>
      <c r="G166" s="2" t="inlineStr"/>
      <c r="H166" s="2" t="inlineStr">
        <is>
          <t>QA / Commissioning</t>
        </is>
      </c>
      <c r="I166" s="2" t="inlineStr">
        <is>
          <t>2028-01-03</t>
        </is>
      </c>
      <c r="J166" s="2" t="inlineStr">
        <is>
          <t>2028-01-06</t>
        </is>
      </c>
      <c r="K166" s="2" t="inlineStr">
        <is>
          <t>2028-03-06</t>
        </is>
      </c>
      <c r="L166" s="2" t="inlineStr">
        <is>
          <t>2028-03-09</t>
        </is>
      </c>
      <c r="M166" s="2" t="n">
        <v>63</v>
      </c>
      <c r="N166" s="2" t="inlineStr">
        <is>
          <t>Proposed allowance; replace with verified inputs</t>
        </is>
      </c>
      <c r="O166" s="2" t="inlineStr">
        <is>
          <t>PROPOSED / NOT APPROVED</t>
        </is>
      </c>
    </row>
    <row r="167">
      <c r="A167" s="2" t="inlineStr">
        <is>
          <t>B03-DOS</t>
        </is>
      </c>
      <c r="B167" s="2" t="inlineStr">
        <is>
          <t>ICG-ICP UD</t>
        </is>
      </c>
      <c r="C167" s="2" t="inlineStr">
        <is>
          <t>As-built, QA and turnover dossier acceptance</t>
        </is>
      </c>
      <c r="D167" s="2" t="n">
        <v>10</v>
      </c>
      <c r="E167" s="2" t="inlineStr">
        <is>
          <t>OFFICE</t>
        </is>
      </c>
      <c r="F167" s="2" t="inlineStr">
        <is>
          <t>B03-PUN</t>
        </is>
      </c>
      <c r="G167" s="2" t="inlineStr"/>
      <c r="H167" s="2" t="inlineStr">
        <is>
          <t>Document Control</t>
        </is>
      </c>
      <c r="I167" s="2" t="inlineStr">
        <is>
          <t>2028-01-06</t>
        </is>
      </c>
      <c r="J167" s="2" t="inlineStr">
        <is>
          <t>2028-01-20</t>
        </is>
      </c>
      <c r="K167" s="2" t="inlineStr">
        <is>
          <t>2028-03-09</t>
        </is>
      </c>
      <c r="L167" s="2" t="inlineStr">
        <is>
          <t>2028-03-23</t>
        </is>
      </c>
      <c r="M167" s="2" t="n">
        <v>63</v>
      </c>
      <c r="N167" s="2" t="inlineStr">
        <is>
          <t>Proposed allowance; replace with verified inputs</t>
        </is>
      </c>
      <c r="O167" s="2" t="inlineStr">
        <is>
          <t>PROPOSED / NOT APPROVED</t>
        </is>
      </c>
    </row>
    <row r="168">
      <c r="A168" s="2" t="inlineStr">
        <is>
          <t>B06-BAS</t>
        </is>
      </c>
      <c r="B168" s="2" t="inlineStr">
        <is>
          <t>SLQ-WIS</t>
        </is>
      </c>
      <c r="C168" s="2" t="inlineStr">
        <is>
          <t>Design basis, loads and interfaces</t>
        </is>
      </c>
      <c r="D168" s="2" t="n">
        <v>5</v>
      </c>
      <c r="E168" s="2" t="inlineStr">
        <is>
          <t>OFFICE</t>
        </is>
      </c>
      <c r="F168" s="2" t="inlineStr">
        <is>
          <t>G05;D-DES</t>
        </is>
      </c>
      <c r="G168" s="2" t="inlineStr"/>
      <c r="H168" s="2" t="inlineStr">
        <is>
          <t>Engineering</t>
        </is>
      </c>
      <c r="I168" s="2" t="inlineStr">
        <is>
          <t>2026-12-28</t>
        </is>
      </c>
      <c r="J168" s="2" t="inlineStr">
        <is>
          <t>2027-01-02</t>
        </is>
      </c>
      <c r="K168" s="2" t="inlineStr">
        <is>
          <t>2027-06-11</t>
        </is>
      </c>
      <c r="L168" s="2" t="inlineStr">
        <is>
          <t>2027-06-18</t>
        </is>
      </c>
      <c r="M168" s="2" t="n">
        <v>165</v>
      </c>
      <c r="N168" s="2" t="inlineStr">
        <is>
          <t>Proposed allowance; replace with verified inputs</t>
        </is>
      </c>
      <c r="O168" s="2" t="inlineStr">
        <is>
          <t>PROPOSED / NOT APPROVED</t>
        </is>
      </c>
    </row>
    <row r="169">
      <c r="A169" s="2" t="inlineStr">
        <is>
          <t>B06-BRV</t>
        </is>
      </c>
      <c r="B169" s="2" t="inlineStr">
        <is>
          <t>SLQ-WIS</t>
        </is>
      </c>
      <c r="C169" s="2" t="inlineStr">
        <is>
          <t>Basis review and comment closure allowance</t>
        </is>
      </c>
      <c r="D169" s="2" t="n">
        <v>10</v>
      </c>
      <c r="E169" s="2" t="inlineStr">
        <is>
          <t>OFFICE</t>
        </is>
      </c>
      <c r="F169" s="2" t="inlineStr">
        <is>
          <t>B06-BAS</t>
        </is>
      </c>
      <c r="G169" s="2" t="inlineStr"/>
      <c r="H169" s="2" t="inlineStr">
        <is>
          <t>Engineering</t>
        </is>
      </c>
      <c r="I169" s="2" t="inlineStr">
        <is>
          <t>2027-01-04</t>
        </is>
      </c>
      <c r="J169" s="2" t="inlineStr">
        <is>
          <t>2027-01-16</t>
        </is>
      </c>
      <c r="K169" s="2" t="inlineStr">
        <is>
          <t>2027-06-18</t>
        </is>
      </c>
      <c r="L169" s="2" t="inlineStr">
        <is>
          <t>2027-07-02</t>
        </is>
      </c>
      <c r="M169" s="2" t="n">
        <v>165</v>
      </c>
      <c r="N169" s="2" t="inlineStr">
        <is>
          <t>Proposed allowance; replace with verified inputs</t>
        </is>
      </c>
      <c r="O169" s="2" t="inlineStr">
        <is>
          <t>PROPOSED / NOT APPROVED</t>
        </is>
      </c>
    </row>
    <row r="170">
      <c r="A170" s="2" t="inlineStr">
        <is>
          <t>B06-ANA</t>
        </is>
      </c>
      <c r="B170" s="2" t="inlineStr">
        <is>
          <t>SLQ-WIS</t>
        </is>
      </c>
      <c r="C170" s="2" t="inlineStr">
        <is>
          <t>Bridge/platform and preservice analysis preparation</t>
        </is>
      </c>
      <c r="D170" s="2" t="n">
        <v>12</v>
      </c>
      <c r="E170" s="2" t="inlineStr">
        <is>
          <t>OFFICE</t>
        </is>
      </c>
      <c r="F170" s="2" t="inlineStr">
        <is>
          <t>B06-BRV</t>
        </is>
      </c>
      <c r="G170" s="2" t="inlineStr"/>
      <c r="H170" s="2" t="inlineStr">
        <is>
          <t>Structural</t>
        </is>
      </c>
      <c r="I170" s="2" t="inlineStr">
        <is>
          <t>2027-01-18</t>
        </is>
      </c>
      <c r="J170" s="2" t="inlineStr">
        <is>
          <t>2027-02-03</t>
        </is>
      </c>
      <c r="K170" s="2" t="inlineStr">
        <is>
          <t>2027-07-02</t>
        </is>
      </c>
      <c r="L170" s="2" t="inlineStr">
        <is>
          <t>2027-07-20</t>
        </is>
      </c>
      <c r="M170" s="2" t="n">
        <v>165</v>
      </c>
      <c r="N170" s="2" t="inlineStr">
        <is>
          <t>Proposed engineering effort window; native analysis/check evidence not supplied</t>
        </is>
      </c>
      <c r="O170" s="2" t="inlineStr">
        <is>
          <t>PROPOSED / NOT APPROVED</t>
        </is>
      </c>
    </row>
    <row r="171">
      <c r="A171" s="2" t="inlineStr">
        <is>
          <t>B06-ARV</t>
        </is>
      </c>
      <c r="B171" s="2" t="inlineStr">
        <is>
          <t>SLQ-WIS</t>
        </is>
      </c>
      <c r="C171" s="2" t="inlineStr">
        <is>
          <t>Analysis review and comment closure allowance</t>
        </is>
      </c>
      <c r="D171" s="2" t="n">
        <v>10</v>
      </c>
      <c r="E171" s="2" t="inlineStr">
        <is>
          <t>OFFICE</t>
        </is>
      </c>
      <c r="F171" s="2" t="inlineStr">
        <is>
          <t>B06-ANA</t>
        </is>
      </c>
      <c r="G171" s="2" t="inlineStr"/>
      <c r="H171" s="2" t="inlineStr">
        <is>
          <t>Engineering</t>
        </is>
      </c>
      <c r="I171" s="2" t="inlineStr">
        <is>
          <t>2027-02-03</t>
        </is>
      </c>
      <c r="J171" s="2" t="inlineStr">
        <is>
          <t>2027-02-17</t>
        </is>
      </c>
      <c r="K171" s="2" t="inlineStr">
        <is>
          <t>2027-07-20</t>
        </is>
      </c>
      <c r="L171" s="2" t="inlineStr">
        <is>
          <t>2027-08-03</t>
        </is>
      </c>
      <c r="M171" s="2" t="n">
        <v>167</v>
      </c>
      <c r="N171" s="2" t="inlineStr">
        <is>
          <t>Proposed allowance; replace with verified inputs</t>
        </is>
      </c>
      <c r="O171" s="2" t="inlineStr">
        <is>
          <t>PROPOSED / NOT APPROVED</t>
        </is>
      </c>
    </row>
    <row r="172">
      <c r="A172" s="2" t="inlineStr">
        <is>
          <t>B06-DET</t>
        </is>
      </c>
      <c r="B172" s="2" t="inlineStr">
        <is>
          <t>SLQ-WIS</t>
        </is>
      </c>
      <c r="C172" s="2" t="inlineStr">
        <is>
          <t>Connection, bearing, landing and workpack detailing</t>
        </is>
      </c>
      <c r="D172" s="2" t="n">
        <v>10</v>
      </c>
      <c r="E172" s="2" t="inlineStr">
        <is>
          <t>OFFICE</t>
        </is>
      </c>
      <c r="F172" s="2" t="inlineStr">
        <is>
          <t>B06-ARV</t>
        </is>
      </c>
      <c r="G172" s="2" t="inlineStr"/>
      <c r="H172" s="2" t="inlineStr">
        <is>
          <t>Structural</t>
        </is>
      </c>
      <c r="I172" s="2" t="inlineStr">
        <is>
          <t>2027-02-17</t>
        </is>
      </c>
      <c r="J172" s="2" t="inlineStr">
        <is>
          <t>2027-03-03</t>
        </is>
      </c>
      <c r="K172" s="2" t="inlineStr">
        <is>
          <t>2027-08-03</t>
        </is>
      </c>
      <c r="L172" s="2" t="inlineStr">
        <is>
          <t>2027-08-17</t>
        </is>
      </c>
      <c r="M172" s="2" t="n">
        <v>167</v>
      </c>
      <c r="N172" s="2" t="inlineStr">
        <is>
          <t>Proposed allowance; replace with verified inputs</t>
        </is>
      </c>
      <c r="O172" s="2" t="inlineStr">
        <is>
          <t>PROPOSED / NOT APPROVED</t>
        </is>
      </c>
    </row>
    <row r="173">
      <c r="A173" s="2" t="inlineStr">
        <is>
          <t>B06-DRV</t>
        </is>
      </c>
      <c r="B173" s="2" t="inlineStr">
        <is>
          <t>SLQ-WIS</t>
        </is>
      </c>
      <c r="C173" s="2" t="inlineStr">
        <is>
          <t>Drawing review and comment closure allowance</t>
        </is>
      </c>
      <c r="D173" s="2" t="n">
        <v>10</v>
      </c>
      <c r="E173" s="2" t="inlineStr">
        <is>
          <t>OFFICE</t>
        </is>
      </c>
      <c r="F173" s="2" t="inlineStr">
        <is>
          <t>B06-DET</t>
        </is>
      </c>
      <c r="G173" s="2" t="inlineStr"/>
      <c r="H173" s="2" t="inlineStr">
        <is>
          <t>Engineering</t>
        </is>
      </c>
      <c r="I173" s="2" t="inlineStr">
        <is>
          <t>2027-03-03</t>
        </is>
      </c>
      <c r="J173" s="2" t="inlineStr">
        <is>
          <t>2027-03-17</t>
        </is>
      </c>
      <c r="K173" s="2" t="inlineStr">
        <is>
          <t>2027-08-17</t>
        </is>
      </c>
      <c r="L173" s="2" t="inlineStr">
        <is>
          <t>2027-08-31</t>
        </is>
      </c>
      <c r="M173" s="2" t="n">
        <v>167</v>
      </c>
      <c r="N173" s="2" t="inlineStr">
        <is>
          <t>Proposed allowance; replace with verified inputs</t>
        </is>
      </c>
      <c r="O173" s="2" t="inlineStr">
        <is>
          <t>PROPOSED / NOT APPROVED</t>
        </is>
      </c>
    </row>
    <row r="174">
      <c r="A174" s="2" t="inlineStr">
        <is>
          <t>B06-AFC</t>
        </is>
      </c>
      <c r="B174" s="2" t="inlineStr">
        <is>
          <t>SLQ-WIS</t>
        </is>
      </c>
      <c r="C174" s="2" t="inlineStr">
        <is>
          <t>AFC design/MTO independent check and release gate</t>
        </is>
      </c>
      <c r="D174" s="2" t="n">
        <v>0</v>
      </c>
      <c r="E174" s="2" t="inlineStr">
        <is>
          <t>ALL</t>
        </is>
      </c>
      <c r="F174" s="2" t="inlineStr">
        <is>
          <t>B06-DRV</t>
        </is>
      </c>
      <c r="G174" s="2" t="inlineStr"/>
      <c r="H174" s="2" t="inlineStr">
        <is>
          <t>Engineering</t>
        </is>
      </c>
      <c r="I174" s="2" t="inlineStr">
        <is>
          <t>2027-03-17</t>
        </is>
      </c>
      <c r="J174" s="2" t="inlineStr">
        <is>
          <t>2027-03-17</t>
        </is>
      </c>
      <c r="K174" s="2" t="inlineStr">
        <is>
          <t>2027-08-31</t>
        </is>
      </c>
      <c r="L174" s="2" t="inlineStr">
        <is>
          <t>2027-08-31</t>
        </is>
      </c>
      <c r="M174" s="2" t="n">
        <v>167</v>
      </c>
      <c r="N174" s="2" t="inlineStr">
        <is>
          <t>Gate; actual signed release not established</t>
        </is>
      </c>
      <c r="O174" s="2" t="inlineStr">
        <is>
          <t>PROPOSED / NOT APPROVED</t>
        </is>
      </c>
    </row>
    <row r="175">
      <c r="A175" s="2" t="inlineStr">
        <is>
          <t>B06-RFQ</t>
        </is>
      </c>
      <c r="B175" s="2" t="inlineStr">
        <is>
          <t>SLQ-WIS</t>
        </is>
      </c>
      <c r="C175" s="2" t="inlineStr">
        <is>
          <t>Bridge steel RFQ, evaluation and PS preparation</t>
        </is>
      </c>
      <c r="D175" s="2" t="n">
        <v>7</v>
      </c>
      <c r="E175" s="2" t="inlineStr">
        <is>
          <t>OFFICE</t>
        </is>
      </c>
      <c r="F175" s="2" t="inlineStr">
        <is>
          <t>B06-BRV</t>
        </is>
      </c>
      <c r="G175" s="2" t="inlineStr"/>
      <c r="H175" s="2" t="inlineStr">
        <is>
          <t>Procurement</t>
        </is>
      </c>
      <c r="I175" s="2" t="inlineStr">
        <is>
          <t>2027-01-18</t>
        </is>
      </c>
      <c r="J175" s="2" t="inlineStr">
        <is>
          <t>2027-01-27</t>
        </is>
      </c>
      <c r="K175" s="2" t="inlineStr">
        <is>
          <t>2027-08-06</t>
        </is>
      </c>
      <c r="L175" s="2" t="inlineStr">
        <is>
          <t>2027-08-17</t>
        </is>
      </c>
      <c r="M175" s="2" t="n">
        <v>200</v>
      </c>
      <c r="N175" s="2" t="inlineStr">
        <is>
          <t>Proposed allowance; replace with verified inputs</t>
        </is>
      </c>
      <c r="O175" s="2" t="inlineStr">
        <is>
          <t>PROPOSED / NOT APPROVED</t>
        </is>
      </c>
    </row>
    <row r="176">
      <c r="A176" s="2" t="inlineStr">
        <is>
          <t>B06-PRV</t>
        </is>
      </c>
      <c r="B176" s="2" t="inlineStr">
        <is>
          <t>SLQ-WIS</t>
        </is>
      </c>
      <c r="C176" s="2" t="inlineStr">
        <is>
          <t>Bridge steel PS review allowance</t>
        </is>
      </c>
      <c r="D176" s="2" t="n">
        <v>10</v>
      </c>
      <c r="E176" s="2" t="inlineStr">
        <is>
          <t>OFFICE</t>
        </is>
      </c>
      <c r="F176" s="2" t="inlineStr">
        <is>
          <t>B06-RFQ</t>
        </is>
      </c>
      <c r="G176" s="2" t="inlineStr"/>
      <c r="H176" s="2" t="inlineStr">
        <is>
          <t>Procurement</t>
        </is>
      </c>
      <c r="I176" s="2" t="inlineStr">
        <is>
          <t>2027-01-27</t>
        </is>
      </c>
      <c r="J176" s="2" t="inlineStr">
        <is>
          <t>2027-02-10</t>
        </is>
      </c>
      <c r="K176" s="2" t="inlineStr">
        <is>
          <t>2027-08-17</t>
        </is>
      </c>
      <c r="L176" s="2" t="inlineStr">
        <is>
          <t>2027-08-31</t>
        </is>
      </c>
      <c r="M176" s="2" t="n">
        <v>202</v>
      </c>
      <c r="N176" s="2" t="inlineStr">
        <is>
          <t>Proposed allowance; replace with verified inputs</t>
        </is>
      </c>
      <c r="O176" s="2" t="inlineStr">
        <is>
          <t>PROPOSED / NOT APPROVED</t>
        </is>
      </c>
    </row>
    <row r="177">
      <c r="A177" s="2" t="inlineStr">
        <is>
          <t>B06-PO</t>
        </is>
      </c>
      <c r="B177" s="2" t="inlineStr">
        <is>
          <t>SLQ-WIS</t>
        </is>
      </c>
      <c r="C177" s="2" t="inlineStr">
        <is>
          <t>Bridge steel compliant PO release gate</t>
        </is>
      </c>
      <c r="D177" s="2" t="n">
        <v>0</v>
      </c>
      <c r="E177" s="2" t="inlineStr">
        <is>
          <t>ALL</t>
        </is>
      </c>
      <c r="F177" s="2" t="inlineStr">
        <is>
          <t>B06-AFC;B06-PRV</t>
        </is>
      </c>
      <c r="G177" s="2" t="inlineStr"/>
      <c r="H177" s="2" t="inlineStr">
        <is>
          <t>Procurement</t>
        </is>
      </c>
      <c r="I177" s="2" t="inlineStr">
        <is>
          <t>2027-03-17</t>
        </is>
      </c>
      <c r="J177" s="2" t="inlineStr">
        <is>
          <t>2027-03-17</t>
        </is>
      </c>
      <c r="K177" s="2" t="inlineStr">
        <is>
          <t>2027-08-31</t>
        </is>
      </c>
      <c r="L177" s="2" t="inlineStr">
        <is>
          <t>2027-08-31</t>
        </is>
      </c>
      <c r="M177" s="2" t="n">
        <v>167</v>
      </c>
      <c r="N177" s="2" t="inlineStr">
        <is>
          <t>No at-risk purchase assumed; amended domestic-origin evidence required</t>
        </is>
      </c>
      <c r="O177" s="2" t="inlineStr">
        <is>
          <t>PROPOSED / NOT APPROVED</t>
        </is>
      </c>
    </row>
    <row r="178">
      <c r="A178" s="2" t="inlineStr">
        <is>
          <t>B06-MAT</t>
        </is>
      </c>
      <c r="B178" s="2" t="inlineStr">
        <is>
          <t>SLQ-WIS</t>
        </is>
      </c>
      <c r="C178" s="2" t="inlineStr">
        <is>
          <t>Mill production, inspection and steel delivery</t>
        </is>
      </c>
      <c r="D178" s="2" t="n">
        <v>45</v>
      </c>
      <c r="E178" s="2" t="inlineStr">
        <is>
          <t>ALL</t>
        </is>
      </c>
      <c r="F178" s="2" t="inlineStr">
        <is>
          <t>B06-PO</t>
        </is>
      </c>
      <c r="G178" s="2" t="inlineStr"/>
      <c r="H178" s="2" t="inlineStr">
        <is>
          <t>Procurement</t>
        </is>
      </c>
      <c r="I178" s="2" t="inlineStr">
        <is>
          <t>2027-03-17</t>
        </is>
      </c>
      <c r="J178" s="2" t="inlineStr">
        <is>
          <t>2027-05-01</t>
        </is>
      </c>
      <c r="K178" s="2" t="inlineStr">
        <is>
          <t>2027-08-31</t>
        </is>
      </c>
      <c r="L178" s="2" t="inlineStr">
        <is>
          <t>2027-10-15</t>
        </is>
      </c>
      <c r="M178" s="2" t="n">
        <v>167</v>
      </c>
      <c r="N178" s="2" t="inlineStr">
        <is>
          <t>Unquoted45calendar-day placeholder; origin, mill capacity and transport unresolved</t>
        </is>
      </c>
      <c r="O178" s="2" t="inlineStr">
        <is>
          <t>PROPOSED / NOT APPROVED</t>
        </is>
      </c>
    </row>
    <row r="179">
      <c r="A179" s="2" t="inlineStr">
        <is>
          <t>B06-FAB</t>
        </is>
      </c>
      <c r="B179" s="2" t="inlineStr">
        <is>
          <t>SLQ-WIS</t>
        </is>
      </c>
      <c r="C179" s="2" t="inlineStr">
        <is>
          <t>Fit-up, welding and dimensional control</t>
        </is>
      </c>
      <c r="D179" s="2" t="n">
        <v>23</v>
      </c>
      <c r="E179" s="2" t="inlineStr">
        <is>
          <t>YARD</t>
        </is>
      </c>
      <c r="F179" s="2" t="inlineStr">
        <is>
          <t>B06-MAT;D-NDT;D-TPI;B01-FAB</t>
        </is>
      </c>
      <c r="G179" s="2" t="inlineStr">
        <is>
          <t>Fabrication line 2</t>
        </is>
      </c>
      <c r="H179" s="2" t="inlineStr">
        <is>
          <t>Fabrication</t>
        </is>
      </c>
      <c r="I179" s="2" t="inlineStr">
        <is>
          <t>2027-07-08</t>
        </is>
      </c>
      <c r="J179" s="2" t="inlineStr">
        <is>
          <t>2027-08-04</t>
        </is>
      </c>
      <c r="K179" s="2" t="inlineStr">
        <is>
          <t>2027-10-15</t>
        </is>
      </c>
      <c r="L179" s="2" t="inlineStr">
        <is>
          <t>2027-11-11</t>
        </is>
      </c>
      <c r="M179" s="2" t="n">
        <v>99</v>
      </c>
      <c r="N179" s="2" t="inlineStr">
        <is>
          <t>Assumed4MT per productive bay-day; includes aggregate steel, not validated shop productivity</t>
        </is>
      </c>
      <c r="O179" s="2" t="inlineStr">
        <is>
          <t>PROPOSED / NOT APPROVED</t>
        </is>
      </c>
    </row>
    <row r="180">
      <c r="A180" s="2" t="inlineStr">
        <is>
          <t>B06-NDT</t>
        </is>
      </c>
      <c r="B180" s="2" t="inlineStr">
        <is>
          <t>SLQ-WIS</t>
        </is>
      </c>
      <c r="C180" s="2" t="inlineStr">
        <is>
          <t>NDT, repair allowance and dimensional release</t>
        </is>
      </c>
      <c r="D180" s="2" t="n">
        <v>6</v>
      </c>
      <c r="E180" s="2" t="inlineStr">
        <is>
          <t>YARD</t>
        </is>
      </c>
      <c r="F180" s="2" t="inlineStr">
        <is>
          <t>B06-FAB</t>
        </is>
      </c>
      <c r="G180" s="2" t="inlineStr"/>
      <c r="H180" s="2" t="inlineStr">
        <is>
          <t>QA</t>
        </is>
      </c>
      <c r="I180" s="2" t="inlineStr">
        <is>
          <t>2027-08-04</t>
        </is>
      </c>
      <c r="J180" s="2" t="inlineStr">
        <is>
          <t>2027-08-11</t>
        </is>
      </c>
      <c r="K180" s="2" t="inlineStr">
        <is>
          <t>2027-11-13</t>
        </is>
      </c>
      <c r="L180" s="2" t="inlineStr">
        <is>
          <t>2027-11-20</t>
        </is>
      </c>
      <c r="M180" s="2" t="n">
        <v>101</v>
      </c>
      <c r="N180" s="2" t="inlineStr">
        <is>
          <t>Proposed allowance; replace with verified inputs</t>
        </is>
      </c>
      <c r="O180" s="2" t="inlineStr">
        <is>
          <t>PROPOSED / NOT APPROVED</t>
        </is>
      </c>
    </row>
    <row r="181">
      <c r="A181" s="2" t="inlineStr">
        <is>
          <t>B06-COA</t>
        </is>
      </c>
      <c r="B181" s="2" t="inlineStr">
        <is>
          <t>SLQ-WIS</t>
        </is>
      </c>
      <c r="C181" s="2" t="inlineStr">
        <is>
          <t>Surface preparation, coating and curing allowance</t>
        </is>
      </c>
      <c r="D181" s="2" t="n">
        <v>10</v>
      </c>
      <c r="E181" s="2" t="inlineStr">
        <is>
          <t>YARD</t>
        </is>
      </c>
      <c r="F181" s="2" t="inlineStr">
        <is>
          <t>B06-NDT;D-COAT;B03-COA</t>
        </is>
      </c>
      <c r="G181" s="2" t="inlineStr">
        <is>
          <t>Coating cell</t>
        </is>
      </c>
      <c r="H181" s="2" t="inlineStr">
        <is>
          <t>Coating</t>
        </is>
      </c>
      <c r="I181" s="2" t="inlineStr">
        <is>
          <t>2027-11-16</t>
        </is>
      </c>
      <c r="J181" s="2" t="inlineStr">
        <is>
          <t>2027-11-27</t>
        </is>
      </c>
      <c r="K181" s="2" t="inlineStr">
        <is>
          <t>2027-11-20</t>
        </is>
      </c>
      <c r="L181" s="2" t="inlineStr">
        <is>
          <t>2027-12-02</t>
        </is>
      </c>
      <c r="M181" s="2" t="n">
        <v>4</v>
      </c>
      <c r="N181" s="2" t="inlineStr">
        <is>
          <t>Proposed allowance; replace with verified inputs</t>
        </is>
      </c>
      <c r="O181" s="2" t="inlineStr">
        <is>
          <t>PROPOSED / NOT APPROVED</t>
        </is>
      </c>
    </row>
    <row r="182">
      <c r="A182" s="2" t="inlineStr">
        <is>
          <t>B06-REL</t>
        </is>
      </c>
      <c r="B182" s="2" t="inlineStr">
        <is>
          <t>SLQ-WIS</t>
        </is>
      </c>
      <c r="C182" s="2" t="inlineStr">
        <is>
          <t>Trial fit, verified weight/COG and loadout release</t>
        </is>
      </c>
      <c r="D182" s="2" t="n">
        <v>5</v>
      </c>
      <c r="E182" s="2" t="inlineStr">
        <is>
          <t>YARD</t>
        </is>
      </c>
      <c r="F182" s="2" t="inlineStr">
        <is>
          <t>B06-COA</t>
        </is>
      </c>
      <c r="G182" s="2" t="inlineStr"/>
      <c r="H182" s="2" t="inlineStr">
        <is>
          <t>QA / Marine</t>
        </is>
      </c>
      <c r="I182" s="2" t="inlineStr">
        <is>
          <t>2027-11-27</t>
        </is>
      </c>
      <c r="J182" s="2" t="inlineStr">
        <is>
          <t>2027-12-03</t>
        </is>
      </c>
      <c r="K182" s="2" t="inlineStr">
        <is>
          <t>2027-12-21</t>
        </is>
      </c>
      <c r="L182" s="2" t="inlineStr">
        <is>
          <t>2027-12-27</t>
        </is>
      </c>
      <c r="M182" s="2" t="n">
        <v>24</v>
      </c>
      <c r="N182" s="2" t="inlineStr">
        <is>
          <t>Proposed allowance; replace with verified inputs</t>
        </is>
      </c>
      <c r="O182" s="2" t="inlineStr">
        <is>
          <t>PROPOSED / NOT APPROVED</t>
        </is>
      </c>
    </row>
    <row r="183">
      <c r="A183" s="2" t="inlineStr">
        <is>
          <t>B06-TRN</t>
        </is>
      </c>
      <c r="B183" s="2" t="inlineStr">
        <is>
          <t>SLQ-WIS</t>
        </is>
      </c>
      <c r="C183" s="2" t="inlineStr">
        <is>
          <t>Loadout, transport and offshore receipt</t>
        </is>
      </c>
      <c r="D183" s="2" t="n">
        <v>3</v>
      </c>
      <c r="E183" s="2" t="inlineStr">
        <is>
          <t>OFF</t>
        </is>
      </c>
      <c r="F183" s="2" t="inlineStr">
        <is>
          <t>B06-REL;D-CARGO;B03-TRN</t>
        </is>
      </c>
      <c r="G183" s="2" t="inlineStr">
        <is>
          <t>Cargo spread</t>
        </is>
      </c>
      <c r="H183" s="2" t="inlineStr">
        <is>
          <t>Logistics</t>
        </is>
      </c>
      <c r="I183" s="2" t="inlineStr">
        <is>
          <t>2027-12-03</t>
        </is>
      </c>
      <c r="J183" s="2" t="inlineStr">
        <is>
          <t>2027-12-06</t>
        </is>
      </c>
      <c r="K183" s="2" t="inlineStr">
        <is>
          <t>2027-12-27</t>
        </is>
      </c>
      <c r="L183" s="2" t="inlineStr">
        <is>
          <t>2027-12-30</t>
        </is>
      </c>
      <c r="M183" s="2" t="n">
        <v>24</v>
      </c>
      <c r="N183" s="2" t="inlineStr">
        <is>
          <t>Proposed allowance; replace with verified inputs</t>
        </is>
      </c>
      <c r="O183" s="2" t="inlineStr">
        <is>
          <t>PROPOSED / NOT APPROVED</t>
        </is>
      </c>
    </row>
    <row r="184">
      <c r="A184" s="2" t="inlineStr">
        <is>
          <t>B06-PRE</t>
        </is>
      </c>
      <c r="B184" s="2" t="inlineStr">
        <is>
          <t>SLQ-WIS</t>
        </is>
      </c>
      <c r="C184" s="2" t="inlineStr">
        <is>
          <t>PTW, access, SIMOPS and work-front readiness</t>
        </is>
      </c>
      <c r="D184" s="2" t="n">
        <v>3</v>
      </c>
      <c r="E184" s="2" t="inlineStr">
        <is>
          <t>OFF</t>
        </is>
      </c>
      <c r="F184" s="2" t="inlineStr">
        <is>
          <t>B06-TRN;D-SCAF;D-PPE</t>
        </is>
      </c>
      <c r="G184" s="2" t="inlineStr"/>
      <c r="H184" s="2" t="inlineStr">
        <is>
          <t>Construction</t>
        </is>
      </c>
      <c r="I184" s="2" t="inlineStr">
        <is>
          <t>2027-12-06</t>
        </is>
      </c>
      <c r="J184" s="2" t="inlineStr">
        <is>
          <t>2027-12-09</t>
        </is>
      </c>
      <c r="K184" s="2" t="inlineStr">
        <is>
          <t>2028-01-11</t>
        </is>
      </c>
      <c r="L184" s="2" t="inlineStr">
        <is>
          <t>2028-01-14</t>
        </is>
      </c>
      <c r="M184" s="2" t="n">
        <v>36</v>
      </c>
      <c r="N184" s="2" t="inlineStr">
        <is>
          <t>Proposed allowance; replace with verified inputs</t>
        </is>
      </c>
      <c r="O184" s="2" t="inlineStr">
        <is>
          <t>PROPOSED / NOT APPROVED</t>
        </is>
      </c>
    </row>
    <row r="185">
      <c r="A185" s="2" t="inlineStr">
        <is>
          <t>B06-STR</t>
        </is>
      </c>
      <c r="B185" s="2" t="inlineStr">
        <is>
          <t>SLQ-WIS</t>
        </is>
      </c>
      <c r="C185" s="2" t="inlineStr">
        <is>
          <t>Landing/platform pre-install strengthening</t>
        </is>
      </c>
      <c r="D185" s="2" t="n">
        <v>8</v>
      </c>
      <c r="E185" s="2" t="inlineStr">
        <is>
          <t>OFF</t>
        </is>
      </c>
      <c r="F185" s="2" t="inlineStr">
        <is>
          <t>B06-PRE;B04-STR</t>
        </is>
      </c>
      <c r="G185" s="2" t="inlineStr">
        <is>
          <t>Strength crew 3</t>
        </is>
      </c>
      <c r="H185" s="2" t="inlineStr">
        <is>
          <t>Construction</t>
        </is>
      </c>
      <c r="I185" s="2" t="inlineStr">
        <is>
          <t>2027-12-09</t>
        </is>
      </c>
      <c r="J185" s="2" t="inlineStr">
        <is>
          <t>2027-12-17</t>
        </is>
      </c>
      <c r="K185" s="2" t="inlineStr">
        <is>
          <t>2028-01-14</t>
        </is>
      </c>
      <c r="L185" s="2" t="inlineStr">
        <is>
          <t>2028-01-22</t>
        </is>
      </c>
      <c r="M185" s="2" t="n">
        <v>36</v>
      </c>
      <c r="N185" s="2" t="inlineStr">
        <is>
          <t>Proposed4MT/crew-day; actual weld/access quantities not validated</t>
        </is>
      </c>
      <c r="O185" s="2" t="inlineStr">
        <is>
          <t>PROPOSED / NOT APPROVED</t>
        </is>
      </c>
    </row>
    <row r="186">
      <c r="A186" s="2" t="inlineStr">
        <is>
          <t>B06-INS</t>
        </is>
      </c>
      <c r="B186" s="2" t="inlineStr">
        <is>
          <t>SLQ-WIS</t>
        </is>
      </c>
      <c r="C186" s="2" t="inlineStr">
        <is>
          <t>Bridge strengthening and replacement items</t>
        </is>
      </c>
      <c r="D186" s="2" t="n">
        <v>16</v>
      </c>
      <c r="E186" s="2" t="inlineStr">
        <is>
          <t>OFF</t>
        </is>
      </c>
      <c r="F186" s="2" t="inlineStr">
        <is>
          <t>B06-STR;D-MAR;D-BEAR;D-GRAT</t>
        </is>
      </c>
      <c r="G186" s="2" t="inlineStr">
        <is>
          <t>Strength crew 3</t>
        </is>
      </c>
      <c r="H186" s="2" t="inlineStr">
        <is>
          <t>Marine / Construction</t>
        </is>
      </c>
      <c r="I186" s="2" t="inlineStr">
        <is>
          <t>2027-12-17</t>
        </is>
      </c>
      <c r="J186" s="2" t="inlineStr">
        <is>
          <t>2028-01-02</t>
        </is>
      </c>
      <c r="K186" s="2" t="inlineStr">
        <is>
          <t>2028-01-22</t>
        </is>
      </c>
      <c r="L186" s="2" t="inlineStr">
        <is>
          <t>2028-02-07</t>
        </is>
      </c>
      <c r="M186" s="2" t="n">
        <v>36</v>
      </c>
      <c r="N186" s="2" t="inlineStr">
        <is>
          <t>Aggregate planning allowance; engineered lifts and temporary stability required</t>
        </is>
      </c>
      <c r="O186" s="2" t="inlineStr">
        <is>
          <t>PROPOSED / NOT APPROVED</t>
        </is>
      </c>
    </row>
    <row r="187">
      <c r="A187" s="2" t="inlineStr">
        <is>
          <t>B06-SRV</t>
        </is>
      </c>
      <c r="B187" s="2" t="inlineStr">
        <is>
          <t>SLQ-WIS</t>
        </is>
      </c>
      <c r="C187" s="2" t="inlineStr">
        <is>
          <t>Services transfer, test and accepted reinstatement</t>
        </is>
      </c>
      <c r="D187" s="2" t="n">
        <v>5</v>
      </c>
      <c r="E187" s="2" t="inlineStr">
        <is>
          <t>OFF</t>
        </is>
      </c>
      <c r="F187" s="2" t="inlineStr">
        <is>
          <t>B06-INS;D-PIPE;D-ELEC;D-INST;D-TRAY;B03-SRV</t>
        </is>
      </c>
      <c r="G187" s="2" t="inlineStr">
        <is>
          <t>Service transfer team</t>
        </is>
      </c>
      <c r="H187" s="2" t="inlineStr">
        <is>
          <t>Commissioning</t>
        </is>
      </c>
      <c r="I187" s="2" t="inlineStr">
        <is>
          <t>2028-01-02</t>
        </is>
      </c>
      <c r="J187" s="2" t="inlineStr">
        <is>
          <t>2028-01-07</t>
        </is>
      </c>
      <c r="K187" s="2" t="inlineStr">
        <is>
          <t>2028-02-08</t>
        </is>
      </c>
      <c r="L187" s="2" t="inlineStr">
        <is>
          <t>2028-02-13</t>
        </is>
      </c>
      <c r="M187" s="2" t="n">
        <v>37</v>
      </c>
      <c r="N187" s="2" t="inlineStr">
        <is>
          <t>Proposed allowance; replace with verified inputs</t>
        </is>
      </c>
      <c r="O187" s="2" t="inlineStr">
        <is>
          <t>PROPOSED / NOT APPROVED</t>
        </is>
      </c>
    </row>
    <row r="188">
      <c r="A188" s="2" t="inlineStr">
        <is>
          <t>B06-DEM</t>
        </is>
      </c>
      <c r="B188" s="2" t="inlineStr">
        <is>
          <t>SLQ-WIS</t>
        </is>
      </c>
      <c r="C188" s="2" t="inlineStr">
        <is>
          <t>Engineered demolition/removal and scrap backload</t>
        </is>
      </c>
      <c r="D188" s="2" t="n">
        <v>2</v>
      </c>
      <c r="E188" s="2" t="inlineStr">
        <is>
          <t>OFF</t>
        </is>
      </c>
      <c r="F188" s="2" t="inlineStr">
        <is>
          <t>B06-SRV;B03-DEM</t>
        </is>
      </c>
      <c r="G188" s="2" t="inlineStr">
        <is>
          <t>Removal team</t>
        </is>
      </c>
      <c r="H188" s="2" t="inlineStr">
        <is>
          <t>Construction</t>
        </is>
      </c>
      <c r="I188" s="2" t="inlineStr">
        <is>
          <t>2028-01-07</t>
        </is>
      </c>
      <c r="J188" s="2" t="inlineStr">
        <is>
          <t>2028-01-09</t>
        </is>
      </c>
      <c r="K188" s="2" t="inlineStr">
        <is>
          <t>2028-02-25</t>
        </is>
      </c>
      <c r="L188" s="2" t="inlineStr">
        <is>
          <t>2028-02-27</t>
        </is>
      </c>
      <c r="M188" s="2" t="n">
        <v>49</v>
      </c>
      <c r="N188" s="2" t="inlineStr">
        <is>
          <t>Proposed15MT/day allowance; BHS sequence after safe new service transfer, subject to approved method</t>
        </is>
      </c>
      <c r="O188" s="2" t="inlineStr">
        <is>
          <t>PROPOSED / NOT APPROVED</t>
        </is>
      </c>
    </row>
    <row r="189">
      <c r="A189" s="2" t="inlineStr">
        <is>
          <t>B06-PUN</t>
        </is>
      </c>
      <c r="B189" s="2" t="inlineStr">
        <is>
          <t>SLQ-WIS</t>
        </is>
      </c>
      <c r="C189" s="2" t="inlineStr">
        <is>
          <t>Inspection, touch-up and offshore punch closure</t>
        </is>
      </c>
      <c r="D189" s="2" t="n">
        <v>3</v>
      </c>
      <c r="E189" s="2" t="inlineStr">
        <is>
          <t>OFF</t>
        </is>
      </c>
      <c r="F189" s="2" t="inlineStr">
        <is>
          <t>B06-DEM</t>
        </is>
      </c>
      <c r="G189" s="2" t="inlineStr"/>
      <c r="H189" s="2" t="inlineStr">
        <is>
          <t>QA / Commissioning</t>
        </is>
      </c>
      <c r="I189" s="2" t="inlineStr">
        <is>
          <t>2028-01-09</t>
        </is>
      </c>
      <c r="J189" s="2" t="inlineStr">
        <is>
          <t>2028-01-12</t>
        </is>
      </c>
      <c r="K189" s="2" t="inlineStr">
        <is>
          <t>2028-03-06</t>
        </is>
      </c>
      <c r="L189" s="2" t="inlineStr">
        <is>
          <t>2028-03-09</t>
        </is>
      </c>
      <c r="M189" s="2" t="n">
        <v>57</v>
      </c>
      <c r="N189" s="2" t="inlineStr">
        <is>
          <t>Proposed allowance; replace with verified inputs</t>
        </is>
      </c>
      <c r="O189" s="2" t="inlineStr">
        <is>
          <t>PROPOSED / NOT APPROVED</t>
        </is>
      </c>
    </row>
    <row r="190">
      <c r="A190" s="2" t="inlineStr">
        <is>
          <t>B06-DOS</t>
        </is>
      </c>
      <c r="B190" s="2" t="inlineStr">
        <is>
          <t>SLQ-WIS</t>
        </is>
      </c>
      <c r="C190" s="2" t="inlineStr">
        <is>
          <t>As-built, QA and turnover dossier acceptance</t>
        </is>
      </c>
      <c r="D190" s="2" t="n">
        <v>10</v>
      </c>
      <c r="E190" s="2" t="inlineStr">
        <is>
          <t>OFFICE</t>
        </is>
      </c>
      <c r="F190" s="2" t="inlineStr">
        <is>
          <t>B06-PUN</t>
        </is>
      </c>
      <c r="G190" s="2" t="inlineStr"/>
      <c r="H190" s="2" t="inlineStr">
        <is>
          <t>Document Control</t>
        </is>
      </c>
      <c r="I190" s="2" t="inlineStr">
        <is>
          <t>2028-01-12</t>
        </is>
      </c>
      <c r="J190" s="2" t="inlineStr">
        <is>
          <t>2028-01-26</t>
        </is>
      </c>
      <c r="K190" s="2" t="inlineStr">
        <is>
          <t>2028-03-09</t>
        </is>
      </c>
      <c r="L190" s="2" t="inlineStr">
        <is>
          <t>2028-03-23</t>
        </is>
      </c>
      <c r="M190" s="2" t="n">
        <v>57</v>
      </c>
      <c r="N190" s="2" t="inlineStr">
        <is>
          <t>Proposed allowance; replace with verified inputs</t>
        </is>
      </c>
      <c r="O190" s="2" t="inlineStr">
        <is>
          <t>PROPOSED / NOT APPROVED</t>
        </is>
      </c>
    </row>
    <row r="191">
      <c r="A191" s="2" t="inlineStr">
        <is>
          <t>B07-BAS</t>
        </is>
      </c>
      <c r="B191" s="2" t="inlineStr">
        <is>
          <t>NQO-NQD</t>
        </is>
      </c>
      <c r="C191" s="2" t="inlineStr">
        <is>
          <t>Design basis, loads and interfaces</t>
        </is>
      </c>
      <c r="D191" s="2" t="n">
        <v>5</v>
      </c>
      <c r="E191" s="2" t="inlineStr">
        <is>
          <t>OFFICE</t>
        </is>
      </c>
      <c r="F191" s="2" t="inlineStr">
        <is>
          <t>G05;D-DES</t>
        </is>
      </c>
      <c r="G191" s="2" t="inlineStr"/>
      <c r="H191" s="2" t="inlineStr">
        <is>
          <t>Engineering</t>
        </is>
      </c>
      <c r="I191" s="2" t="inlineStr">
        <is>
          <t>2026-12-28</t>
        </is>
      </c>
      <c r="J191" s="2" t="inlineStr">
        <is>
          <t>2027-01-02</t>
        </is>
      </c>
      <c r="K191" s="2" t="inlineStr">
        <is>
          <t>2027-06-24</t>
        </is>
      </c>
      <c r="L191" s="2" t="inlineStr">
        <is>
          <t>2027-07-01</t>
        </is>
      </c>
      <c r="M191" s="2" t="n">
        <v>178</v>
      </c>
      <c r="N191" s="2" t="inlineStr">
        <is>
          <t>Proposed allowance; replace with verified inputs</t>
        </is>
      </c>
      <c r="O191" s="2" t="inlineStr">
        <is>
          <t>PROPOSED / NOT APPROVED</t>
        </is>
      </c>
    </row>
    <row r="192">
      <c r="A192" s="2" t="inlineStr">
        <is>
          <t>B07-BRV</t>
        </is>
      </c>
      <c r="B192" s="2" t="inlineStr">
        <is>
          <t>NQO-NQD</t>
        </is>
      </c>
      <c r="C192" s="2" t="inlineStr">
        <is>
          <t>Basis review and comment closure allowance</t>
        </is>
      </c>
      <c r="D192" s="2" t="n">
        <v>10</v>
      </c>
      <c r="E192" s="2" t="inlineStr">
        <is>
          <t>OFFICE</t>
        </is>
      </c>
      <c r="F192" s="2" t="inlineStr">
        <is>
          <t>B07-BAS</t>
        </is>
      </c>
      <c r="G192" s="2" t="inlineStr"/>
      <c r="H192" s="2" t="inlineStr">
        <is>
          <t>Engineering</t>
        </is>
      </c>
      <c r="I192" s="2" t="inlineStr">
        <is>
          <t>2027-01-04</t>
        </is>
      </c>
      <c r="J192" s="2" t="inlineStr">
        <is>
          <t>2027-01-16</t>
        </is>
      </c>
      <c r="K192" s="2" t="inlineStr">
        <is>
          <t>2027-07-01</t>
        </is>
      </c>
      <c r="L192" s="2" t="inlineStr">
        <is>
          <t>2027-07-15</t>
        </is>
      </c>
      <c r="M192" s="2" t="n">
        <v>178</v>
      </c>
      <c r="N192" s="2" t="inlineStr">
        <is>
          <t>Proposed allowance; replace with verified inputs</t>
        </is>
      </c>
      <c r="O192" s="2" t="inlineStr">
        <is>
          <t>PROPOSED / NOT APPROVED</t>
        </is>
      </c>
    </row>
    <row r="193">
      <c r="A193" s="2" t="inlineStr">
        <is>
          <t>B07-ANA</t>
        </is>
      </c>
      <c r="B193" s="2" t="inlineStr">
        <is>
          <t>NQO-NQD</t>
        </is>
      </c>
      <c r="C193" s="2" t="inlineStr">
        <is>
          <t>Bridge/platform and preservice analysis preparation</t>
        </is>
      </c>
      <c r="D193" s="2" t="n">
        <v>12</v>
      </c>
      <c r="E193" s="2" t="inlineStr">
        <is>
          <t>OFFICE</t>
        </is>
      </c>
      <c r="F193" s="2" t="inlineStr">
        <is>
          <t>B07-BRV</t>
        </is>
      </c>
      <c r="G193" s="2" t="inlineStr"/>
      <c r="H193" s="2" t="inlineStr">
        <is>
          <t>Structural</t>
        </is>
      </c>
      <c r="I193" s="2" t="inlineStr">
        <is>
          <t>2027-01-18</t>
        </is>
      </c>
      <c r="J193" s="2" t="inlineStr">
        <is>
          <t>2027-02-03</t>
        </is>
      </c>
      <c r="K193" s="2" t="inlineStr">
        <is>
          <t>2027-07-15</t>
        </is>
      </c>
      <c r="L193" s="2" t="inlineStr">
        <is>
          <t>2027-08-02</t>
        </is>
      </c>
      <c r="M193" s="2" t="n">
        <v>178</v>
      </c>
      <c r="N193" s="2" t="inlineStr">
        <is>
          <t>Proposed engineering effort window; native analysis/check evidence not supplied</t>
        </is>
      </c>
      <c r="O193" s="2" t="inlineStr">
        <is>
          <t>PROPOSED / NOT APPROVED</t>
        </is>
      </c>
    </row>
    <row r="194">
      <c r="A194" s="2" t="inlineStr">
        <is>
          <t>B07-ARV</t>
        </is>
      </c>
      <c r="B194" s="2" t="inlineStr">
        <is>
          <t>NQO-NQD</t>
        </is>
      </c>
      <c r="C194" s="2" t="inlineStr">
        <is>
          <t>Analysis review and comment closure allowance</t>
        </is>
      </c>
      <c r="D194" s="2" t="n">
        <v>10</v>
      </c>
      <c r="E194" s="2" t="inlineStr">
        <is>
          <t>OFFICE</t>
        </is>
      </c>
      <c r="F194" s="2" t="inlineStr">
        <is>
          <t>B07-ANA</t>
        </is>
      </c>
      <c r="G194" s="2" t="inlineStr"/>
      <c r="H194" s="2" t="inlineStr">
        <is>
          <t>Engineering</t>
        </is>
      </c>
      <c r="I194" s="2" t="inlineStr">
        <is>
          <t>2027-02-03</t>
        </is>
      </c>
      <c r="J194" s="2" t="inlineStr">
        <is>
          <t>2027-02-17</t>
        </is>
      </c>
      <c r="K194" s="2" t="inlineStr">
        <is>
          <t>2027-08-02</t>
        </is>
      </c>
      <c r="L194" s="2" t="inlineStr">
        <is>
          <t>2027-08-16</t>
        </is>
      </c>
      <c r="M194" s="2" t="n">
        <v>180</v>
      </c>
      <c r="N194" s="2" t="inlineStr">
        <is>
          <t>Proposed allowance; replace with verified inputs</t>
        </is>
      </c>
      <c r="O194" s="2" t="inlineStr">
        <is>
          <t>PROPOSED / NOT APPROVED</t>
        </is>
      </c>
    </row>
    <row r="195">
      <c r="A195" s="2" t="inlineStr">
        <is>
          <t>B07-DET</t>
        </is>
      </c>
      <c r="B195" s="2" t="inlineStr">
        <is>
          <t>NQO-NQD</t>
        </is>
      </c>
      <c r="C195" s="2" t="inlineStr">
        <is>
          <t>Connection, bearing, landing and workpack detailing</t>
        </is>
      </c>
      <c r="D195" s="2" t="n">
        <v>10</v>
      </c>
      <c r="E195" s="2" t="inlineStr">
        <is>
          <t>OFFICE</t>
        </is>
      </c>
      <c r="F195" s="2" t="inlineStr">
        <is>
          <t>B07-ARV</t>
        </is>
      </c>
      <c r="G195" s="2" t="inlineStr"/>
      <c r="H195" s="2" t="inlineStr">
        <is>
          <t>Structural</t>
        </is>
      </c>
      <c r="I195" s="2" t="inlineStr">
        <is>
          <t>2027-02-17</t>
        </is>
      </c>
      <c r="J195" s="2" t="inlineStr">
        <is>
          <t>2027-03-03</t>
        </is>
      </c>
      <c r="K195" s="2" t="inlineStr">
        <is>
          <t>2027-08-16</t>
        </is>
      </c>
      <c r="L195" s="2" t="inlineStr">
        <is>
          <t>2027-08-30</t>
        </is>
      </c>
      <c r="M195" s="2" t="n">
        <v>180</v>
      </c>
      <c r="N195" s="2" t="inlineStr">
        <is>
          <t>Proposed allowance; replace with verified inputs</t>
        </is>
      </c>
      <c r="O195" s="2" t="inlineStr">
        <is>
          <t>PROPOSED / NOT APPROVED</t>
        </is>
      </c>
    </row>
    <row r="196">
      <c r="A196" s="2" t="inlineStr">
        <is>
          <t>B07-DRV</t>
        </is>
      </c>
      <c r="B196" s="2" t="inlineStr">
        <is>
          <t>NQO-NQD</t>
        </is>
      </c>
      <c r="C196" s="2" t="inlineStr">
        <is>
          <t>Drawing review and comment closure allowance</t>
        </is>
      </c>
      <c r="D196" s="2" t="n">
        <v>10</v>
      </c>
      <c r="E196" s="2" t="inlineStr">
        <is>
          <t>OFFICE</t>
        </is>
      </c>
      <c r="F196" s="2" t="inlineStr">
        <is>
          <t>B07-DET</t>
        </is>
      </c>
      <c r="G196" s="2" t="inlineStr"/>
      <c r="H196" s="2" t="inlineStr">
        <is>
          <t>Engineering</t>
        </is>
      </c>
      <c r="I196" s="2" t="inlineStr">
        <is>
          <t>2027-03-03</t>
        </is>
      </c>
      <c r="J196" s="2" t="inlineStr">
        <is>
          <t>2027-03-17</t>
        </is>
      </c>
      <c r="K196" s="2" t="inlineStr">
        <is>
          <t>2027-08-30</t>
        </is>
      </c>
      <c r="L196" s="2" t="inlineStr">
        <is>
          <t>2027-09-13</t>
        </is>
      </c>
      <c r="M196" s="2" t="n">
        <v>180</v>
      </c>
      <c r="N196" s="2" t="inlineStr">
        <is>
          <t>Proposed allowance; replace with verified inputs</t>
        </is>
      </c>
      <c r="O196" s="2" t="inlineStr">
        <is>
          <t>PROPOSED / NOT APPROVED</t>
        </is>
      </c>
    </row>
    <row r="197">
      <c r="A197" s="2" t="inlineStr">
        <is>
          <t>B07-AFC</t>
        </is>
      </c>
      <c r="B197" s="2" t="inlineStr">
        <is>
          <t>NQO-NQD</t>
        </is>
      </c>
      <c r="C197" s="2" t="inlineStr">
        <is>
          <t>AFC design/MTO independent check and release gate</t>
        </is>
      </c>
      <c r="D197" s="2" t="n">
        <v>0</v>
      </c>
      <c r="E197" s="2" t="inlineStr">
        <is>
          <t>ALL</t>
        </is>
      </c>
      <c r="F197" s="2" t="inlineStr">
        <is>
          <t>B07-DRV</t>
        </is>
      </c>
      <c r="G197" s="2" t="inlineStr"/>
      <c r="H197" s="2" t="inlineStr">
        <is>
          <t>Engineering</t>
        </is>
      </c>
      <c r="I197" s="2" t="inlineStr">
        <is>
          <t>2027-03-17</t>
        </is>
      </c>
      <c r="J197" s="2" t="inlineStr">
        <is>
          <t>2027-03-17</t>
        </is>
      </c>
      <c r="K197" s="2" t="inlineStr">
        <is>
          <t>2027-09-13</t>
        </is>
      </c>
      <c r="L197" s="2" t="inlineStr">
        <is>
          <t>2027-09-13</t>
        </is>
      </c>
      <c r="M197" s="2" t="n">
        <v>180</v>
      </c>
      <c r="N197" s="2" t="inlineStr">
        <is>
          <t>Gate; actual signed release not established</t>
        </is>
      </c>
      <c r="O197" s="2" t="inlineStr">
        <is>
          <t>PROPOSED / NOT APPROVED</t>
        </is>
      </c>
    </row>
    <row r="198">
      <c r="A198" s="2" t="inlineStr">
        <is>
          <t>B07-RFQ</t>
        </is>
      </c>
      <c r="B198" s="2" t="inlineStr">
        <is>
          <t>NQO-NQD</t>
        </is>
      </c>
      <c r="C198" s="2" t="inlineStr">
        <is>
          <t>Bridge steel RFQ, evaluation and PS preparation</t>
        </is>
      </c>
      <c r="D198" s="2" t="n">
        <v>7</v>
      </c>
      <c r="E198" s="2" t="inlineStr">
        <is>
          <t>OFFICE</t>
        </is>
      </c>
      <c r="F198" s="2" t="inlineStr">
        <is>
          <t>B07-BRV</t>
        </is>
      </c>
      <c r="G198" s="2" t="inlineStr"/>
      <c r="H198" s="2" t="inlineStr">
        <is>
          <t>Procurement</t>
        </is>
      </c>
      <c r="I198" s="2" t="inlineStr">
        <is>
          <t>2027-01-18</t>
        </is>
      </c>
      <c r="J198" s="2" t="inlineStr">
        <is>
          <t>2027-01-27</t>
        </is>
      </c>
      <c r="K198" s="2" t="inlineStr">
        <is>
          <t>2027-08-19</t>
        </is>
      </c>
      <c r="L198" s="2" t="inlineStr">
        <is>
          <t>2027-08-30</t>
        </is>
      </c>
      <c r="M198" s="2" t="n">
        <v>213</v>
      </c>
      <c r="N198" s="2" t="inlineStr">
        <is>
          <t>Proposed allowance; replace with verified inputs</t>
        </is>
      </c>
      <c r="O198" s="2" t="inlineStr">
        <is>
          <t>PROPOSED / NOT APPROVED</t>
        </is>
      </c>
    </row>
    <row r="199">
      <c r="A199" s="2" t="inlineStr">
        <is>
          <t>B07-PRV</t>
        </is>
      </c>
      <c r="B199" s="2" t="inlineStr">
        <is>
          <t>NQO-NQD</t>
        </is>
      </c>
      <c r="C199" s="2" t="inlineStr">
        <is>
          <t>Bridge steel PS review allowance</t>
        </is>
      </c>
      <c r="D199" s="2" t="n">
        <v>10</v>
      </c>
      <c r="E199" s="2" t="inlineStr">
        <is>
          <t>OFFICE</t>
        </is>
      </c>
      <c r="F199" s="2" t="inlineStr">
        <is>
          <t>B07-RFQ</t>
        </is>
      </c>
      <c r="G199" s="2" t="inlineStr"/>
      <c r="H199" s="2" t="inlineStr">
        <is>
          <t>Procurement</t>
        </is>
      </c>
      <c r="I199" s="2" t="inlineStr">
        <is>
          <t>2027-01-27</t>
        </is>
      </c>
      <c r="J199" s="2" t="inlineStr">
        <is>
          <t>2027-02-10</t>
        </is>
      </c>
      <c r="K199" s="2" t="inlineStr">
        <is>
          <t>2027-08-30</t>
        </is>
      </c>
      <c r="L199" s="2" t="inlineStr">
        <is>
          <t>2027-09-13</t>
        </is>
      </c>
      <c r="M199" s="2" t="n">
        <v>215</v>
      </c>
      <c r="N199" s="2" t="inlineStr">
        <is>
          <t>Proposed allowance; replace with verified inputs</t>
        </is>
      </c>
      <c r="O199" s="2" t="inlineStr">
        <is>
          <t>PROPOSED / NOT APPROVED</t>
        </is>
      </c>
    </row>
    <row r="200">
      <c r="A200" s="2" t="inlineStr">
        <is>
          <t>B07-PO</t>
        </is>
      </c>
      <c r="B200" s="2" t="inlineStr">
        <is>
          <t>NQO-NQD</t>
        </is>
      </c>
      <c r="C200" s="2" t="inlineStr">
        <is>
          <t>Bridge steel compliant PO release gate</t>
        </is>
      </c>
      <c r="D200" s="2" t="n">
        <v>0</v>
      </c>
      <c r="E200" s="2" t="inlineStr">
        <is>
          <t>ALL</t>
        </is>
      </c>
      <c r="F200" s="2" t="inlineStr">
        <is>
          <t>B07-AFC;B07-PRV</t>
        </is>
      </c>
      <c r="G200" s="2" t="inlineStr"/>
      <c r="H200" s="2" t="inlineStr">
        <is>
          <t>Procurement</t>
        </is>
      </c>
      <c r="I200" s="2" t="inlineStr">
        <is>
          <t>2027-03-17</t>
        </is>
      </c>
      <c r="J200" s="2" t="inlineStr">
        <is>
          <t>2027-03-17</t>
        </is>
      </c>
      <c r="K200" s="2" t="inlineStr">
        <is>
          <t>2027-09-13</t>
        </is>
      </c>
      <c r="L200" s="2" t="inlineStr">
        <is>
          <t>2027-09-13</t>
        </is>
      </c>
      <c r="M200" s="2" t="n">
        <v>180</v>
      </c>
      <c r="N200" s="2" t="inlineStr">
        <is>
          <t>No at-risk purchase assumed; amended domestic-origin evidence required</t>
        </is>
      </c>
      <c r="O200" s="2" t="inlineStr">
        <is>
          <t>PROPOSED / NOT APPROVED</t>
        </is>
      </c>
    </row>
    <row r="201">
      <c r="A201" s="2" t="inlineStr">
        <is>
          <t>B07-MAT</t>
        </is>
      </c>
      <c r="B201" s="2" t="inlineStr">
        <is>
          <t>NQO-NQD</t>
        </is>
      </c>
      <c r="C201" s="2" t="inlineStr">
        <is>
          <t>Mill production, inspection and steel delivery</t>
        </is>
      </c>
      <c r="D201" s="2" t="n">
        <v>45</v>
      </c>
      <c r="E201" s="2" t="inlineStr">
        <is>
          <t>ALL</t>
        </is>
      </c>
      <c r="F201" s="2" t="inlineStr">
        <is>
          <t>B07-PO</t>
        </is>
      </c>
      <c r="G201" s="2" t="inlineStr"/>
      <c r="H201" s="2" t="inlineStr">
        <is>
          <t>Procurement</t>
        </is>
      </c>
      <c r="I201" s="2" t="inlineStr">
        <is>
          <t>2027-03-17</t>
        </is>
      </c>
      <c r="J201" s="2" t="inlineStr">
        <is>
          <t>2027-05-01</t>
        </is>
      </c>
      <c r="K201" s="2" t="inlineStr">
        <is>
          <t>2027-09-13</t>
        </is>
      </c>
      <c r="L201" s="2" t="inlineStr">
        <is>
          <t>2027-10-28</t>
        </is>
      </c>
      <c r="M201" s="2" t="n">
        <v>180</v>
      </c>
      <c r="N201" s="2" t="inlineStr">
        <is>
          <t>Unquoted45calendar-day placeholder; origin, mill capacity and transport unresolved</t>
        </is>
      </c>
      <c r="O201" s="2" t="inlineStr">
        <is>
          <t>PROPOSED / NOT APPROVED</t>
        </is>
      </c>
    </row>
    <row r="202">
      <c r="A202" s="2" t="inlineStr">
        <is>
          <t>B07-FAB</t>
        </is>
      </c>
      <c r="B202" s="2" t="inlineStr">
        <is>
          <t>NQO-NQD</t>
        </is>
      </c>
      <c r="C202" s="2" t="inlineStr">
        <is>
          <t>Fit-up, welding and dimensional control</t>
        </is>
      </c>
      <c r="D202" s="2" t="n">
        <v>24</v>
      </c>
      <c r="E202" s="2" t="inlineStr">
        <is>
          <t>YARD</t>
        </is>
      </c>
      <c r="F202" s="2" t="inlineStr">
        <is>
          <t>B07-MAT;D-NDT;D-TPI;B03-FAB</t>
        </is>
      </c>
      <c r="G202" s="2" t="inlineStr">
        <is>
          <t>Fabrication line 1</t>
        </is>
      </c>
      <c r="H202" s="2" t="inlineStr">
        <is>
          <t>Fabrication</t>
        </is>
      </c>
      <c r="I202" s="2" t="inlineStr">
        <is>
          <t>2027-10-28</t>
        </is>
      </c>
      <c r="J202" s="2" t="inlineStr">
        <is>
          <t>2027-11-25</t>
        </is>
      </c>
      <c r="K202" s="2" t="inlineStr">
        <is>
          <t>2027-10-28</t>
        </is>
      </c>
      <c r="L202" s="2" t="inlineStr">
        <is>
          <t>2027-11-25</t>
        </is>
      </c>
      <c r="M202" s="2" t="n">
        <v>0</v>
      </c>
      <c r="N202" s="2" t="inlineStr">
        <is>
          <t>Assumed4MT per productive bay-day; includes aggregate steel, not validated shop productivity</t>
        </is>
      </c>
      <c r="O202" s="2" t="inlineStr">
        <is>
          <t>PROPOSED / NOT APPROVED</t>
        </is>
      </c>
    </row>
    <row r="203">
      <c r="A203" s="2" t="inlineStr">
        <is>
          <t>B07-NDT</t>
        </is>
      </c>
      <c r="B203" s="2" t="inlineStr">
        <is>
          <t>NQO-NQD</t>
        </is>
      </c>
      <c r="C203" s="2" t="inlineStr">
        <is>
          <t>NDT, repair allowance and dimensional release</t>
        </is>
      </c>
      <c r="D203" s="2" t="n">
        <v>6</v>
      </c>
      <c r="E203" s="2" t="inlineStr">
        <is>
          <t>YARD</t>
        </is>
      </c>
      <c r="F203" s="2" t="inlineStr">
        <is>
          <t>B07-FAB</t>
        </is>
      </c>
      <c r="G203" s="2" t="inlineStr"/>
      <c r="H203" s="2" t="inlineStr">
        <is>
          <t>QA</t>
        </is>
      </c>
      <c r="I203" s="2" t="inlineStr">
        <is>
          <t>2027-11-25</t>
        </is>
      </c>
      <c r="J203" s="2" t="inlineStr">
        <is>
          <t>2027-12-02</t>
        </is>
      </c>
      <c r="K203" s="2" t="inlineStr">
        <is>
          <t>2027-11-25</t>
        </is>
      </c>
      <c r="L203" s="2" t="inlineStr">
        <is>
          <t>2027-12-02</t>
        </is>
      </c>
      <c r="M203" s="2" t="n">
        <v>0</v>
      </c>
      <c r="N203" s="2" t="inlineStr">
        <is>
          <t>Proposed allowance; replace with verified inputs</t>
        </is>
      </c>
      <c r="O203" s="2" t="inlineStr">
        <is>
          <t>PROPOSED / NOT APPROVED</t>
        </is>
      </c>
    </row>
    <row r="204">
      <c r="A204" s="2" t="inlineStr">
        <is>
          <t>B07-COA</t>
        </is>
      </c>
      <c r="B204" s="2" t="inlineStr">
        <is>
          <t>NQO-NQD</t>
        </is>
      </c>
      <c r="C204" s="2" t="inlineStr">
        <is>
          <t>Surface preparation, coating and curing allowance</t>
        </is>
      </c>
      <c r="D204" s="2" t="n">
        <v>10</v>
      </c>
      <c r="E204" s="2" t="inlineStr">
        <is>
          <t>YARD</t>
        </is>
      </c>
      <c r="F204" s="2" t="inlineStr">
        <is>
          <t>B07-NDT;D-COAT;B06-COA</t>
        </is>
      </c>
      <c r="G204" s="2" t="inlineStr">
        <is>
          <t>Coating cell</t>
        </is>
      </c>
      <c r="H204" s="2" t="inlineStr">
        <is>
          <t>Coating</t>
        </is>
      </c>
      <c r="I204" s="2" t="inlineStr">
        <is>
          <t>2027-12-02</t>
        </is>
      </c>
      <c r="J204" s="2" t="inlineStr">
        <is>
          <t>2027-12-14</t>
        </is>
      </c>
      <c r="K204" s="2" t="inlineStr">
        <is>
          <t>2027-12-02</t>
        </is>
      </c>
      <c r="L204" s="2" t="inlineStr">
        <is>
          <t>2027-12-14</t>
        </is>
      </c>
      <c r="M204" s="2" t="n">
        <v>0</v>
      </c>
      <c r="N204" s="2" t="inlineStr">
        <is>
          <t>Proposed allowance; replace with verified inputs</t>
        </is>
      </c>
      <c r="O204" s="2" t="inlineStr">
        <is>
          <t>PROPOSED / NOT APPROVED</t>
        </is>
      </c>
    </row>
    <row r="205">
      <c r="A205" s="2" t="inlineStr">
        <is>
          <t>B07-REL</t>
        </is>
      </c>
      <c r="B205" s="2" t="inlineStr">
        <is>
          <t>NQO-NQD</t>
        </is>
      </c>
      <c r="C205" s="2" t="inlineStr">
        <is>
          <t>Trial fit, verified weight/COG and loadout release</t>
        </is>
      </c>
      <c r="D205" s="2" t="n">
        <v>5</v>
      </c>
      <c r="E205" s="2" t="inlineStr">
        <is>
          <t>YARD</t>
        </is>
      </c>
      <c r="F205" s="2" t="inlineStr">
        <is>
          <t>B07-COA</t>
        </is>
      </c>
      <c r="G205" s="2" t="inlineStr"/>
      <c r="H205" s="2" t="inlineStr">
        <is>
          <t>QA / Marine</t>
        </is>
      </c>
      <c r="I205" s="2" t="inlineStr">
        <is>
          <t>2027-12-14</t>
        </is>
      </c>
      <c r="J205" s="2" t="inlineStr">
        <is>
          <t>2027-12-19</t>
        </is>
      </c>
      <c r="K205" s="2" t="inlineStr">
        <is>
          <t>2027-12-24</t>
        </is>
      </c>
      <c r="L205" s="2" t="inlineStr">
        <is>
          <t>2027-12-30</t>
        </is>
      </c>
      <c r="M205" s="2" t="n">
        <v>10</v>
      </c>
      <c r="N205" s="2" t="inlineStr">
        <is>
          <t>Proposed allowance; replace with verified inputs</t>
        </is>
      </c>
      <c r="O205" s="2" t="inlineStr">
        <is>
          <t>PROPOSED / NOT APPROVED</t>
        </is>
      </c>
    </row>
    <row r="206">
      <c r="A206" s="2" t="inlineStr">
        <is>
          <t>B07-TRN</t>
        </is>
      </c>
      <c r="B206" s="2" t="inlineStr">
        <is>
          <t>NQO-NQD</t>
        </is>
      </c>
      <c r="C206" s="2" t="inlineStr">
        <is>
          <t>Loadout, transport and offshore receipt</t>
        </is>
      </c>
      <c r="D206" s="2" t="n">
        <v>3</v>
      </c>
      <c r="E206" s="2" t="inlineStr">
        <is>
          <t>OFF</t>
        </is>
      </c>
      <c r="F206" s="2" t="inlineStr">
        <is>
          <t>B07-REL;D-CARGO;B06-TRN</t>
        </is>
      </c>
      <c r="G206" s="2" t="inlineStr">
        <is>
          <t>Cargo spread</t>
        </is>
      </c>
      <c r="H206" s="2" t="inlineStr">
        <is>
          <t>Logistics</t>
        </is>
      </c>
      <c r="I206" s="2" t="inlineStr">
        <is>
          <t>2027-12-19</t>
        </is>
      </c>
      <c r="J206" s="2" t="inlineStr">
        <is>
          <t>2027-12-22</t>
        </is>
      </c>
      <c r="K206" s="2" t="inlineStr">
        <is>
          <t>2027-12-30</t>
        </is>
      </c>
      <c r="L206" s="2" t="inlineStr">
        <is>
          <t>2028-01-02</t>
        </is>
      </c>
      <c r="M206" s="2" t="n">
        <v>11</v>
      </c>
      <c r="N206" s="2" t="inlineStr">
        <is>
          <t>Proposed allowance; replace with verified inputs</t>
        </is>
      </c>
      <c r="O206" s="2" t="inlineStr">
        <is>
          <t>PROPOSED / NOT APPROVED</t>
        </is>
      </c>
    </row>
    <row r="207">
      <c r="A207" s="2" t="inlineStr">
        <is>
          <t>B07-PRE</t>
        </is>
      </c>
      <c r="B207" s="2" t="inlineStr">
        <is>
          <t>NQO-NQD</t>
        </is>
      </c>
      <c r="C207" s="2" t="inlineStr">
        <is>
          <t>PTW, access, SIMOPS and work-front readiness</t>
        </is>
      </c>
      <c r="D207" s="2" t="n">
        <v>3</v>
      </c>
      <c r="E207" s="2" t="inlineStr">
        <is>
          <t>OFF</t>
        </is>
      </c>
      <c r="F207" s="2" t="inlineStr">
        <is>
          <t>B07-TRN;D-SCAF;D-PPE</t>
        </is>
      </c>
      <c r="G207" s="2" t="inlineStr"/>
      <c r="H207" s="2" t="inlineStr">
        <is>
          <t>Construction</t>
        </is>
      </c>
      <c r="I207" s="2" t="inlineStr">
        <is>
          <t>2027-12-22</t>
        </is>
      </c>
      <c r="J207" s="2" t="inlineStr">
        <is>
          <t>2027-12-25</t>
        </is>
      </c>
      <c r="K207" s="2" t="inlineStr">
        <is>
          <t>2028-01-02</t>
        </is>
      </c>
      <c r="L207" s="2" t="inlineStr">
        <is>
          <t>2028-01-05</t>
        </is>
      </c>
      <c r="M207" s="2" t="n">
        <v>11</v>
      </c>
      <c r="N207" s="2" t="inlineStr">
        <is>
          <t>Proposed allowance; replace with verified inputs</t>
        </is>
      </c>
      <c r="O207" s="2" t="inlineStr">
        <is>
          <t>PROPOSED / NOT APPROVED</t>
        </is>
      </c>
    </row>
    <row r="208">
      <c r="A208" s="2" t="inlineStr">
        <is>
          <t>B07-STR</t>
        </is>
      </c>
      <c r="B208" s="2" t="inlineStr">
        <is>
          <t>NQO-NQD</t>
        </is>
      </c>
      <c r="C208" s="2" t="inlineStr">
        <is>
          <t>Landing/platform pre-install strengthening</t>
        </is>
      </c>
      <c r="D208" s="2" t="n">
        <v>8</v>
      </c>
      <c r="E208" s="2" t="inlineStr">
        <is>
          <t>OFF</t>
        </is>
      </c>
      <c r="F208" s="2" t="inlineStr">
        <is>
          <t>B07-PRE;B01-INS</t>
        </is>
      </c>
      <c r="G208" s="2" t="inlineStr">
        <is>
          <t>Strength crew 1</t>
        </is>
      </c>
      <c r="H208" s="2" t="inlineStr">
        <is>
          <t>Construction</t>
        </is>
      </c>
      <c r="I208" s="2" t="inlineStr">
        <is>
          <t>2027-12-25</t>
        </is>
      </c>
      <c r="J208" s="2" t="inlineStr">
        <is>
          <t>2028-01-02</t>
        </is>
      </c>
      <c r="K208" s="2" t="inlineStr">
        <is>
          <t>2028-01-05</t>
        </is>
      </c>
      <c r="L208" s="2" t="inlineStr">
        <is>
          <t>2028-01-13</t>
        </is>
      </c>
      <c r="M208" s="2" t="n">
        <v>11</v>
      </c>
      <c r="N208" s="2" t="inlineStr">
        <is>
          <t>Proposed4MT/crew-day; actual weld/access quantities not validated</t>
        </is>
      </c>
      <c r="O208" s="2" t="inlineStr">
        <is>
          <t>PROPOSED / NOT APPROVED</t>
        </is>
      </c>
    </row>
    <row r="209">
      <c r="A209" s="2" t="inlineStr">
        <is>
          <t>B07-INS</t>
        </is>
      </c>
      <c r="B209" s="2" t="inlineStr">
        <is>
          <t>NQO-NQD</t>
        </is>
      </c>
      <c r="C209" s="2" t="inlineStr">
        <is>
          <t>Bridge strengthening and replacement items</t>
        </is>
      </c>
      <c r="D209" s="2" t="n">
        <v>16</v>
      </c>
      <c r="E209" s="2" t="inlineStr">
        <is>
          <t>OFF</t>
        </is>
      </c>
      <c r="F209" s="2" t="inlineStr">
        <is>
          <t>B07-STR;D-MAR;D-BEAR;D-GRAT</t>
        </is>
      </c>
      <c r="G209" s="2" t="inlineStr">
        <is>
          <t>Strength crew 1</t>
        </is>
      </c>
      <c r="H209" s="2" t="inlineStr">
        <is>
          <t>Marine / Construction</t>
        </is>
      </c>
      <c r="I209" s="2" t="inlineStr">
        <is>
          <t>2028-01-02</t>
        </is>
      </c>
      <c r="J209" s="2" t="inlineStr">
        <is>
          <t>2028-01-18</t>
        </is>
      </c>
      <c r="K209" s="2" t="inlineStr">
        <is>
          <t>2028-01-13</t>
        </is>
      </c>
      <c r="L209" s="2" t="inlineStr">
        <is>
          <t>2028-01-29</t>
        </is>
      </c>
      <c r="M209" s="2" t="n">
        <v>11</v>
      </c>
      <c r="N209" s="2" t="inlineStr">
        <is>
          <t>Aggregate planning allowance; engineered lifts and temporary stability required</t>
        </is>
      </c>
      <c r="O209" s="2" t="inlineStr">
        <is>
          <t>PROPOSED / NOT APPROVED</t>
        </is>
      </c>
    </row>
    <row r="210">
      <c r="A210" s="2" t="inlineStr">
        <is>
          <t>B07-SRV</t>
        </is>
      </c>
      <c r="B210" s="2" t="inlineStr">
        <is>
          <t>NQO-NQD</t>
        </is>
      </c>
      <c r="C210" s="2" t="inlineStr">
        <is>
          <t>Services transfer, test and accepted reinstatement</t>
        </is>
      </c>
      <c r="D210" s="2" t="n">
        <v>5</v>
      </c>
      <c r="E210" s="2" t="inlineStr">
        <is>
          <t>OFF</t>
        </is>
      </c>
      <c r="F210" s="2" t="inlineStr">
        <is>
          <t>B07-INS;D-PIPE;D-ELEC;D-INST;D-TRAY;B06-SRV</t>
        </is>
      </c>
      <c r="G210" s="2" t="inlineStr">
        <is>
          <t>Service transfer team</t>
        </is>
      </c>
      <c r="H210" s="2" t="inlineStr">
        <is>
          <t>Commissioning</t>
        </is>
      </c>
      <c r="I210" s="2" t="inlineStr">
        <is>
          <t>2028-01-18</t>
        </is>
      </c>
      <c r="J210" s="2" t="inlineStr">
        <is>
          <t>2028-01-23</t>
        </is>
      </c>
      <c r="K210" s="2" t="inlineStr">
        <is>
          <t>2028-02-13</t>
        </is>
      </c>
      <c r="L210" s="2" t="inlineStr">
        <is>
          <t>2028-02-18</t>
        </is>
      </c>
      <c r="M210" s="2" t="n">
        <v>26</v>
      </c>
      <c r="N210" s="2" t="inlineStr">
        <is>
          <t>Proposed allowance; replace with verified inputs</t>
        </is>
      </c>
      <c r="O210" s="2" t="inlineStr">
        <is>
          <t>PROPOSED / NOT APPROVED</t>
        </is>
      </c>
    </row>
    <row r="211">
      <c r="A211" s="2" t="inlineStr">
        <is>
          <t>B07-DEM</t>
        </is>
      </c>
      <c r="B211" s="2" t="inlineStr">
        <is>
          <t>NQO-NQD</t>
        </is>
      </c>
      <c r="C211" s="2" t="inlineStr">
        <is>
          <t>Engineered demolition/removal and scrap backload</t>
        </is>
      </c>
      <c r="D211" s="2" t="n">
        <v>2</v>
      </c>
      <c r="E211" s="2" t="inlineStr">
        <is>
          <t>OFF</t>
        </is>
      </c>
      <c r="F211" s="2" t="inlineStr">
        <is>
          <t>B07-SRV;B06-DEM</t>
        </is>
      </c>
      <c r="G211" s="2" t="inlineStr">
        <is>
          <t>Removal team</t>
        </is>
      </c>
      <c r="H211" s="2" t="inlineStr">
        <is>
          <t>Construction</t>
        </is>
      </c>
      <c r="I211" s="2" t="inlineStr">
        <is>
          <t>2028-01-23</t>
        </is>
      </c>
      <c r="J211" s="2" t="inlineStr">
        <is>
          <t>2028-01-25</t>
        </is>
      </c>
      <c r="K211" s="2" t="inlineStr">
        <is>
          <t>2028-02-27</t>
        </is>
      </c>
      <c r="L211" s="2" t="inlineStr">
        <is>
          <t>2028-02-29</t>
        </is>
      </c>
      <c r="M211" s="2" t="n">
        <v>35</v>
      </c>
      <c r="N211" s="2" t="inlineStr">
        <is>
          <t>Proposed15MT/day allowance; BHS sequence after safe new service transfer, subject to approved method</t>
        </is>
      </c>
      <c r="O211" s="2" t="inlineStr">
        <is>
          <t>PROPOSED / NOT APPROVED</t>
        </is>
      </c>
    </row>
    <row r="212">
      <c r="A212" s="2" t="inlineStr">
        <is>
          <t>B07-PUN</t>
        </is>
      </c>
      <c r="B212" s="2" t="inlineStr">
        <is>
          <t>NQO-NQD</t>
        </is>
      </c>
      <c r="C212" s="2" t="inlineStr">
        <is>
          <t>Inspection, touch-up and offshore punch closure</t>
        </is>
      </c>
      <c r="D212" s="2" t="n">
        <v>3</v>
      </c>
      <c r="E212" s="2" t="inlineStr">
        <is>
          <t>OFF</t>
        </is>
      </c>
      <c r="F212" s="2" t="inlineStr">
        <is>
          <t>B07-DEM</t>
        </is>
      </c>
      <c r="G212" s="2" t="inlineStr"/>
      <c r="H212" s="2" t="inlineStr">
        <is>
          <t>QA / Commissioning</t>
        </is>
      </c>
      <c r="I212" s="2" t="inlineStr">
        <is>
          <t>2028-01-25</t>
        </is>
      </c>
      <c r="J212" s="2" t="inlineStr">
        <is>
          <t>2028-01-28</t>
        </is>
      </c>
      <c r="K212" s="2" t="inlineStr">
        <is>
          <t>2028-03-06</t>
        </is>
      </c>
      <c r="L212" s="2" t="inlineStr">
        <is>
          <t>2028-03-09</t>
        </is>
      </c>
      <c r="M212" s="2" t="n">
        <v>41</v>
      </c>
      <c r="N212" s="2" t="inlineStr">
        <is>
          <t>Proposed allowance; replace with verified inputs</t>
        </is>
      </c>
      <c r="O212" s="2" t="inlineStr">
        <is>
          <t>PROPOSED / NOT APPROVED</t>
        </is>
      </c>
    </row>
    <row r="213">
      <c r="A213" s="2" t="inlineStr">
        <is>
          <t>B07-DOS</t>
        </is>
      </c>
      <c r="B213" s="2" t="inlineStr">
        <is>
          <t>NQO-NQD</t>
        </is>
      </c>
      <c r="C213" s="2" t="inlineStr">
        <is>
          <t>As-built, QA and turnover dossier acceptance</t>
        </is>
      </c>
      <c r="D213" s="2" t="n">
        <v>10</v>
      </c>
      <c r="E213" s="2" t="inlineStr">
        <is>
          <t>OFFICE</t>
        </is>
      </c>
      <c r="F213" s="2" t="inlineStr">
        <is>
          <t>B07-PUN</t>
        </is>
      </c>
      <c r="G213" s="2" t="inlineStr"/>
      <c r="H213" s="2" t="inlineStr">
        <is>
          <t>Document Control</t>
        </is>
      </c>
      <c r="I213" s="2" t="inlineStr">
        <is>
          <t>2028-01-28</t>
        </is>
      </c>
      <c r="J213" s="2" t="inlineStr">
        <is>
          <t>2028-02-11</t>
        </is>
      </c>
      <c r="K213" s="2" t="inlineStr">
        <is>
          <t>2028-03-09</t>
        </is>
      </c>
      <c r="L213" s="2" t="inlineStr">
        <is>
          <t>2028-03-23</t>
        </is>
      </c>
      <c r="M213" s="2" t="n">
        <v>41</v>
      </c>
      <c r="N213" s="2" t="inlineStr">
        <is>
          <t>Proposed allowance; replace with verified inputs</t>
        </is>
      </c>
      <c r="O213" s="2" t="inlineStr">
        <is>
          <t>PROPOSED / NOT APPROVED</t>
        </is>
      </c>
    </row>
    <row r="214">
      <c r="A214" s="2" t="inlineStr">
        <is>
          <t>B08-BAS</t>
        </is>
      </c>
      <c r="B214" s="2" t="inlineStr">
        <is>
          <t>WIN-NC</t>
        </is>
      </c>
      <c r="C214" s="2" t="inlineStr">
        <is>
          <t>Design basis, loads and interfaces</t>
        </is>
      </c>
      <c r="D214" s="2" t="n">
        <v>5</v>
      </c>
      <c r="E214" s="2" t="inlineStr">
        <is>
          <t>OFFICE</t>
        </is>
      </c>
      <c r="F214" s="2" t="inlineStr">
        <is>
          <t>G05;D-DES</t>
        </is>
      </c>
      <c r="G214" s="2" t="inlineStr"/>
      <c r="H214" s="2" t="inlineStr">
        <is>
          <t>Engineering</t>
        </is>
      </c>
      <c r="I214" s="2" t="inlineStr">
        <is>
          <t>2026-12-28</t>
        </is>
      </c>
      <c r="J214" s="2" t="inlineStr">
        <is>
          <t>2027-01-02</t>
        </is>
      </c>
      <c r="K214" s="2" t="inlineStr">
        <is>
          <t>2027-07-08</t>
        </is>
      </c>
      <c r="L214" s="2" t="inlineStr">
        <is>
          <t>2027-07-15</t>
        </is>
      </c>
      <c r="M214" s="2" t="n">
        <v>192</v>
      </c>
      <c r="N214" s="2" t="inlineStr">
        <is>
          <t>Proposed allowance; replace with verified inputs</t>
        </is>
      </c>
      <c r="O214" s="2" t="inlineStr">
        <is>
          <t>PROPOSED / NOT APPROVED</t>
        </is>
      </c>
    </row>
    <row r="215">
      <c r="A215" s="2" t="inlineStr">
        <is>
          <t>B08-BRV</t>
        </is>
      </c>
      <c r="B215" s="2" t="inlineStr">
        <is>
          <t>WIN-NC</t>
        </is>
      </c>
      <c r="C215" s="2" t="inlineStr">
        <is>
          <t>Basis review and comment closure allowance</t>
        </is>
      </c>
      <c r="D215" s="2" t="n">
        <v>10</v>
      </c>
      <c r="E215" s="2" t="inlineStr">
        <is>
          <t>OFFICE</t>
        </is>
      </c>
      <c r="F215" s="2" t="inlineStr">
        <is>
          <t>B08-BAS</t>
        </is>
      </c>
      <c r="G215" s="2" t="inlineStr"/>
      <c r="H215" s="2" t="inlineStr">
        <is>
          <t>Engineering</t>
        </is>
      </c>
      <c r="I215" s="2" t="inlineStr">
        <is>
          <t>2027-01-04</t>
        </is>
      </c>
      <c r="J215" s="2" t="inlineStr">
        <is>
          <t>2027-01-16</t>
        </is>
      </c>
      <c r="K215" s="2" t="inlineStr">
        <is>
          <t>2027-07-15</t>
        </is>
      </c>
      <c r="L215" s="2" t="inlineStr">
        <is>
          <t>2027-07-29</t>
        </is>
      </c>
      <c r="M215" s="2" t="n">
        <v>192</v>
      </c>
      <c r="N215" s="2" t="inlineStr">
        <is>
          <t>Proposed allowance; replace with verified inputs</t>
        </is>
      </c>
      <c r="O215" s="2" t="inlineStr">
        <is>
          <t>PROPOSED / NOT APPROVED</t>
        </is>
      </c>
    </row>
    <row r="216">
      <c r="A216" s="2" t="inlineStr">
        <is>
          <t>B08-ANA</t>
        </is>
      </c>
      <c r="B216" s="2" t="inlineStr">
        <is>
          <t>WIN-NC</t>
        </is>
      </c>
      <c r="C216" s="2" t="inlineStr">
        <is>
          <t>Bridge/platform and preservice analysis preparation</t>
        </is>
      </c>
      <c r="D216" s="2" t="n">
        <v>12</v>
      </c>
      <c r="E216" s="2" t="inlineStr">
        <is>
          <t>OFFICE</t>
        </is>
      </c>
      <c r="F216" s="2" t="inlineStr">
        <is>
          <t>B08-BRV</t>
        </is>
      </c>
      <c r="G216" s="2" t="inlineStr"/>
      <c r="H216" s="2" t="inlineStr">
        <is>
          <t>Structural</t>
        </is>
      </c>
      <c r="I216" s="2" t="inlineStr">
        <is>
          <t>2027-01-18</t>
        </is>
      </c>
      <c r="J216" s="2" t="inlineStr">
        <is>
          <t>2027-02-03</t>
        </is>
      </c>
      <c r="K216" s="2" t="inlineStr">
        <is>
          <t>2027-07-29</t>
        </is>
      </c>
      <c r="L216" s="2" t="inlineStr">
        <is>
          <t>2027-08-16</t>
        </is>
      </c>
      <c r="M216" s="2" t="n">
        <v>192</v>
      </c>
      <c r="N216" s="2" t="inlineStr">
        <is>
          <t>Proposed engineering effort window; native analysis/check evidence not supplied</t>
        </is>
      </c>
      <c r="O216" s="2" t="inlineStr">
        <is>
          <t>PROPOSED / NOT APPROVED</t>
        </is>
      </c>
    </row>
    <row r="217">
      <c r="A217" s="2" t="inlineStr">
        <is>
          <t>B08-ARV</t>
        </is>
      </c>
      <c r="B217" s="2" t="inlineStr">
        <is>
          <t>WIN-NC</t>
        </is>
      </c>
      <c r="C217" s="2" t="inlineStr">
        <is>
          <t>Analysis review and comment closure allowance</t>
        </is>
      </c>
      <c r="D217" s="2" t="n">
        <v>10</v>
      </c>
      <c r="E217" s="2" t="inlineStr">
        <is>
          <t>OFFICE</t>
        </is>
      </c>
      <c r="F217" s="2" t="inlineStr">
        <is>
          <t>B08-ANA</t>
        </is>
      </c>
      <c r="G217" s="2" t="inlineStr"/>
      <c r="H217" s="2" t="inlineStr">
        <is>
          <t>Engineering</t>
        </is>
      </c>
      <c r="I217" s="2" t="inlineStr">
        <is>
          <t>2027-02-03</t>
        </is>
      </c>
      <c r="J217" s="2" t="inlineStr">
        <is>
          <t>2027-02-17</t>
        </is>
      </c>
      <c r="K217" s="2" t="inlineStr">
        <is>
          <t>2027-08-16</t>
        </is>
      </c>
      <c r="L217" s="2" t="inlineStr">
        <is>
          <t>2027-08-30</t>
        </is>
      </c>
      <c r="M217" s="2" t="n">
        <v>194</v>
      </c>
      <c r="N217" s="2" t="inlineStr">
        <is>
          <t>Proposed allowance; replace with verified inputs</t>
        </is>
      </c>
      <c r="O217" s="2" t="inlineStr">
        <is>
          <t>PROPOSED / NOT APPROVED</t>
        </is>
      </c>
    </row>
    <row r="218">
      <c r="A218" s="2" t="inlineStr">
        <is>
          <t>B08-DET</t>
        </is>
      </c>
      <c r="B218" s="2" t="inlineStr">
        <is>
          <t>WIN-NC</t>
        </is>
      </c>
      <c r="C218" s="2" t="inlineStr">
        <is>
          <t>Connection, bearing, landing and workpack detailing</t>
        </is>
      </c>
      <c r="D218" s="2" t="n">
        <v>10</v>
      </c>
      <c r="E218" s="2" t="inlineStr">
        <is>
          <t>OFFICE</t>
        </is>
      </c>
      <c r="F218" s="2" t="inlineStr">
        <is>
          <t>B08-ARV</t>
        </is>
      </c>
      <c r="G218" s="2" t="inlineStr"/>
      <c r="H218" s="2" t="inlineStr">
        <is>
          <t>Structural</t>
        </is>
      </c>
      <c r="I218" s="2" t="inlineStr">
        <is>
          <t>2027-02-17</t>
        </is>
      </c>
      <c r="J218" s="2" t="inlineStr">
        <is>
          <t>2027-03-03</t>
        </is>
      </c>
      <c r="K218" s="2" t="inlineStr">
        <is>
          <t>2027-08-30</t>
        </is>
      </c>
      <c r="L218" s="2" t="inlineStr">
        <is>
          <t>2027-09-13</t>
        </is>
      </c>
      <c r="M218" s="2" t="n">
        <v>194</v>
      </c>
      <c r="N218" s="2" t="inlineStr">
        <is>
          <t>Proposed allowance; replace with verified inputs</t>
        </is>
      </c>
      <c r="O218" s="2" t="inlineStr">
        <is>
          <t>PROPOSED / NOT APPROVED</t>
        </is>
      </c>
    </row>
    <row r="219">
      <c r="A219" s="2" t="inlineStr">
        <is>
          <t>B08-DRV</t>
        </is>
      </c>
      <c r="B219" s="2" t="inlineStr">
        <is>
          <t>WIN-NC</t>
        </is>
      </c>
      <c r="C219" s="2" t="inlineStr">
        <is>
          <t>Drawing review and comment closure allowance</t>
        </is>
      </c>
      <c r="D219" s="2" t="n">
        <v>10</v>
      </c>
      <c r="E219" s="2" t="inlineStr">
        <is>
          <t>OFFICE</t>
        </is>
      </c>
      <c r="F219" s="2" t="inlineStr">
        <is>
          <t>B08-DET</t>
        </is>
      </c>
      <c r="G219" s="2" t="inlineStr"/>
      <c r="H219" s="2" t="inlineStr">
        <is>
          <t>Engineering</t>
        </is>
      </c>
      <c r="I219" s="2" t="inlineStr">
        <is>
          <t>2027-03-03</t>
        </is>
      </c>
      <c r="J219" s="2" t="inlineStr">
        <is>
          <t>2027-03-17</t>
        </is>
      </c>
      <c r="K219" s="2" t="inlineStr">
        <is>
          <t>2027-09-13</t>
        </is>
      </c>
      <c r="L219" s="2" t="inlineStr">
        <is>
          <t>2027-09-27</t>
        </is>
      </c>
      <c r="M219" s="2" t="n">
        <v>194</v>
      </c>
      <c r="N219" s="2" t="inlineStr">
        <is>
          <t>Proposed allowance; replace with verified inputs</t>
        </is>
      </c>
      <c r="O219" s="2" t="inlineStr">
        <is>
          <t>PROPOSED / NOT APPROVED</t>
        </is>
      </c>
    </row>
    <row r="220">
      <c r="A220" s="2" t="inlineStr">
        <is>
          <t>B08-AFC</t>
        </is>
      </c>
      <c r="B220" s="2" t="inlineStr">
        <is>
          <t>WIN-NC</t>
        </is>
      </c>
      <c r="C220" s="2" t="inlineStr">
        <is>
          <t>AFC design/MTO independent check and release gate</t>
        </is>
      </c>
      <c r="D220" s="2" t="n">
        <v>0</v>
      </c>
      <c r="E220" s="2" t="inlineStr">
        <is>
          <t>ALL</t>
        </is>
      </c>
      <c r="F220" s="2" t="inlineStr">
        <is>
          <t>B08-DRV</t>
        </is>
      </c>
      <c r="G220" s="2" t="inlineStr"/>
      <c r="H220" s="2" t="inlineStr">
        <is>
          <t>Engineering</t>
        </is>
      </c>
      <c r="I220" s="2" t="inlineStr">
        <is>
          <t>2027-03-17</t>
        </is>
      </c>
      <c r="J220" s="2" t="inlineStr">
        <is>
          <t>2027-03-17</t>
        </is>
      </c>
      <c r="K220" s="2" t="inlineStr">
        <is>
          <t>2027-09-27</t>
        </is>
      </c>
      <c r="L220" s="2" t="inlineStr">
        <is>
          <t>2027-09-27</t>
        </is>
      </c>
      <c r="M220" s="2" t="n">
        <v>194</v>
      </c>
      <c r="N220" s="2" t="inlineStr">
        <is>
          <t>Gate; actual signed release not established</t>
        </is>
      </c>
      <c r="O220" s="2" t="inlineStr">
        <is>
          <t>PROPOSED / NOT APPROVED</t>
        </is>
      </c>
    </row>
    <row r="221">
      <c r="A221" s="2" t="inlineStr">
        <is>
          <t>B08-RFQ</t>
        </is>
      </c>
      <c r="B221" s="2" t="inlineStr">
        <is>
          <t>WIN-NC</t>
        </is>
      </c>
      <c r="C221" s="2" t="inlineStr">
        <is>
          <t>Bridge steel RFQ, evaluation and PS preparation</t>
        </is>
      </c>
      <c r="D221" s="2" t="n">
        <v>7</v>
      </c>
      <c r="E221" s="2" t="inlineStr">
        <is>
          <t>OFFICE</t>
        </is>
      </c>
      <c r="F221" s="2" t="inlineStr">
        <is>
          <t>B08-BRV</t>
        </is>
      </c>
      <c r="G221" s="2" t="inlineStr"/>
      <c r="H221" s="2" t="inlineStr">
        <is>
          <t>Procurement</t>
        </is>
      </c>
      <c r="I221" s="2" t="inlineStr">
        <is>
          <t>2027-01-18</t>
        </is>
      </c>
      <c r="J221" s="2" t="inlineStr">
        <is>
          <t>2027-01-27</t>
        </is>
      </c>
      <c r="K221" s="2" t="inlineStr">
        <is>
          <t>2027-09-02</t>
        </is>
      </c>
      <c r="L221" s="2" t="inlineStr">
        <is>
          <t>2027-09-13</t>
        </is>
      </c>
      <c r="M221" s="2" t="n">
        <v>227</v>
      </c>
      <c r="N221" s="2" t="inlineStr">
        <is>
          <t>Proposed allowance; replace with verified inputs</t>
        </is>
      </c>
      <c r="O221" s="2" t="inlineStr">
        <is>
          <t>PROPOSED / NOT APPROVED</t>
        </is>
      </c>
    </row>
    <row r="222">
      <c r="A222" s="2" t="inlineStr">
        <is>
          <t>B08-PRV</t>
        </is>
      </c>
      <c r="B222" s="2" t="inlineStr">
        <is>
          <t>WIN-NC</t>
        </is>
      </c>
      <c r="C222" s="2" t="inlineStr">
        <is>
          <t>Bridge steel PS review allowance</t>
        </is>
      </c>
      <c r="D222" s="2" t="n">
        <v>10</v>
      </c>
      <c r="E222" s="2" t="inlineStr">
        <is>
          <t>OFFICE</t>
        </is>
      </c>
      <c r="F222" s="2" t="inlineStr">
        <is>
          <t>B08-RFQ</t>
        </is>
      </c>
      <c r="G222" s="2" t="inlineStr"/>
      <c r="H222" s="2" t="inlineStr">
        <is>
          <t>Procurement</t>
        </is>
      </c>
      <c r="I222" s="2" t="inlineStr">
        <is>
          <t>2027-01-27</t>
        </is>
      </c>
      <c r="J222" s="2" t="inlineStr">
        <is>
          <t>2027-02-10</t>
        </is>
      </c>
      <c r="K222" s="2" t="inlineStr">
        <is>
          <t>2027-09-13</t>
        </is>
      </c>
      <c r="L222" s="2" t="inlineStr">
        <is>
          <t>2027-09-27</t>
        </is>
      </c>
      <c r="M222" s="2" t="n">
        <v>229</v>
      </c>
      <c r="N222" s="2" t="inlineStr">
        <is>
          <t>Proposed allowance; replace with verified inputs</t>
        </is>
      </c>
      <c r="O222" s="2" t="inlineStr">
        <is>
          <t>PROPOSED / NOT APPROVED</t>
        </is>
      </c>
    </row>
    <row r="223">
      <c r="A223" s="2" t="inlineStr">
        <is>
          <t>B08-PO</t>
        </is>
      </c>
      <c r="B223" s="2" t="inlineStr">
        <is>
          <t>WIN-NC</t>
        </is>
      </c>
      <c r="C223" s="2" t="inlineStr">
        <is>
          <t>Bridge steel compliant PO release gate</t>
        </is>
      </c>
      <c r="D223" s="2" t="n">
        <v>0</v>
      </c>
      <c r="E223" s="2" t="inlineStr">
        <is>
          <t>ALL</t>
        </is>
      </c>
      <c r="F223" s="2" t="inlineStr">
        <is>
          <t>B08-AFC;B08-PRV</t>
        </is>
      </c>
      <c r="G223" s="2" t="inlineStr"/>
      <c r="H223" s="2" t="inlineStr">
        <is>
          <t>Procurement</t>
        </is>
      </c>
      <c r="I223" s="2" t="inlineStr">
        <is>
          <t>2027-03-17</t>
        </is>
      </c>
      <c r="J223" s="2" t="inlineStr">
        <is>
          <t>2027-03-17</t>
        </is>
      </c>
      <c r="K223" s="2" t="inlineStr">
        <is>
          <t>2027-09-27</t>
        </is>
      </c>
      <c r="L223" s="2" t="inlineStr">
        <is>
          <t>2027-09-27</t>
        </is>
      </c>
      <c r="M223" s="2" t="n">
        <v>194</v>
      </c>
      <c r="N223" s="2" t="inlineStr">
        <is>
          <t>No at-risk purchase assumed; amended domestic-origin evidence required</t>
        </is>
      </c>
      <c r="O223" s="2" t="inlineStr">
        <is>
          <t>PROPOSED / NOT APPROVED</t>
        </is>
      </c>
    </row>
    <row r="224">
      <c r="A224" s="2" t="inlineStr">
        <is>
          <t>B08-MAT</t>
        </is>
      </c>
      <c r="B224" s="2" t="inlineStr">
        <is>
          <t>WIN-NC</t>
        </is>
      </c>
      <c r="C224" s="2" t="inlineStr">
        <is>
          <t>Mill production, inspection and steel delivery</t>
        </is>
      </c>
      <c r="D224" s="2" t="n">
        <v>45</v>
      </c>
      <c r="E224" s="2" t="inlineStr">
        <is>
          <t>ALL</t>
        </is>
      </c>
      <c r="F224" s="2" t="inlineStr">
        <is>
          <t>B08-PO</t>
        </is>
      </c>
      <c r="G224" s="2" t="inlineStr"/>
      <c r="H224" s="2" t="inlineStr">
        <is>
          <t>Procurement</t>
        </is>
      </c>
      <c r="I224" s="2" t="inlineStr">
        <is>
          <t>2027-03-17</t>
        </is>
      </c>
      <c r="J224" s="2" t="inlineStr">
        <is>
          <t>2027-05-01</t>
        </is>
      </c>
      <c r="K224" s="2" t="inlineStr">
        <is>
          <t>2027-09-27</t>
        </is>
      </c>
      <c r="L224" s="2" t="inlineStr">
        <is>
          <t>2027-11-11</t>
        </is>
      </c>
      <c r="M224" s="2" t="n">
        <v>194</v>
      </c>
      <c r="N224" s="2" t="inlineStr">
        <is>
          <t>Unquoted45calendar-day placeholder; origin, mill capacity and transport unresolved</t>
        </is>
      </c>
      <c r="O224" s="2" t="inlineStr">
        <is>
          <t>PROPOSED / NOT APPROVED</t>
        </is>
      </c>
    </row>
    <row r="225">
      <c r="A225" s="2" t="inlineStr">
        <is>
          <t>B08-FAB</t>
        </is>
      </c>
      <c r="B225" s="2" t="inlineStr">
        <is>
          <t>WIN-NC</t>
        </is>
      </c>
      <c r="C225" s="2" t="inlineStr">
        <is>
          <t>Fit-up, welding and dimensional control</t>
        </is>
      </c>
      <c r="D225" s="2" t="n">
        <v>12</v>
      </c>
      <c r="E225" s="2" t="inlineStr">
        <is>
          <t>YARD</t>
        </is>
      </c>
      <c r="F225" s="2" t="inlineStr">
        <is>
          <t>B08-MAT;D-NDT;D-TPI;B06-FAB</t>
        </is>
      </c>
      <c r="G225" s="2" t="inlineStr">
        <is>
          <t>Fabrication line 2</t>
        </is>
      </c>
      <c r="H225" s="2" t="inlineStr">
        <is>
          <t>Fabrication</t>
        </is>
      </c>
      <c r="I225" s="2" t="inlineStr">
        <is>
          <t>2027-08-04</t>
        </is>
      </c>
      <c r="J225" s="2" t="inlineStr">
        <is>
          <t>2027-08-18</t>
        </is>
      </c>
      <c r="K225" s="2" t="inlineStr">
        <is>
          <t>2027-11-11</t>
        </is>
      </c>
      <c r="L225" s="2" t="inlineStr">
        <is>
          <t>2027-11-25</t>
        </is>
      </c>
      <c r="M225" s="2" t="n">
        <v>99</v>
      </c>
      <c r="N225" s="2" t="inlineStr">
        <is>
          <t>Assumed4MT per productive bay-day; includes aggregate steel, not validated shop productivity</t>
        </is>
      </c>
      <c r="O225" s="2" t="inlineStr">
        <is>
          <t>PROPOSED / NOT APPROVED</t>
        </is>
      </c>
    </row>
    <row r="226">
      <c r="A226" s="2" t="inlineStr">
        <is>
          <t>B08-NDT</t>
        </is>
      </c>
      <c r="B226" s="2" t="inlineStr">
        <is>
          <t>WIN-NC</t>
        </is>
      </c>
      <c r="C226" s="2" t="inlineStr">
        <is>
          <t>NDT, repair allowance and dimensional release</t>
        </is>
      </c>
      <c r="D226" s="2" t="n">
        <v>6</v>
      </c>
      <c r="E226" s="2" t="inlineStr">
        <is>
          <t>YARD</t>
        </is>
      </c>
      <c r="F226" s="2" t="inlineStr">
        <is>
          <t>B08-FAB</t>
        </is>
      </c>
      <c r="G226" s="2" t="inlineStr"/>
      <c r="H226" s="2" t="inlineStr">
        <is>
          <t>QA</t>
        </is>
      </c>
      <c r="I226" s="2" t="inlineStr">
        <is>
          <t>2027-08-18</t>
        </is>
      </c>
      <c r="J226" s="2" t="inlineStr">
        <is>
          <t>2027-08-25</t>
        </is>
      </c>
      <c r="K226" s="2" t="inlineStr">
        <is>
          <t>2027-12-07</t>
        </is>
      </c>
      <c r="L226" s="2" t="inlineStr">
        <is>
          <t>2027-12-14</t>
        </is>
      </c>
      <c r="M226" s="2" t="n">
        <v>111</v>
      </c>
      <c r="N226" s="2" t="inlineStr">
        <is>
          <t>Proposed allowance; replace with verified inputs</t>
        </is>
      </c>
      <c r="O226" s="2" t="inlineStr">
        <is>
          <t>PROPOSED / NOT APPROVED</t>
        </is>
      </c>
    </row>
    <row r="227">
      <c r="A227" s="2" t="inlineStr">
        <is>
          <t>B08-COA</t>
        </is>
      </c>
      <c r="B227" s="2" t="inlineStr">
        <is>
          <t>WIN-NC</t>
        </is>
      </c>
      <c r="C227" s="2" t="inlineStr">
        <is>
          <t>Surface preparation, coating and curing allowance</t>
        </is>
      </c>
      <c r="D227" s="2" t="n">
        <v>10</v>
      </c>
      <c r="E227" s="2" t="inlineStr">
        <is>
          <t>YARD</t>
        </is>
      </c>
      <c r="F227" s="2" t="inlineStr">
        <is>
          <t>B08-NDT;D-COAT;B07-COA</t>
        </is>
      </c>
      <c r="G227" s="2" t="inlineStr">
        <is>
          <t>Coating cell</t>
        </is>
      </c>
      <c r="H227" s="2" t="inlineStr">
        <is>
          <t>Coating</t>
        </is>
      </c>
      <c r="I227" s="2" t="inlineStr">
        <is>
          <t>2027-12-14</t>
        </is>
      </c>
      <c r="J227" s="2" t="inlineStr">
        <is>
          <t>2027-12-25</t>
        </is>
      </c>
      <c r="K227" s="2" t="inlineStr">
        <is>
          <t>2027-12-14</t>
        </is>
      </c>
      <c r="L227" s="2" t="inlineStr">
        <is>
          <t>2027-12-25</t>
        </is>
      </c>
      <c r="M227" s="2" t="n">
        <v>0</v>
      </c>
      <c r="N227" s="2" t="inlineStr">
        <is>
          <t>Proposed allowance; replace with verified inputs</t>
        </is>
      </c>
      <c r="O227" s="2" t="inlineStr">
        <is>
          <t>PROPOSED / NOT APPROVED</t>
        </is>
      </c>
    </row>
    <row r="228">
      <c r="A228" s="2" t="inlineStr">
        <is>
          <t>B08-REL</t>
        </is>
      </c>
      <c r="B228" s="2" t="inlineStr">
        <is>
          <t>WIN-NC</t>
        </is>
      </c>
      <c r="C228" s="2" t="inlineStr">
        <is>
          <t>Trial fit, verified weight/COG and loadout release</t>
        </is>
      </c>
      <c r="D228" s="2" t="n">
        <v>5</v>
      </c>
      <c r="E228" s="2" t="inlineStr">
        <is>
          <t>YARD</t>
        </is>
      </c>
      <c r="F228" s="2" t="inlineStr">
        <is>
          <t>B08-COA</t>
        </is>
      </c>
      <c r="G228" s="2" t="inlineStr"/>
      <c r="H228" s="2" t="inlineStr">
        <is>
          <t>QA / Marine</t>
        </is>
      </c>
      <c r="I228" s="2" t="inlineStr">
        <is>
          <t>2027-12-25</t>
        </is>
      </c>
      <c r="J228" s="2" t="inlineStr">
        <is>
          <t>2027-12-31</t>
        </is>
      </c>
      <c r="K228" s="2" t="inlineStr">
        <is>
          <t>2028-01-11</t>
        </is>
      </c>
      <c r="L228" s="2" t="inlineStr">
        <is>
          <t>2028-01-17</t>
        </is>
      </c>
      <c r="M228" s="2" t="n">
        <v>17</v>
      </c>
      <c r="N228" s="2" t="inlineStr">
        <is>
          <t>Proposed allowance; replace with verified inputs</t>
        </is>
      </c>
      <c r="O228" s="2" t="inlineStr">
        <is>
          <t>PROPOSED / NOT APPROVED</t>
        </is>
      </c>
    </row>
    <row r="229">
      <c r="A229" s="2" t="inlineStr">
        <is>
          <t>B08-TRN</t>
        </is>
      </c>
      <c r="B229" s="2" t="inlineStr">
        <is>
          <t>WIN-NC</t>
        </is>
      </c>
      <c r="C229" s="2" t="inlineStr">
        <is>
          <t>Loadout, transport and offshore receipt</t>
        </is>
      </c>
      <c r="D229" s="2" t="n">
        <v>3</v>
      </c>
      <c r="E229" s="2" t="inlineStr">
        <is>
          <t>OFF</t>
        </is>
      </c>
      <c r="F229" s="2" t="inlineStr">
        <is>
          <t>B08-REL;D-CARGO;B07-TRN</t>
        </is>
      </c>
      <c r="G229" s="2" t="inlineStr">
        <is>
          <t>Cargo spread</t>
        </is>
      </c>
      <c r="H229" s="2" t="inlineStr">
        <is>
          <t>Logistics</t>
        </is>
      </c>
      <c r="I229" s="2" t="inlineStr">
        <is>
          <t>2027-12-31</t>
        </is>
      </c>
      <c r="J229" s="2" t="inlineStr">
        <is>
          <t>2028-01-03</t>
        </is>
      </c>
      <c r="K229" s="2" t="inlineStr">
        <is>
          <t>2028-01-17</t>
        </is>
      </c>
      <c r="L229" s="2" t="inlineStr">
        <is>
          <t>2028-01-20</t>
        </is>
      </c>
      <c r="M229" s="2" t="n">
        <v>17</v>
      </c>
      <c r="N229" s="2" t="inlineStr">
        <is>
          <t>Proposed allowance; replace with verified inputs</t>
        </is>
      </c>
      <c r="O229" s="2" t="inlineStr">
        <is>
          <t>PROPOSED / NOT APPROVED</t>
        </is>
      </c>
    </row>
    <row r="230">
      <c r="A230" s="2" t="inlineStr">
        <is>
          <t>B08-PRE</t>
        </is>
      </c>
      <c r="B230" s="2" t="inlineStr">
        <is>
          <t>WIN-NC</t>
        </is>
      </c>
      <c r="C230" s="2" t="inlineStr">
        <is>
          <t>PTW, access, SIMOPS and work-front readiness</t>
        </is>
      </c>
      <c r="D230" s="2" t="n">
        <v>3</v>
      </c>
      <c r="E230" s="2" t="inlineStr">
        <is>
          <t>OFF</t>
        </is>
      </c>
      <c r="F230" s="2" t="inlineStr">
        <is>
          <t>B08-TRN;D-SCAF;D-PPE</t>
        </is>
      </c>
      <c r="G230" s="2" t="inlineStr"/>
      <c r="H230" s="2" t="inlineStr">
        <is>
          <t>Construction</t>
        </is>
      </c>
      <c r="I230" s="2" t="inlineStr">
        <is>
          <t>2028-01-03</t>
        </is>
      </c>
      <c r="J230" s="2" t="inlineStr">
        <is>
          <t>2028-01-06</t>
        </is>
      </c>
      <c r="K230" s="2" t="inlineStr">
        <is>
          <t>2028-01-31</t>
        </is>
      </c>
      <c r="L230" s="2" t="inlineStr">
        <is>
          <t>2028-02-03</t>
        </is>
      </c>
      <c r="M230" s="2" t="n">
        <v>28</v>
      </c>
      <c r="N230" s="2" t="inlineStr">
        <is>
          <t>Proposed allowance; replace with verified inputs</t>
        </is>
      </c>
      <c r="O230" s="2" t="inlineStr">
        <is>
          <t>PROPOSED / NOT APPROVED</t>
        </is>
      </c>
    </row>
    <row r="231">
      <c r="A231" s="2" t="inlineStr">
        <is>
          <t>B08-STR</t>
        </is>
      </c>
      <c r="B231" s="2" t="inlineStr">
        <is>
          <t>WIN-NC</t>
        </is>
      </c>
      <c r="C231" s="2" t="inlineStr">
        <is>
          <t>Landing/platform pre-install strengthening</t>
        </is>
      </c>
      <c r="D231" s="2" t="n">
        <v>10</v>
      </c>
      <c r="E231" s="2" t="inlineStr">
        <is>
          <t>OFF</t>
        </is>
      </c>
      <c r="F231" s="2" t="inlineStr">
        <is>
          <t>B08-PRE;B03-INS</t>
        </is>
      </c>
      <c r="G231" s="2" t="inlineStr">
        <is>
          <t>Strength crew 2</t>
        </is>
      </c>
      <c r="H231" s="2" t="inlineStr">
        <is>
          <t>Construction</t>
        </is>
      </c>
      <c r="I231" s="2" t="inlineStr">
        <is>
          <t>2028-01-06</t>
        </is>
      </c>
      <c r="J231" s="2" t="inlineStr">
        <is>
          <t>2028-01-16</t>
        </is>
      </c>
      <c r="K231" s="2" t="inlineStr">
        <is>
          <t>2028-02-03</t>
        </is>
      </c>
      <c r="L231" s="2" t="inlineStr">
        <is>
          <t>2028-02-13</t>
        </is>
      </c>
      <c r="M231" s="2" t="n">
        <v>28</v>
      </c>
      <c r="N231" s="2" t="inlineStr">
        <is>
          <t>Proposed4MT/crew-day; actual weld/access quantities not validated</t>
        </is>
      </c>
      <c r="O231" s="2" t="inlineStr">
        <is>
          <t>PROPOSED / NOT APPROVED</t>
        </is>
      </c>
    </row>
    <row r="232">
      <c r="A232" s="2" t="inlineStr">
        <is>
          <t>B08-INS</t>
        </is>
      </c>
      <c r="B232" s="2" t="inlineStr">
        <is>
          <t>WIN-NC</t>
        </is>
      </c>
      <c r="C232" s="2" t="inlineStr">
        <is>
          <t>Bridge strengthening and replacement items</t>
        </is>
      </c>
      <c r="D232" s="2" t="n">
        <v>5</v>
      </c>
      <c r="E232" s="2" t="inlineStr">
        <is>
          <t>OFF</t>
        </is>
      </c>
      <c r="F232" s="2" t="inlineStr">
        <is>
          <t>B08-STR;D-MAR;D-BEAR;D-GRAT</t>
        </is>
      </c>
      <c r="G232" s="2" t="inlineStr">
        <is>
          <t>Strength crew 2</t>
        </is>
      </c>
      <c r="H232" s="2" t="inlineStr">
        <is>
          <t>Marine / Construction</t>
        </is>
      </c>
      <c r="I232" s="2" t="inlineStr">
        <is>
          <t>2028-01-16</t>
        </is>
      </c>
      <c r="J232" s="2" t="inlineStr">
        <is>
          <t>2028-01-21</t>
        </is>
      </c>
      <c r="K232" s="2" t="inlineStr">
        <is>
          <t>2028-02-13</t>
        </is>
      </c>
      <c r="L232" s="2" t="inlineStr">
        <is>
          <t>2028-02-18</t>
        </is>
      </c>
      <c r="M232" s="2" t="n">
        <v>28</v>
      </c>
      <c r="N232" s="2" t="inlineStr">
        <is>
          <t>Aggregate planning allowance; engineered lifts and temporary stability required</t>
        </is>
      </c>
      <c r="O232" s="2" t="inlineStr">
        <is>
          <t>PROPOSED / NOT APPROVED</t>
        </is>
      </c>
    </row>
    <row r="233">
      <c r="A233" s="2" t="inlineStr">
        <is>
          <t>B08-SRV</t>
        </is>
      </c>
      <c r="B233" s="2" t="inlineStr">
        <is>
          <t>WIN-NC</t>
        </is>
      </c>
      <c r="C233" s="2" t="inlineStr">
        <is>
          <t>Services transfer, test and accepted reinstatement</t>
        </is>
      </c>
      <c r="D233" s="2" t="n">
        <v>5</v>
      </c>
      <c r="E233" s="2" t="inlineStr">
        <is>
          <t>OFF</t>
        </is>
      </c>
      <c r="F233" s="2" t="inlineStr">
        <is>
          <t>B08-INS;D-PIPE;D-ELEC;D-INST;D-TRAY;B07-SRV</t>
        </is>
      </c>
      <c r="G233" s="2" t="inlineStr">
        <is>
          <t>Service transfer team</t>
        </is>
      </c>
      <c r="H233" s="2" t="inlineStr">
        <is>
          <t>Commissioning</t>
        </is>
      </c>
      <c r="I233" s="2" t="inlineStr">
        <is>
          <t>2028-01-23</t>
        </is>
      </c>
      <c r="J233" s="2" t="inlineStr">
        <is>
          <t>2028-01-28</t>
        </is>
      </c>
      <c r="K233" s="2" t="inlineStr">
        <is>
          <t>2028-02-18</t>
        </is>
      </c>
      <c r="L233" s="2" t="inlineStr">
        <is>
          <t>2028-02-23</t>
        </is>
      </c>
      <c r="M233" s="2" t="n">
        <v>26</v>
      </c>
      <c r="N233" s="2" t="inlineStr">
        <is>
          <t>Proposed allowance; replace with verified inputs</t>
        </is>
      </c>
      <c r="O233" s="2" t="inlineStr">
        <is>
          <t>PROPOSED / NOT APPROVED</t>
        </is>
      </c>
    </row>
    <row r="234">
      <c r="A234" s="2" t="inlineStr">
        <is>
          <t>B08-DEM</t>
        </is>
      </c>
      <c r="B234" s="2" t="inlineStr">
        <is>
          <t>WIN-NC</t>
        </is>
      </c>
      <c r="C234" s="2" t="inlineStr">
        <is>
          <t>Engineered demolition/removal and scrap backload</t>
        </is>
      </c>
      <c r="D234" s="2" t="n">
        <v>2</v>
      </c>
      <c r="E234" s="2" t="inlineStr">
        <is>
          <t>OFF</t>
        </is>
      </c>
      <c r="F234" s="2" t="inlineStr">
        <is>
          <t>B08-SRV;B07-DEM</t>
        </is>
      </c>
      <c r="G234" s="2" t="inlineStr">
        <is>
          <t>Removal team</t>
        </is>
      </c>
      <c r="H234" s="2" t="inlineStr">
        <is>
          <t>Construction</t>
        </is>
      </c>
      <c r="I234" s="2" t="inlineStr">
        <is>
          <t>2028-01-28</t>
        </is>
      </c>
      <c r="J234" s="2" t="inlineStr">
        <is>
          <t>2028-01-30</t>
        </is>
      </c>
      <c r="K234" s="2" t="inlineStr">
        <is>
          <t>2028-02-29</t>
        </is>
      </c>
      <c r="L234" s="2" t="inlineStr">
        <is>
          <t>2028-03-02</t>
        </is>
      </c>
      <c r="M234" s="2" t="n">
        <v>32</v>
      </c>
      <c r="N234" s="2" t="inlineStr">
        <is>
          <t>Proposed15MT/day allowance; BHS sequence after safe new service transfer, subject to approved method</t>
        </is>
      </c>
      <c r="O234" s="2" t="inlineStr">
        <is>
          <t>PROPOSED / NOT APPROVED</t>
        </is>
      </c>
    </row>
    <row r="235">
      <c r="A235" s="2" t="inlineStr">
        <is>
          <t>B08-PUN</t>
        </is>
      </c>
      <c r="B235" s="2" t="inlineStr">
        <is>
          <t>WIN-NC</t>
        </is>
      </c>
      <c r="C235" s="2" t="inlineStr">
        <is>
          <t>Inspection, touch-up and offshore punch closure</t>
        </is>
      </c>
      <c r="D235" s="2" t="n">
        <v>3</v>
      </c>
      <c r="E235" s="2" t="inlineStr">
        <is>
          <t>OFF</t>
        </is>
      </c>
      <c r="F235" s="2" t="inlineStr">
        <is>
          <t>B08-DEM</t>
        </is>
      </c>
      <c r="G235" s="2" t="inlineStr"/>
      <c r="H235" s="2" t="inlineStr">
        <is>
          <t>QA / Commissioning</t>
        </is>
      </c>
      <c r="I235" s="2" t="inlineStr">
        <is>
          <t>2028-01-30</t>
        </is>
      </c>
      <c r="J235" s="2" t="inlineStr">
        <is>
          <t>2028-02-02</t>
        </is>
      </c>
      <c r="K235" s="2" t="inlineStr">
        <is>
          <t>2028-03-06</t>
        </is>
      </c>
      <c r="L235" s="2" t="inlineStr">
        <is>
          <t>2028-03-09</t>
        </is>
      </c>
      <c r="M235" s="2" t="n">
        <v>36</v>
      </c>
      <c r="N235" s="2" t="inlineStr">
        <is>
          <t>Proposed allowance; replace with verified inputs</t>
        </is>
      </c>
      <c r="O235" s="2" t="inlineStr">
        <is>
          <t>PROPOSED / NOT APPROVED</t>
        </is>
      </c>
    </row>
    <row r="236">
      <c r="A236" s="2" t="inlineStr">
        <is>
          <t>B08-DOS</t>
        </is>
      </c>
      <c r="B236" s="2" t="inlineStr">
        <is>
          <t>WIN-NC</t>
        </is>
      </c>
      <c r="C236" s="2" t="inlineStr">
        <is>
          <t>As-built, QA and turnover dossier acceptance</t>
        </is>
      </c>
      <c r="D236" s="2" t="n">
        <v>10</v>
      </c>
      <c r="E236" s="2" t="inlineStr">
        <is>
          <t>OFFICE</t>
        </is>
      </c>
      <c r="F236" s="2" t="inlineStr">
        <is>
          <t>B08-PUN</t>
        </is>
      </c>
      <c r="G236" s="2" t="inlineStr"/>
      <c r="H236" s="2" t="inlineStr">
        <is>
          <t>Document Control</t>
        </is>
      </c>
      <c r="I236" s="2" t="inlineStr">
        <is>
          <t>2028-02-02</t>
        </is>
      </c>
      <c r="J236" s="2" t="inlineStr">
        <is>
          <t>2028-02-16</t>
        </is>
      </c>
      <c r="K236" s="2" t="inlineStr">
        <is>
          <t>2028-03-09</t>
        </is>
      </c>
      <c r="L236" s="2" t="inlineStr">
        <is>
          <t>2028-03-23</t>
        </is>
      </c>
      <c r="M236" s="2" t="n">
        <v>36</v>
      </c>
      <c r="N236" s="2" t="inlineStr">
        <is>
          <t>Proposed allowance; replace with verified inputs</t>
        </is>
      </c>
      <c r="O236" s="2" t="inlineStr">
        <is>
          <t>PROPOSED / NOT APPROVED</t>
        </is>
      </c>
    </row>
    <row r="237">
      <c r="A237" s="2" t="inlineStr">
        <is>
          <t>B09-BAS</t>
        </is>
      </c>
      <c r="B237" s="2" t="inlineStr">
        <is>
          <t>SCA-SC1</t>
        </is>
      </c>
      <c r="C237" s="2" t="inlineStr">
        <is>
          <t>Design basis, loads and interfaces</t>
        </is>
      </c>
      <c r="D237" s="2" t="n">
        <v>5</v>
      </c>
      <c r="E237" s="2" t="inlineStr">
        <is>
          <t>OFFICE</t>
        </is>
      </c>
      <c r="F237" s="2" t="inlineStr">
        <is>
          <t>G05;D-DES</t>
        </is>
      </c>
      <c r="G237" s="2" t="inlineStr"/>
      <c r="H237" s="2" t="inlineStr">
        <is>
          <t>Engineering</t>
        </is>
      </c>
      <c r="I237" s="2" t="inlineStr">
        <is>
          <t>2026-12-28</t>
        </is>
      </c>
      <c r="J237" s="2" t="inlineStr">
        <is>
          <t>2027-01-02</t>
        </is>
      </c>
      <c r="K237" s="2" t="inlineStr">
        <is>
          <t>2027-07-29</t>
        </is>
      </c>
      <c r="L237" s="2" t="inlineStr">
        <is>
          <t>2027-08-05</t>
        </is>
      </c>
      <c r="M237" s="2" t="n">
        <v>213</v>
      </c>
      <c r="N237" s="2" t="inlineStr">
        <is>
          <t>Proposed allowance; replace with verified inputs</t>
        </is>
      </c>
      <c r="O237" s="2" t="inlineStr">
        <is>
          <t>PROPOSED / NOT APPROVED</t>
        </is>
      </c>
    </row>
    <row r="238">
      <c r="A238" s="2" t="inlineStr">
        <is>
          <t>B09-BRV</t>
        </is>
      </c>
      <c r="B238" s="2" t="inlineStr">
        <is>
          <t>SCA-SC1</t>
        </is>
      </c>
      <c r="C238" s="2" t="inlineStr">
        <is>
          <t>Basis review and comment closure allowance</t>
        </is>
      </c>
      <c r="D238" s="2" t="n">
        <v>10</v>
      </c>
      <c r="E238" s="2" t="inlineStr">
        <is>
          <t>OFFICE</t>
        </is>
      </c>
      <c r="F238" s="2" t="inlineStr">
        <is>
          <t>B09-BAS</t>
        </is>
      </c>
      <c r="G238" s="2" t="inlineStr"/>
      <c r="H238" s="2" t="inlineStr">
        <is>
          <t>Engineering</t>
        </is>
      </c>
      <c r="I238" s="2" t="inlineStr">
        <is>
          <t>2027-01-04</t>
        </is>
      </c>
      <c r="J238" s="2" t="inlineStr">
        <is>
          <t>2027-01-16</t>
        </is>
      </c>
      <c r="K238" s="2" t="inlineStr">
        <is>
          <t>2027-08-05</t>
        </is>
      </c>
      <c r="L238" s="2" t="inlineStr">
        <is>
          <t>2027-08-19</t>
        </is>
      </c>
      <c r="M238" s="2" t="n">
        <v>213</v>
      </c>
      <c r="N238" s="2" t="inlineStr">
        <is>
          <t>Proposed allowance; replace with verified inputs</t>
        </is>
      </c>
      <c r="O238" s="2" t="inlineStr">
        <is>
          <t>PROPOSED / NOT APPROVED</t>
        </is>
      </c>
    </row>
    <row r="239">
      <c r="A239" s="2" t="inlineStr">
        <is>
          <t>B09-ANA</t>
        </is>
      </c>
      <c r="B239" s="2" t="inlineStr">
        <is>
          <t>SCA-SC1</t>
        </is>
      </c>
      <c r="C239" s="2" t="inlineStr">
        <is>
          <t>Bridge/platform and preservice analysis preparation</t>
        </is>
      </c>
      <c r="D239" s="2" t="n">
        <v>12</v>
      </c>
      <c r="E239" s="2" t="inlineStr">
        <is>
          <t>OFFICE</t>
        </is>
      </c>
      <c r="F239" s="2" t="inlineStr">
        <is>
          <t>B09-BRV</t>
        </is>
      </c>
      <c r="G239" s="2" t="inlineStr"/>
      <c r="H239" s="2" t="inlineStr">
        <is>
          <t>Structural</t>
        </is>
      </c>
      <c r="I239" s="2" t="inlineStr">
        <is>
          <t>2027-01-18</t>
        </is>
      </c>
      <c r="J239" s="2" t="inlineStr">
        <is>
          <t>2027-02-03</t>
        </is>
      </c>
      <c r="K239" s="2" t="inlineStr">
        <is>
          <t>2027-08-19</t>
        </is>
      </c>
      <c r="L239" s="2" t="inlineStr">
        <is>
          <t>2027-09-06</t>
        </is>
      </c>
      <c r="M239" s="2" t="n">
        <v>213</v>
      </c>
      <c r="N239" s="2" t="inlineStr">
        <is>
          <t>Proposed engineering effort window; native analysis/check evidence not supplied</t>
        </is>
      </c>
      <c r="O239" s="2" t="inlineStr">
        <is>
          <t>PROPOSED / NOT APPROVED</t>
        </is>
      </c>
    </row>
    <row r="240">
      <c r="A240" s="2" t="inlineStr">
        <is>
          <t>B09-ARV</t>
        </is>
      </c>
      <c r="B240" s="2" t="inlineStr">
        <is>
          <t>SCA-SC1</t>
        </is>
      </c>
      <c r="C240" s="2" t="inlineStr">
        <is>
          <t>Analysis review and comment closure allowance</t>
        </is>
      </c>
      <c r="D240" s="2" t="n">
        <v>10</v>
      </c>
      <c r="E240" s="2" t="inlineStr">
        <is>
          <t>OFFICE</t>
        </is>
      </c>
      <c r="F240" s="2" t="inlineStr">
        <is>
          <t>B09-ANA</t>
        </is>
      </c>
      <c r="G240" s="2" t="inlineStr"/>
      <c r="H240" s="2" t="inlineStr">
        <is>
          <t>Engineering</t>
        </is>
      </c>
      <c r="I240" s="2" t="inlineStr">
        <is>
          <t>2027-02-03</t>
        </is>
      </c>
      <c r="J240" s="2" t="inlineStr">
        <is>
          <t>2027-02-17</t>
        </is>
      </c>
      <c r="K240" s="2" t="inlineStr">
        <is>
          <t>2027-09-06</t>
        </is>
      </c>
      <c r="L240" s="2" t="inlineStr">
        <is>
          <t>2027-09-20</t>
        </is>
      </c>
      <c r="M240" s="2" t="n">
        <v>215</v>
      </c>
      <c r="N240" s="2" t="inlineStr">
        <is>
          <t>Proposed allowance; replace with verified inputs</t>
        </is>
      </c>
      <c r="O240" s="2" t="inlineStr">
        <is>
          <t>PROPOSED / NOT APPROVED</t>
        </is>
      </c>
    </row>
    <row r="241">
      <c r="A241" s="2" t="inlineStr">
        <is>
          <t>B09-DET</t>
        </is>
      </c>
      <c r="B241" s="2" t="inlineStr">
        <is>
          <t>SCA-SC1</t>
        </is>
      </c>
      <c r="C241" s="2" t="inlineStr">
        <is>
          <t>Connection, bearing, landing and workpack detailing</t>
        </is>
      </c>
      <c r="D241" s="2" t="n">
        <v>10</v>
      </c>
      <c r="E241" s="2" t="inlineStr">
        <is>
          <t>OFFICE</t>
        </is>
      </c>
      <c r="F241" s="2" t="inlineStr">
        <is>
          <t>B09-ARV</t>
        </is>
      </c>
      <c r="G241" s="2" t="inlineStr"/>
      <c r="H241" s="2" t="inlineStr">
        <is>
          <t>Structural</t>
        </is>
      </c>
      <c r="I241" s="2" t="inlineStr">
        <is>
          <t>2027-02-17</t>
        </is>
      </c>
      <c r="J241" s="2" t="inlineStr">
        <is>
          <t>2027-03-03</t>
        </is>
      </c>
      <c r="K241" s="2" t="inlineStr">
        <is>
          <t>2027-09-20</t>
        </is>
      </c>
      <c r="L241" s="2" t="inlineStr">
        <is>
          <t>2027-10-04</t>
        </is>
      </c>
      <c r="M241" s="2" t="n">
        <v>215</v>
      </c>
      <c r="N241" s="2" t="inlineStr">
        <is>
          <t>Proposed allowance; replace with verified inputs</t>
        </is>
      </c>
      <c r="O241" s="2" t="inlineStr">
        <is>
          <t>PROPOSED / NOT APPROVED</t>
        </is>
      </c>
    </row>
    <row r="242">
      <c r="A242" s="2" t="inlineStr">
        <is>
          <t>B09-DRV</t>
        </is>
      </c>
      <c r="B242" s="2" t="inlineStr">
        <is>
          <t>SCA-SC1</t>
        </is>
      </c>
      <c r="C242" s="2" t="inlineStr">
        <is>
          <t>Drawing review and comment closure allowance</t>
        </is>
      </c>
      <c r="D242" s="2" t="n">
        <v>10</v>
      </c>
      <c r="E242" s="2" t="inlineStr">
        <is>
          <t>OFFICE</t>
        </is>
      </c>
      <c r="F242" s="2" t="inlineStr">
        <is>
          <t>B09-DET</t>
        </is>
      </c>
      <c r="G242" s="2" t="inlineStr"/>
      <c r="H242" s="2" t="inlineStr">
        <is>
          <t>Engineering</t>
        </is>
      </c>
      <c r="I242" s="2" t="inlineStr">
        <is>
          <t>2027-03-03</t>
        </is>
      </c>
      <c r="J242" s="2" t="inlineStr">
        <is>
          <t>2027-03-17</t>
        </is>
      </c>
      <c r="K242" s="2" t="inlineStr">
        <is>
          <t>2027-10-04</t>
        </is>
      </c>
      <c r="L242" s="2" t="inlineStr">
        <is>
          <t>2027-10-16</t>
        </is>
      </c>
      <c r="M242" s="2" t="n">
        <v>215</v>
      </c>
      <c r="N242" s="2" t="inlineStr">
        <is>
          <t>Proposed allowance; replace with verified inputs</t>
        </is>
      </c>
      <c r="O242" s="2" t="inlineStr">
        <is>
          <t>PROPOSED / NOT APPROVED</t>
        </is>
      </c>
    </row>
    <row r="243">
      <c r="A243" s="2" t="inlineStr">
        <is>
          <t>B09-AFC</t>
        </is>
      </c>
      <c r="B243" s="2" t="inlineStr">
        <is>
          <t>SCA-SC1</t>
        </is>
      </c>
      <c r="C243" s="2" t="inlineStr">
        <is>
          <t>AFC design/MTO independent check and release gate</t>
        </is>
      </c>
      <c r="D243" s="2" t="n">
        <v>0</v>
      </c>
      <c r="E243" s="2" t="inlineStr">
        <is>
          <t>ALL</t>
        </is>
      </c>
      <c r="F243" s="2" t="inlineStr">
        <is>
          <t>B09-DRV</t>
        </is>
      </c>
      <c r="G243" s="2" t="inlineStr"/>
      <c r="H243" s="2" t="inlineStr">
        <is>
          <t>Engineering</t>
        </is>
      </c>
      <c r="I243" s="2" t="inlineStr">
        <is>
          <t>2027-03-17</t>
        </is>
      </c>
      <c r="J243" s="2" t="inlineStr">
        <is>
          <t>2027-03-17</t>
        </is>
      </c>
      <c r="K243" s="2" t="inlineStr">
        <is>
          <t>2027-10-16</t>
        </is>
      </c>
      <c r="L243" s="2" t="inlineStr">
        <is>
          <t>2027-10-16</t>
        </is>
      </c>
      <c r="M243" s="2" t="n">
        <v>213</v>
      </c>
      <c r="N243" s="2" t="inlineStr">
        <is>
          <t>Gate; actual signed release not established</t>
        </is>
      </c>
      <c r="O243" s="2" t="inlineStr">
        <is>
          <t>PROPOSED / NOT APPROVED</t>
        </is>
      </c>
    </row>
    <row r="244">
      <c r="A244" s="2" t="inlineStr">
        <is>
          <t>B09-RFQ</t>
        </is>
      </c>
      <c r="B244" s="2" t="inlineStr">
        <is>
          <t>SCA-SC1</t>
        </is>
      </c>
      <c r="C244" s="2" t="inlineStr">
        <is>
          <t>Bridge steel RFQ, evaluation and PS preparation</t>
        </is>
      </c>
      <c r="D244" s="2" t="n">
        <v>7</v>
      </c>
      <c r="E244" s="2" t="inlineStr">
        <is>
          <t>OFFICE</t>
        </is>
      </c>
      <c r="F244" s="2" t="inlineStr">
        <is>
          <t>B09-BRV</t>
        </is>
      </c>
      <c r="G244" s="2" t="inlineStr"/>
      <c r="H244" s="2" t="inlineStr">
        <is>
          <t>Procurement</t>
        </is>
      </c>
      <c r="I244" s="2" t="inlineStr">
        <is>
          <t>2027-01-18</t>
        </is>
      </c>
      <c r="J244" s="2" t="inlineStr">
        <is>
          <t>2027-01-27</t>
        </is>
      </c>
      <c r="K244" s="2" t="inlineStr">
        <is>
          <t>2027-09-23</t>
        </is>
      </c>
      <c r="L244" s="2" t="inlineStr">
        <is>
          <t>2027-10-04</t>
        </is>
      </c>
      <c r="M244" s="2" t="n">
        <v>248</v>
      </c>
      <c r="N244" s="2" t="inlineStr">
        <is>
          <t>Proposed allowance; replace with verified inputs</t>
        </is>
      </c>
      <c r="O244" s="2" t="inlineStr">
        <is>
          <t>PROPOSED / NOT APPROVED</t>
        </is>
      </c>
    </row>
    <row r="245">
      <c r="A245" s="2" t="inlineStr">
        <is>
          <t>B09-PRV</t>
        </is>
      </c>
      <c r="B245" s="2" t="inlineStr">
        <is>
          <t>SCA-SC1</t>
        </is>
      </c>
      <c r="C245" s="2" t="inlineStr">
        <is>
          <t>Bridge steel PS review allowance</t>
        </is>
      </c>
      <c r="D245" s="2" t="n">
        <v>10</v>
      </c>
      <c r="E245" s="2" t="inlineStr">
        <is>
          <t>OFFICE</t>
        </is>
      </c>
      <c r="F245" s="2" t="inlineStr">
        <is>
          <t>B09-RFQ</t>
        </is>
      </c>
      <c r="G245" s="2" t="inlineStr"/>
      <c r="H245" s="2" t="inlineStr">
        <is>
          <t>Procurement</t>
        </is>
      </c>
      <c r="I245" s="2" t="inlineStr">
        <is>
          <t>2027-01-27</t>
        </is>
      </c>
      <c r="J245" s="2" t="inlineStr">
        <is>
          <t>2027-02-10</t>
        </is>
      </c>
      <c r="K245" s="2" t="inlineStr">
        <is>
          <t>2027-10-04</t>
        </is>
      </c>
      <c r="L245" s="2" t="inlineStr">
        <is>
          <t>2027-10-16</t>
        </is>
      </c>
      <c r="M245" s="2" t="n">
        <v>250</v>
      </c>
      <c r="N245" s="2" t="inlineStr">
        <is>
          <t>Proposed allowance; replace with verified inputs</t>
        </is>
      </c>
      <c r="O245" s="2" t="inlineStr">
        <is>
          <t>PROPOSED / NOT APPROVED</t>
        </is>
      </c>
    </row>
    <row r="246">
      <c r="A246" s="2" t="inlineStr">
        <is>
          <t>B09-PO</t>
        </is>
      </c>
      <c r="B246" s="2" t="inlineStr">
        <is>
          <t>SCA-SC1</t>
        </is>
      </c>
      <c r="C246" s="2" t="inlineStr">
        <is>
          <t>Bridge steel compliant PO release gate</t>
        </is>
      </c>
      <c r="D246" s="2" t="n">
        <v>0</v>
      </c>
      <c r="E246" s="2" t="inlineStr">
        <is>
          <t>ALL</t>
        </is>
      </c>
      <c r="F246" s="2" t="inlineStr">
        <is>
          <t>B09-AFC;B09-PRV</t>
        </is>
      </c>
      <c r="G246" s="2" t="inlineStr"/>
      <c r="H246" s="2" t="inlineStr">
        <is>
          <t>Procurement</t>
        </is>
      </c>
      <c r="I246" s="2" t="inlineStr">
        <is>
          <t>2027-03-17</t>
        </is>
      </c>
      <c r="J246" s="2" t="inlineStr">
        <is>
          <t>2027-03-17</t>
        </is>
      </c>
      <c r="K246" s="2" t="inlineStr">
        <is>
          <t>2027-10-16</t>
        </is>
      </c>
      <c r="L246" s="2" t="inlineStr">
        <is>
          <t>2027-10-16</t>
        </is>
      </c>
      <c r="M246" s="2" t="n">
        <v>213</v>
      </c>
      <c r="N246" s="2" t="inlineStr">
        <is>
          <t>No at-risk purchase assumed; amended domestic-origin evidence required</t>
        </is>
      </c>
      <c r="O246" s="2" t="inlineStr">
        <is>
          <t>PROPOSED / NOT APPROVED</t>
        </is>
      </c>
    </row>
    <row r="247">
      <c r="A247" s="2" t="inlineStr">
        <is>
          <t>B09-MAT</t>
        </is>
      </c>
      <c r="B247" s="2" t="inlineStr">
        <is>
          <t>SCA-SC1</t>
        </is>
      </c>
      <c r="C247" s="2" t="inlineStr">
        <is>
          <t>Mill production, inspection and steel delivery</t>
        </is>
      </c>
      <c r="D247" s="2" t="n">
        <v>45</v>
      </c>
      <c r="E247" s="2" t="inlineStr">
        <is>
          <t>ALL</t>
        </is>
      </c>
      <c r="F247" s="2" t="inlineStr">
        <is>
          <t>B09-PO</t>
        </is>
      </c>
      <c r="G247" s="2" t="inlineStr"/>
      <c r="H247" s="2" t="inlineStr">
        <is>
          <t>Procurement</t>
        </is>
      </c>
      <c r="I247" s="2" t="inlineStr">
        <is>
          <t>2027-03-17</t>
        </is>
      </c>
      <c r="J247" s="2" t="inlineStr">
        <is>
          <t>2027-05-01</t>
        </is>
      </c>
      <c r="K247" s="2" t="inlineStr">
        <is>
          <t>2027-10-16</t>
        </is>
      </c>
      <c r="L247" s="2" t="inlineStr">
        <is>
          <t>2027-11-30</t>
        </is>
      </c>
      <c r="M247" s="2" t="n">
        <v>213</v>
      </c>
      <c r="N247" s="2" t="inlineStr">
        <is>
          <t>Unquoted45calendar-day placeholder; origin, mill capacity and transport unresolved</t>
        </is>
      </c>
      <c r="O247" s="2" t="inlineStr">
        <is>
          <t>PROPOSED / NOT APPROVED</t>
        </is>
      </c>
    </row>
    <row r="248">
      <c r="A248" s="2" t="inlineStr">
        <is>
          <t>B09-FAB</t>
        </is>
      </c>
      <c r="B248" s="2" t="inlineStr">
        <is>
          <t>SCA-SC1</t>
        </is>
      </c>
      <c r="C248" s="2" t="inlineStr">
        <is>
          <t>Fit-up, welding and dimensional control</t>
        </is>
      </c>
      <c r="D248" s="2" t="n">
        <v>16</v>
      </c>
      <c r="E248" s="2" t="inlineStr">
        <is>
          <t>YARD</t>
        </is>
      </c>
      <c r="F248" s="2" t="inlineStr">
        <is>
          <t>B09-MAT;D-NDT;D-TPI;B07-FAB</t>
        </is>
      </c>
      <c r="G248" s="2" t="inlineStr">
        <is>
          <t>Fabrication line 1</t>
        </is>
      </c>
      <c r="H248" s="2" t="inlineStr">
        <is>
          <t>Fabrication</t>
        </is>
      </c>
      <c r="I248" s="2" t="inlineStr">
        <is>
          <t>2027-11-25</t>
        </is>
      </c>
      <c r="J248" s="2" t="inlineStr">
        <is>
          <t>2027-12-14</t>
        </is>
      </c>
      <c r="K248" s="2" t="inlineStr">
        <is>
          <t>2027-11-30</t>
        </is>
      </c>
      <c r="L248" s="2" t="inlineStr">
        <is>
          <t>2027-12-18</t>
        </is>
      </c>
      <c r="M248" s="2" t="n">
        <v>5</v>
      </c>
      <c r="N248" s="2" t="inlineStr">
        <is>
          <t>Assumed4MT per productive bay-day; includes aggregate steel, not validated shop productivity</t>
        </is>
      </c>
      <c r="O248" s="2" t="inlineStr">
        <is>
          <t>PROPOSED / NOT APPROVED</t>
        </is>
      </c>
    </row>
    <row r="249">
      <c r="A249" s="2" t="inlineStr">
        <is>
          <t>B09-NDT</t>
        </is>
      </c>
      <c r="B249" s="2" t="inlineStr">
        <is>
          <t>SCA-SC1</t>
        </is>
      </c>
      <c r="C249" s="2" t="inlineStr">
        <is>
          <t>NDT, repair allowance and dimensional release</t>
        </is>
      </c>
      <c r="D249" s="2" t="n">
        <v>6</v>
      </c>
      <c r="E249" s="2" t="inlineStr">
        <is>
          <t>YARD</t>
        </is>
      </c>
      <c r="F249" s="2" t="inlineStr">
        <is>
          <t>B09-FAB</t>
        </is>
      </c>
      <c r="G249" s="2" t="inlineStr"/>
      <c r="H249" s="2" t="inlineStr">
        <is>
          <t>QA</t>
        </is>
      </c>
      <c r="I249" s="2" t="inlineStr">
        <is>
          <t>2027-12-14</t>
        </is>
      </c>
      <c r="J249" s="2" t="inlineStr">
        <is>
          <t>2027-12-21</t>
        </is>
      </c>
      <c r="K249" s="2" t="inlineStr">
        <is>
          <t>2027-12-18</t>
        </is>
      </c>
      <c r="L249" s="2" t="inlineStr">
        <is>
          <t>2027-12-25</t>
        </is>
      </c>
      <c r="M249" s="2" t="n">
        <v>4</v>
      </c>
      <c r="N249" s="2" t="inlineStr">
        <is>
          <t>Proposed allowance; replace with verified inputs</t>
        </is>
      </c>
      <c r="O249" s="2" t="inlineStr">
        <is>
          <t>PROPOSED / NOT APPROVED</t>
        </is>
      </c>
    </row>
    <row r="250">
      <c r="A250" s="2" t="inlineStr">
        <is>
          <t>B09-COA</t>
        </is>
      </c>
      <c r="B250" s="2" t="inlineStr">
        <is>
          <t>SCA-SC1</t>
        </is>
      </c>
      <c r="C250" s="2" t="inlineStr">
        <is>
          <t>Surface preparation, coating and curing allowance</t>
        </is>
      </c>
      <c r="D250" s="2" t="n">
        <v>10</v>
      </c>
      <c r="E250" s="2" t="inlineStr">
        <is>
          <t>YARD</t>
        </is>
      </c>
      <c r="F250" s="2" t="inlineStr">
        <is>
          <t>B09-NDT;D-COAT;B08-COA</t>
        </is>
      </c>
      <c r="G250" s="2" t="inlineStr">
        <is>
          <t>Coating cell</t>
        </is>
      </c>
      <c r="H250" s="2" t="inlineStr">
        <is>
          <t>Coating</t>
        </is>
      </c>
      <c r="I250" s="2" t="inlineStr">
        <is>
          <t>2027-12-25</t>
        </is>
      </c>
      <c r="J250" s="2" t="inlineStr">
        <is>
          <t>2028-01-06</t>
        </is>
      </c>
      <c r="K250" s="2" t="inlineStr">
        <is>
          <t>2027-12-25</t>
        </is>
      </c>
      <c r="L250" s="2" t="inlineStr">
        <is>
          <t>2028-01-06</t>
        </is>
      </c>
      <c r="M250" s="2" t="n">
        <v>0</v>
      </c>
      <c r="N250" s="2" t="inlineStr">
        <is>
          <t>Proposed allowance; replace with verified inputs</t>
        </is>
      </c>
      <c r="O250" s="2" t="inlineStr">
        <is>
          <t>PROPOSED / NOT APPROVED</t>
        </is>
      </c>
    </row>
    <row r="251">
      <c r="A251" s="2" t="inlineStr">
        <is>
          <t>B09-REL</t>
        </is>
      </c>
      <c r="B251" s="2" t="inlineStr">
        <is>
          <t>SCA-SC1</t>
        </is>
      </c>
      <c r="C251" s="2" t="inlineStr">
        <is>
          <t>Trial fit, verified weight/COG and loadout release</t>
        </is>
      </c>
      <c r="D251" s="2" t="n">
        <v>5</v>
      </c>
      <c r="E251" s="2" t="inlineStr">
        <is>
          <t>YARD</t>
        </is>
      </c>
      <c r="F251" s="2" t="inlineStr">
        <is>
          <t>B09-COA</t>
        </is>
      </c>
      <c r="G251" s="2" t="inlineStr"/>
      <c r="H251" s="2" t="inlineStr">
        <is>
          <t>QA / Marine</t>
        </is>
      </c>
      <c r="I251" s="2" t="inlineStr">
        <is>
          <t>2028-01-06</t>
        </is>
      </c>
      <c r="J251" s="2" t="inlineStr">
        <is>
          <t>2028-01-12</t>
        </is>
      </c>
      <c r="K251" s="2" t="inlineStr">
        <is>
          <t>2028-01-14</t>
        </is>
      </c>
      <c r="L251" s="2" t="inlineStr">
        <is>
          <t>2028-01-20</t>
        </is>
      </c>
      <c r="M251" s="2" t="n">
        <v>8</v>
      </c>
      <c r="N251" s="2" t="inlineStr">
        <is>
          <t>Proposed allowance; replace with verified inputs</t>
        </is>
      </c>
      <c r="O251" s="2" t="inlineStr">
        <is>
          <t>PROPOSED / NOT APPROVED</t>
        </is>
      </c>
    </row>
    <row r="252">
      <c r="A252" s="2" t="inlineStr">
        <is>
          <t>B09-TRN</t>
        </is>
      </c>
      <c r="B252" s="2" t="inlineStr">
        <is>
          <t>SCA-SC1</t>
        </is>
      </c>
      <c r="C252" s="2" t="inlineStr">
        <is>
          <t>Loadout, transport and offshore receipt</t>
        </is>
      </c>
      <c r="D252" s="2" t="n">
        <v>3</v>
      </c>
      <c r="E252" s="2" t="inlineStr">
        <is>
          <t>OFF</t>
        </is>
      </c>
      <c r="F252" s="2" t="inlineStr">
        <is>
          <t>B09-REL;D-CARGO;B08-TRN</t>
        </is>
      </c>
      <c r="G252" s="2" t="inlineStr">
        <is>
          <t>Cargo spread</t>
        </is>
      </c>
      <c r="H252" s="2" t="inlineStr">
        <is>
          <t>Logistics</t>
        </is>
      </c>
      <c r="I252" s="2" t="inlineStr">
        <is>
          <t>2028-01-12</t>
        </is>
      </c>
      <c r="J252" s="2" t="inlineStr">
        <is>
          <t>2028-01-15</t>
        </is>
      </c>
      <c r="K252" s="2" t="inlineStr">
        <is>
          <t>2028-01-20</t>
        </is>
      </c>
      <c r="L252" s="2" t="inlineStr">
        <is>
          <t>2028-01-23</t>
        </is>
      </c>
      <c r="M252" s="2" t="n">
        <v>8</v>
      </c>
      <c r="N252" s="2" t="inlineStr">
        <is>
          <t>Proposed allowance; replace with verified inputs</t>
        </is>
      </c>
      <c r="O252" s="2" t="inlineStr">
        <is>
          <t>PROPOSED / NOT APPROVED</t>
        </is>
      </c>
    </row>
    <row r="253">
      <c r="A253" s="2" t="inlineStr">
        <is>
          <t>B09-PRE</t>
        </is>
      </c>
      <c r="B253" s="2" t="inlineStr">
        <is>
          <t>SCA-SC1</t>
        </is>
      </c>
      <c r="C253" s="2" t="inlineStr">
        <is>
          <t>PTW, access, SIMOPS and work-front readiness</t>
        </is>
      </c>
      <c r="D253" s="2" t="n">
        <v>3</v>
      </c>
      <c r="E253" s="2" t="inlineStr">
        <is>
          <t>OFF</t>
        </is>
      </c>
      <c r="F253" s="2" t="inlineStr">
        <is>
          <t>B09-TRN;D-SCAF;D-PPE</t>
        </is>
      </c>
      <c r="G253" s="2" t="inlineStr"/>
      <c r="H253" s="2" t="inlineStr">
        <is>
          <t>Construction</t>
        </is>
      </c>
      <c r="I253" s="2" t="inlineStr">
        <is>
          <t>2028-01-15</t>
        </is>
      </c>
      <c r="J253" s="2" t="inlineStr">
        <is>
          <t>2028-01-18</t>
        </is>
      </c>
      <c r="K253" s="2" t="inlineStr">
        <is>
          <t>2028-02-04</t>
        </is>
      </c>
      <c r="L253" s="2" t="inlineStr">
        <is>
          <t>2028-02-07</t>
        </is>
      </c>
      <c r="M253" s="2" t="n">
        <v>20</v>
      </c>
      <c r="N253" s="2" t="inlineStr">
        <is>
          <t>Proposed allowance; replace with verified inputs</t>
        </is>
      </c>
      <c r="O253" s="2" t="inlineStr">
        <is>
          <t>PROPOSED / NOT APPROVED</t>
        </is>
      </c>
    </row>
    <row r="254">
      <c r="A254" s="2" t="inlineStr">
        <is>
          <t>B09-STR</t>
        </is>
      </c>
      <c r="B254" s="2" t="inlineStr">
        <is>
          <t>SCA-SC1</t>
        </is>
      </c>
      <c r="C254" s="2" t="inlineStr">
        <is>
          <t>Landing/platform pre-install strengthening</t>
        </is>
      </c>
      <c r="D254" s="2" t="n">
        <v>7</v>
      </c>
      <c r="E254" s="2" t="inlineStr">
        <is>
          <t>OFF</t>
        </is>
      </c>
      <c r="F254" s="2" t="inlineStr">
        <is>
          <t>B09-PRE;B06-INS</t>
        </is>
      </c>
      <c r="G254" s="2" t="inlineStr">
        <is>
          <t>Strength crew 3</t>
        </is>
      </c>
      <c r="H254" s="2" t="inlineStr">
        <is>
          <t>Construction</t>
        </is>
      </c>
      <c r="I254" s="2" t="inlineStr">
        <is>
          <t>2028-01-18</t>
        </is>
      </c>
      <c r="J254" s="2" t="inlineStr">
        <is>
          <t>2028-01-25</t>
        </is>
      </c>
      <c r="K254" s="2" t="inlineStr">
        <is>
          <t>2028-02-07</t>
        </is>
      </c>
      <c r="L254" s="2" t="inlineStr">
        <is>
          <t>2028-02-14</t>
        </is>
      </c>
      <c r="M254" s="2" t="n">
        <v>20</v>
      </c>
      <c r="N254" s="2" t="inlineStr">
        <is>
          <t>Proposed4MT/crew-day; actual weld/access quantities not validated</t>
        </is>
      </c>
      <c r="O254" s="2" t="inlineStr">
        <is>
          <t>PROPOSED / NOT APPROVED</t>
        </is>
      </c>
    </row>
    <row r="255">
      <c r="A255" s="2" t="inlineStr">
        <is>
          <t>B09-INS</t>
        </is>
      </c>
      <c r="B255" s="2" t="inlineStr">
        <is>
          <t>SCA-SC1</t>
        </is>
      </c>
      <c r="C255" s="2" t="inlineStr">
        <is>
          <t>Bridge strengthening and replacement items</t>
        </is>
      </c>
      <c r="D255" s="2" t="n">
        <v>9</v>
      </c>
      <c r="E255" s="2" t="inlineStr">
        <is>
          <t>OFF</t>
        </is>
      </c>
      <c r="F255" s="2" t="inlineStr">
        <is>
          <t>B09-STR;D-MAR;D-BEAR;D-GRAT</t>
        </is>
      </c>
      <c r="G255" s="2" t="inlineStr">
        <is>
          <t>Strength crew 3</t>
        </is>
      </c>
      <c r="H255" s="2" t="inlineStr">
        <is>
          <t>Marine / Construction</t>
        </is>
      </c>
      <c r="I255" s="2" t="inlineStr">
        <is>
          <t>2028-01-25</t>
        </is>
      </c>
      <c r="J255" s="2" t="inlineStr">
        <is>
          <t>2028-02-03</t>
        </is>
      </c>
      <c r="K255" s="2" t="inlineStr">
        <is>
          <t>2028-02-14</t>
        </is>
      </c>
      <c r="L255" s="2" t="inlineStr">
        <is>
          <t>2028-02-23</t>
        </is>
      </c>
      <c r="M255" s="2" t="n">
        <v>20</v>
      </c>
      <c r="N255" s="2" t="inlineStr">
        <is>
          <t>Aggregate planning allowance; engineered lifts and temporary stability required</t>
        </is>
      </c>
      <c r="O255" s="2" t="inlineStr">
        <is>
          <t>PROPOSED / NOT APPROVED</t>
        </is>
      </c>
    </row>
    <row r="256">
      <c r="A256" s="2" t="inlineStr">
        <is>
          <t>B09-SRV</t>
        </is>
      </c>
      <c r="B256" s="2" t="inlineStr">
        <is>
          <t>SCA-SC1</t>
        </is>
      </c>
      <c r="C256" s="2" t="inlineStr">
        <is>
          <t>Services transfer, test and accepted reinstatement</t>
        </is>
      </c>
      <c r="D256" s="2" t="n">
        <v>5</v>
      </c>
      <c r="E256" s="2" t="inlineStr">
        <is>
          <t>OFF</t>
        </is>
      </c>
      <c r="F256" s="2" t="inlineStr">
        <is>
          <t>B09-INS;D-PIPE;D-ELEC;D-INST;D-TRAY;B08-SRV</t>
        </is>
      </c>
      <c r="G256" s="2" t="inlineStr">
        <is>
          <t>Service transfer team</t>
        </is>
      </c>
      <c r="H256" s="2" t="inlineStr">
        <is>
          <t>Commissioning</t>
        </is>
      </c>
      <c r="I256" s="2" t="inlineStr">
        <is>
          <t>2028-02-03</t>
        </is>
      </c>
      <c r="J256" s="2" t="inlineStr">
        <is>
          <t>2028-02-08</t>
        </is>
      </c>
      <c r="K256" s="2" t="inlineStr">
        <is>
          <t>2028-02-23</t>
        </is>
      </c>
      <c r="L256" s="2" t="inlineStr">
        <is>
          <t>2028-02-28</t>
        </is>
      </c>
      <c r="M256" s="2" t="n">
        <v>20</v>
      </c>
      <c r="N256" s="2" t="inlineStr">
        <is>
          <t>Proposed allowance; replace with verified inputs</t>
        </is>
      </c>
      <c r="O256" s="2" t="inlineStr">
        <is>
          <t>PROPOSED / NOT APPROVED</t>
        </is>
      </c>
    </row>
    <row r="257">
      <c r="A257" s="2" t="inlineStr">
        <is>
          <t>B09-DEM</t>
        </is>
      </c>
      <c r="B257" s="2" t="inlineStr">
        <is>
          <t>SCA-SC1</t>
        </is>
      </c>
      <c r="C257" s="2" t="inlineStr">
        <is>
          <t>Engineered demolition/removal and scrap backload</t>
        </is>
      </c>
      <c r="D257" s="2" t="n">
        <v>2</v>
      </c>
      <c r="E257" s="2" t="inlineStr">
        <is>
          <t>OFF</t>
        </is>
      </c>
      <c r="F257" s="2" t="inlineStr">
        <is>
          <t>B09-SRV;B08-DEM</t>
        </is>
      </c>
      <c r="G257" s="2" t="inlineStr">
        <is>
          <t>Removal team</t>
        </is>
      </c>
      <c r="H257" s="2" t="inlineStr">
        <is>
          <t>Construction</t>
        </is>
      </c>
      <c r="I257" s="2" t="inlineStr">
        <is>
          <t>2028-02-08</t>
        </is>
      </c>
      <c r="J257" s="2" t="inlineStr">
        <is>
          <t>2028-02-10</t>
        </is>
      </c>
      <c r="K257" s="2" t="inlineStr">
        <is>
          <t>2028-03-02</t>
        </is>
      </c>
      <c r="L257" s="2" t="inlineStr">
        <is>
          <t>2028-03-04</t>
        </is>
      </c>
      <c r="M257" s="2" t="n">
        <v>23</v>
      </c>
      <c r="N257" s="2" t="inlineStr">
        <is>
          <t>Proposed15MT/day allowance; BHS sequence after safe new service transfer, subject to approved method</t>
        </is>
      </c>
      <c r="O257" s="2" t="inlineStr">
        <is>
          <t>PROPOSED / NOT APPROVED</t>
        </is>
      </c>
    </row>
    <row r="258">
      <c r="A258" s="2" t="inlineStr">
        <is>
          <t>B09-PUN</t>
        </is>
      </c>
      <c r="B258" s="2" t="inlineStr">
        <is>
          <t>SCA-SC1</t>
        </is>
      </c>
      <c r="C258" s="2" t="inlineStr">
        <is>
          <t>Inspection, touch-up and offshore punch closure</t>
        </is>
      </c>
      <c r="D258" s="2" t="n">
        <v>3</v>
      </c>
      <c r="E258" s="2" t="inlineStr">
        <is>
          <t>OFF</t>
        </is>
      </c>
      <c r="F258" s="2" t="inlineStr">
        <is>
          <t>B09-DEM</t>
        </is>
      </c>
      <c r="G258" s="2" t="inlineStr"/>
      <c r="H258" s="2" t="inlineStr">
        <is>
          <t>QA / Commissioning</t>
        </is>
      </c>
      <c r="I258" s="2" t="inlineStr">
        <is>
          <t>2028-02-10</t>
        </is>
      </c>
      <c r="J258" s="2" t="inlineStr">
        <is>
          <t>2028-02-13</t>
        </is>
      </c>
      <c r="K258" s="2" t="inlineStr">
        <is>
          <t>2028-03-06</t>
        </is>
      </c>
      <c r="L258" s="2" t="inlineStr">
        <is>
          <t>2028-03-09</t>
        </is>
      </c>
      <c r="M258" s="2" t="n">
        <v>25</v>
      </c>
      <c r="N258" s="2" t="inlineStr">
        <is>
          <t>Proposed allowance; replace with verified inputs</t>
        </is>
      </c>
      <c r="O258" s="2" t="inlineStr">
        <is>
          <t>PROPOSED / NOT APPROVED</t>
        </is>
      </c>
    </row>
    <row r="259">
      <c r="A259" s="2" t="inlineStr">
        <is>
          <t>B09-DOS</t>
        </is>
      </c>
      <c r="B259" s="2" t="inlineStr">
        <is>
          <t>SCA-SC1</t>
        </is>
      </c>
      <c r="C259" s="2" t="inlineStr">
        <is>
          <t>As-built, QA and turnover dossier acceptance</t>
        </is>
      </c>
      <c r="D259" s="2" t="n">
        <v>10</v>
      </c>
      <c r="E259" s="2" t="inlineStr">
        <is>
          <t>OFFICE</t>
        </is>
      </c>
      <c r="F259" s="2" t="inlineStr">
        <is>
          <t>B09-PUN</t>
        </is>
      </c>
      <c r="G259" s="2" t="inlineStr"/>
      <c r="H259" s="2" t="inlineStr">
        <is>
          <t>Document Control</t>
        </is>
      </c>
      <c r="I259" s="2" t="inlineStr">
        <is>
          <t>2028-02-14</t>
        </is>
      </c>
      <c r="J259" s="2" t="inlineStr">
        <is>
          <t>2028-02-26</t>
        </is>
      </c>
      <c r="K259" s="2" t="inlineStr">
        <is>
          <t>2028-03-09</t>
        </is>
      </c>
      <c r="L259" s="2" t="inlineStr">
        <is>
          <t>2028-03-23</t>
        </is>
      </c>
      <c r="M259" s="2" t="n">
        <v>24</v>
      </c>
      <c r="N259" s="2" t="inlineStr">
        <is>
          <t>Proposed allowance; replace with verified inputs</t>
        </is>
      </c>
      <c r="O259" s="2" t="inlineStr">
        <is>
          <t>PROPOSED / NOT APPROVED</t>
        </is>
      </c>
    </row>
    <row r="260">
      <c r="A260" s="2" t="inlineStr">
        <is>
          <t>B10-BAS</t>
        </is>
      </c>
      <c r="B260" s="2" t="inlineStr">
        <is>
          <t>SCA-SCF</t>
        </is>
      </c>
      <c r="C260" s="2" t="inlineStr">
        <is>
          <t>Design basis, loads and interfaces</t>
        </is>
      </c>
      <c r="D260" s="2" t="n">
        <v>5</v>
      </c>
      <c r="E260" s="2" t="inlineStr">
        <is>
          <t>OFFICE</t>
        </is>
      </c>
      <c r="F260" s="2" t="inlineStr">
        <is>
          <t>G05;D-DES</t>
        </is>
      </c>
      <c r="G260" s="2" t="inlineStr"/>
      <c r="H260" s="2" t="inlineStr">
        <is>
          <t>Engineering</t>
        </is>
      </c>
      <c r="I260" s="2" t="inlineStr">
        <is>
          <t>2026-12-28</t>
        </is>
      </c>
      <c r="J260" s="2" t="inlineStr">
        <is>
          <t>2027-01-02</t>
        </is>
      </c>
      <c r="K260" s="2" t="inlineStr">
        <is>
          <t>2027-07-22</t>
        </is>
      </c>
      <c r="L260" s="2" t="inlineStr">
        <is>
          <t>2027-07-29</t>
        </is>
      </c>
      <c r="M260" s="2" t="n">
        <v>206</v>
      </c>
      <c r="N260" s="2" t="inlineStr">
        <is>
          <t>Proposed allowance; replace with verified inputs</t>
        </is>
      </c>
      <c r="O260" s="2" t="inlineStr">
        <is>
          <t>PROPOSED / NOT APPROVED</t>
        </is>
      </c>
    </row>
    <row r="261">
      <c r="A261" s="2" t="inlineStr">
        <is>
          <t>B10-BRV</t>
        </is>
      </c>
      <c r="B261" s="2" t="inlineStr">
        <is>
          <t>SCA-SCF</t>
        </is>
      </c>
      <c r="C261" s="2" t="inlineStr">
        <is>
          <t>Basis review and comment closure allowance</t>
        </is>
      </c>
      <c r="D261" s="2" t="n">
        <v>10</v>
      </c>
      <c r="E261" s="2" t="inlineStr">
        <is>
          <t>OFFICE</t>
        </is>
      </c>
      <c r="F261" s="2" t="inlineStr">
        <is>
          <t>B10-BAS</t>
        </is>
      </c>
      <c r="G261" s="2" t="inlineStr"/>
      <c r="H261" s="2" t="inlineStr">
        <is>
          <t>Engineering</t>
        </is>
      </c>
      <c r="I261" s="2" t="inlineStr">
        <is>
          <t>2027-01-04</t>
        </is>
      </c>
      <c r="J261" s="2" t="inlineStr">
        <is>
          <t>2027-01-16</t>
        </is>
      </c>
      <c r="K261" s="2" t="inlineStr">
        <is>
          <t>2027-07-29</t>
        </is>
      </c>
      <c r="L261" s="2" t="inlineStr">
        <is>
          <t>2027-08-12</t>
        </is>
      </c>
      <c r="M261" s="2" t="n">
        <v>206</v>
      </c>
      <c r="N261" s="2" t="inlineStr">
        <is>
          <t>Proposed allowance; replace with verified inputs</t>
        </is>
      </c>
      <c r="O261" s="2" t="inlineStr">
        <is>
          <t>PROPOSED / NOT APPROVED</t>
        </is>
      </c>
    </row>
    <row r="262">
      <c r="A262" s="2" t="inlineStr">
        <is>
          <t>B10-ANA</t>
        </is>
      </c>
      <c r="B262" s="2" t="inlineStr">
        <is>
          <t>SCA-SCF</t>
        </is>
      </c>
      <c r="C262" s="2" t="inlineStr">
        <is>
          <t>Bridge/platform and preservice analysis preparation</t>
        </is>
      </c>
      <c r="D262" s="2" t="n">
        <v>12</v>
      </c>
      <c r="E262" s="2" t="inlineStr">
        <is>
          <t>OFFICE</t>
        </is>
      </c>
      <c r="F262" s="2" t="inlineStr">
        <is>
          <t>B10-BRV</t>
        </is>
      </c>
      <c r="G262" s="2" t="inlineStr"/>
      <c r="H262" s="2" t="inlineStr">
        <is>
          <t>Structural</t>
        </is>
      </c>
      <c r="I262" s="2" t="inlineStr">
        <is>
          <t>2027-01-18</t>
        </is>
      </c>
      <c r="J262" s="2" t="inlineStr">
        <is>
          <t>2027-02-03</t>
        </is>
      </c>
      <c r="K262" s="2" t="inlineStr">
        <is>
          <t>2027-08-12</t>
        </is>
      </c>
      <c r="L262" s="2" t="inlineStr">
        <is>
          <t>2027-08-30</t>
        </is>
      </c>
      <c r="M262" s="2" t="n">
        <v>206</v>
      </c>
      <c r="N262" s="2" t="inlineStr">
        <is>
          <t>Proposed engineering effort window; native analysis/check evidence not supplied</t>
        </is>
      </c>
      <c r="O262" s="2" t="inlineStr">
        <is>
          <t>PROPOSED / NOT APPROVED</t>
        </is>
      </c>
    </row>
    <row r="263">
      <c r="A263" s="2" t="inlineStr">
        <is>
          <t>B10-ARV</t>
        </is>
      </c>
      <c r="B263" s="2" t="inlineStr">
        <is>
          <t>SCA-SCF</t>
        </is>
      </c>
      <c r="C263" s="2" t="inlineStr">
        <is>
          <t>Analysis review and comment closure allowance</t>
        </is>
      </c>
      <c r="D263" s="2" t="n">
        <v>10</v>
      </c>
      <c r="E263" s="2" t="inlineStr">
        <is>
          <t>OFFICE</t>
        </is>
      </c>
      <c r="F263" s="2" t="inlineStr">
        <is>
          <t>B10-ANA</t>
        </is>
      </c>
      <c r="G263" s="2" t="inlineStr"/>
      <c r="H263" s="2" t="inlineStr">
        <is>
          <t>Engineering</t>
        </is>
      </c>
      <c r="I263" s="2" t="inlineStr">
        <is>
          <t>2027-02-03</t>
        </is>
      </c>
      <c r="J263" s="2" t="inlineStr">
        <is>
          <t>2027-02-17</t>
        </is>
      </c>
      <c r="K263" s="2" t="inlineStr">
        <is>
          <t>2027-08-30</t>
        </is>
      </c>
      <c r="L263" s="2" t="inlineStr">
        <is>
          <t>2027-09-13</t>
        </is>
      </c>
      <c r="M263" s="2" t="n">
        <v>208</v>
      </c>
      <c r="N263" s="2" t="inlineStr">
        <is>
          <t>Proposed allowance; replace with verified inputs</t>
        </is>
      </c>
      <c r="O263" s="2" t="inlineStr">
        <is>
          <t>PROPOSED / NOT APPROVED</t>
        </is>
      </c>
    </row>
    <row r="264">
      <c r="A264" s="2" t="inlineStr">
        <is>
          <t>B10-DET</t>
        </is>
      </c>
      <c r="B264" s="2" t="inlineStr">
        <is>
          <t>SCA-SCF</t>
        </is>
      </c>
      <c r="C264" s="2" t="inlineStr">
        <is>
          <t>Connection, bearing, landing and workpack detailing</t>
        </is>
      </c>
      <c r="D264" s="2" t="n">
        <v>10</v>
      </c>
      <c r="E264" s="2" t="inlineStr">
        <is>
          <t>OFFICE</t>
        </is>
      </c>
      <c r="F264" s="2" t="inlineStr">
        <is>
          <t>B10-ARV</t>
        </is>
      </c>
      <c r="G264" s="2" t="inlineStr"/>
      <c r="H264" s="2" t="inlineStr">
        <is>
          <t>Structural</t>
        </is>
      </c>
      <c r="I264" s="2" t="inlineStr">
        <is>
          <t>2027-02-17</t>
        </is>
      </c>
      <c r="J264" s="2" t="inlineStr">
        <is>
          <t>2027-03-03</t>
        </is>
      </c>
      <c r="K264" s="2" t="inlineStr">
        <is>
          <t>2027-09-13</t>
        </is>
      </c>
      <c r="L264" s="2" t="inlineStr">
        <is>
          <t>2027-09-27</t>
        </is>
      </c>
      <c r="M264" s="2" t="n">
        <v>208</v>
      </c>
      <c r="N264" s="2" t="inlineStr">
        <is>
          <t>Proposed allowance; replace with verified inputs</t>
        </is>
      </c>
      <c r="O264" s="2" t="inlineStr">
        <is>
          <t>PROPOSED / NOT APPROVED</t>
        </is>
      </c>
    </row>
    <row r="265">
      <c r="A265" s="2" t="inlineStr">
        <is>
          <t>B10-DRV</t>
        </is>
      </c>
      <c r="B265" s="2" t="inlineStr">
        <is>
          <t>SCA-SCF</t>
        </is>
      </c>
      <c r="C265" s="2" t="inlineStr">
        <is>
          <t>Drawing review and comment closure allowance</t>
        </is>
      </c>
      <c r="D265" s="2" t="n">
        <v>10</v>
      </c>
      <c r="E265" s="2" t="inlineStr">
        <is>
          <t>OFFICE</t>
        </is>
      </c>
      <c r="F265" s="2" t="inlineStr">
        <is>
          <t>B10-DET</t>
        </is>
      </c>
      <c r="G265" s="2" t="inlineStr"/>
      <c r="H265" s="2" t="inlineStr">
        <is>
          <t>Engineering</t>
        </is>
      </c>
      <c r="I265" s="2" t="inlineStr">
        <is>
          <t>2027-03-03</t>
        </is>
      </c>
      <c r="J265" s="2" t="inlineStr">
        <is>
          <t>2027-03-17</t>
        </is>
      </c>
      <c r="K265" s="2" t="inlineStr">
        <is>
          <t>2027-09-27</t>
        </is>
      </c>
      <c r="L265" s="2" t="inlineStr">
        <is>
          <t>2027-10-11</t>
        </is>
      </c>
      <c r="M265" s="2" t="n">
        <v>208</v>
      </c>
      <c r="N265" s="2" t="inlineStr">
        <is>
          <t>Proposed allowance; replace with verified inputs</t>
        </is>
      </c>
      <c r="O265" s="2" t="inlineStr">
        <is>
          <t>PROPOSED / NOT APPROVED</t>
        </is>
      </c>
    </row>
    <row r="266">
      <c r="A266" s="2" t="inlineStr">
        <is>
          <t>B10-AFC</t>
        </is>
      </c>
      <c r="B266" s="2" t="inlineStr">
        <is>
          <t>SCA-SCF</t>
        </is>
      </c>
      <c r="C266" s="2" t="inlineStr">
        <is>
          <t>AFC design/MTO independent check and release gate</t>
        </is>
      </c>
      <c r="D266" s="2" t="n">
        <v>0</v>
      </c>
      <c r="E266" s="2" t="inlineStr">
        <is>
          <t>ALL</t>
        </is>
      </c>
      <c r="F266" s="2" t="inlineStr">
        <is>
          <t>B10-DRV</t>
        </is>
      </c>
      <c r="G266" s="2" t="inlineStr"/>
      <c r="H266" s="2" t="inlineStr">
        <is>
          <t>Engineering</t>
        </is>
      </c>
      <c r="I266" s="2" t="inlineStr">
        <is>
          <t>2027-03-17</t>
        </is>
      </c>
      <c r="J266" s="2" t="inlineStr">
        <is>
          <t>2027-03-17</t>
        </is>
      </c>
      <c r="K266" s="2" t="inlineStr">
        <is>
          <t>2027-10-11</t>
        </is>
      </c>
      <c r="L266" s="2" t="inlineStr">
        <is>
          <t>2027-10-11</t>
        </is>
      </c>
      <c r="M266" s="2" t="n">
        <v>208</v>
      </c>
      <c r="N266" s="2" t="inlineStr">
        <is>
          <t>Gate; actual signed release not established</t>
        </is>
      </c>
      <c r="O266" s="2" t="inlineStr">
        <is>
          <t>PROPOSED / NOT APPROVED</t>
        </is>
      </c>
    </row>
    <row r="267">
      <c r="A267" s="2" t="inlineStr">
        <is>
          <t>B10-RFQ</t>
        </is>
      </c>
      <c r="B267" s="2" t="inlineStr">
        <is>
          <t>SCA-SCF</t>
        </is>
      </c>
      <c r="C267" s="2" t="inlineStr">
        <is>
          <t>Bridge steel RFQ, evaluation and PS preparation</t>
        </is>
      </c>
      <c r="D267" s="2" t="n">
        <v>7</v>
      </c>
      <c r="E267" s="2" t="inlineStr">
        <is>
          <t>OFFICE</t>
        </is>
      </c>
      <c r="F267" s="2" t="inlineStr">
        <is>
          <t>B10-BRV</t>
        </is>
      </c>
      <c r="G267" s="2" t="inlineStr"/>
      <c r="H267" s="2" t="inlineStr">
        <is>
          <t>Procurement</t>
        </is>
      </c>
      <c r="I267" s="2" t="inlineStr">
        <is>
          <t>2027-01-18</t>
        </is>
      </c>
      <c r="J267" s="2" t="inlineStr">
        <is>
          <t>2027-01-27</t>
        </is>
      </c>
      <c r="K267" s="2" t="inlineStr">
        <is>
          <t>2027-09-16</t>
        </is>
      </c>
      <c r="L267" s="2" t="inlineStr">
        <is>
          <t>2027-09-27</t>
        </is>
      </c>
      <c r="M267" s="2" t="n">
        <v>241</v>
      </c>
      <c r="N267" s="2" t="inlineStr">
        <is>
          <t>Proposed allowance; replace with verified inputs</t>
        </is>
      </c>
      <c r="O267" s="2" t="inlineStr">
        <is>
          <t>PROPOSED / NOT APPROVED</t>
        </is>
      </c>
    </row>
    <row r="268">
      <c r="A268" s="2" t="inlineStr">
        <is>
          <t>B10-PRV</t>
        </is>
      </c>
      <c r="B268" s="2" t="inlineStr">
        <is>
          <t>SCA-SCF</t>
        </is>
      </c>
      <c r="C268" s="2" t="inlineStr">
        <is>
          <t>Bridge steel PS review allowance</t>
        </is>
      </c>
      <c r="D268" s="2" t="n">
        <v>10</v>
      </c>
      <c r="E268" s="2" t="inlineStr">
        <is>
          <t>OFFICE</t>
        </is>
      </c>
      <c r="F268" s="2" t="inlineStr">
        <is>
          <t>B10-RFQ</t>
        </is>
      </c>
      <c r="G268" s="2" t="inlineStr"/>
      <c r="H268" s="2" t="inlineStr">
        <is>
          <t>Procurement</t>
        </is>
      </c>
      <c r="I268" s="2" t="inlineStr">
        <is>
          <t>2027-01-27</t>
        </is>
      </c>
      <c r="J268" s="2" t="inlineStr">
        <is>
          <t>2027-02-10</t>
        </is>
      </c>
      <c r="K268" s="2" t="inlineStr">
        <is>
          <t>2027-09-27</t>
        </is>
      </c>
      <c r="L268" s="2" t="inlineStr">
        <is>
          <t>2027-10-11</t>
        </is>
      </c>
      <c r="M268" s="2" t="n">
        <v>243</v>
      </c>
      <c r="N268" s="2" t="inlineStr">
        <is>
          <t>Proposed allowance; replace with verified inputs</t>
        </is>
      </c>
      <c r="O268" s="2" t="inlineStr">
        <is>
          <t>PROPOSED / NOT APPROVED</t>
        </is>
      </c>
    </row>
    <row r="269">
      <c r="A269" s="2" t="inlineStr">
        <is>
          <t>B10-PO</t>
        </is>
      </c>
      <c r="B269" s="2" t="inlineStr">
        <is>
          <t>SCA-SCF</t>
        </is>
      </c>
      <c r="C269" s="2" t="inlineStr">
        <is>
          <t>Bridge steel compliant PO release gate</t>
        </is>
      </c>
      <c r="D269" s="2" t="n">
        <v>0</v>
      </c>
      <c r="E269" s="2" t="inlineStr">
        <is>
          <t>ALL</t>
        </is>
      </c>
      <c r="F269" s="2" t="inlineStr">
        <is>
          <t>B10-AFC;B10-PRV</t>
        </is>
      </c>
      <c r="G269" s="2" t="inlineStr"/>
      <c r="H269" s="2" t="inlineStr">
        <is>
          <t>Procurement</t>
        </is>
      </c>
      <c r="I269" s="2" t="inlineStr">
        <is>
          <t>2027-03-17</t>
        </is>
      </c>
      <c r="J269" s="2" t="inlineStr">
        <is>
          <t>2027-03-17</t>
        </is>
      </c>
      <c r="K269" s="2" t="inlineStr">
        <is>
          <t>2027-10-11</t>
        </is>
      </c>
      <c r="L269" s="2" t="inlineStr">
        <is>
          <t>2027-10-11</t>
        </is>
      </c>
      <c r="M269" s="2" t="n">
        <v>208</v>
      </c>
      <c r="N269" s="2" t="inlineStr">
        <is>
          <t>No at-risk purchase assumed; amended domestic-origin evidence required</t>
        </is>
      </c>
      <c r="O269" s="2" t="inlineStr">
        <is>
          <t>PROPOSED / NOT APPROVED</t>
        </is>
      </c>
    </row>
    <row r="270">
      <c r="A270" s="2" t="inlineStr">
        <is>
          <t>B10-MAT</t>
        </is>
      </c>
      <c r="B270" s="2" t="inlineStr">
        <is>
          <t>SCA-SCF</t>
        </is>
      </c>
      <c r="C270" s="2" t="inlineStr">
        <is>
          <t>Mill production, inspection and steel delivery</t>
        </is>
      </c>
      <c r="D270" s="2" t="n">
        <v>45</v>
      </c>
      <c r="E270" s="2" t="inlineStr">
        <is>
          <t>ALL</t>
        </is>
      </c>
      <c r="F270" s="2" t="inlineStr">
        <is>
          <t>B10-PO</t>
        </is>
      </c>
      <c r="G270" s="2" t="inlineStr"/>
      <c r="H270" s="2" t="inlineStr">
        <is>
          <t>Procurement</t>
        </is>
      </c>
      <c r="I270" s="2" t="inlineStr">
        <is>
          <t>2027-03-17</t>
        </is>
      </c>
      <c r="J270" s="2" t="inlineStr">
        <is>
          <t>2027-05-01</t>
        </is>
      </c>
      <c r="K270" s="2" t="inlineStr">
        <is>
          <t>2027-10-11</t>
        </is>
      </c>
      <c r="L270" s="2" t="inlineStr">
        <is>
          <t>2027-11-25</t>
        </is>
      </c>
      <c r="M270" s="2" t="n">
        <v>208</v>
      </c>
      <c r="N270" s="2" t="inlineStr">
        <is>
          <t>Unquoted45calendar-day placeholder; origin, mill capacity and transport unresolved</t>
        </is>
      </c>
      <c r="O270" s="2" t="inlineStr">
        <is>
          <t>PROPOSED / NOT APPROVED</t>
        </is>
      </c>
    </row>
    <row r="271">
      <c r="A271" s="2" t="inlineStr">
        <is>
          <t>B10-FAB</t>
        </is>
      </c>
      <c r="B271" s="2" t="inlineStr">
        <is>
          <t>SCA-SCF</t>
        </is>
      </c>
      <c r="C271" s="2" t="inlineStr">
        <is>
          <t>Fit-up, welding and dimensional control</t>
        </is>
      </c>
      <c r="D271" s="2" t="n">
        <v>30</v>
      </c>
      <c r="E271" s="2" t="inlineStr">
        <is>
          <t>YARD</t>
        </is>
      </c>
      <c r="F271" s="2" t="inlineStr">
        <is>
          <t>B10-MAT;D-NDT;D-TPI;B08-FAB</t>
        </is>
      </c>
      <c r="G271" s="2" t="inlineStr">
        <is>
          <t>Fabrication line 2</t>
        </is>
      </c>
      <c r="H271" s="2" t="inlineStr">
        <is>
          <t>Fabrication</t>
        </is>
      </c>
      <c r="I271" s="2" t="inlineStr">
        <is>
          <t>2027-08-18</t>
        </is>
      </c>
      <c r="J271" s="2" t="inlineStr">
        <is>
          <t>2027-09-22</t>
        </is>
      </c>
      <c r="K271" s="2" t="inlineStr">
        <is>
          <t>2027-11-25</t>
        </is>
      </c>
      <c r="L271" s="2" t="inlineStr">
        <is>
          <t>2027-12-30</t>
        </is>
      </c>
      <c r="M271" s="2" t="n">
        <v>99</v>
      </c>
      <c r="N271" s="2" t="inlineStr">
        <is>
          <t>Assumed4MT per productive bay-day; includes aggregate steel, not validated shop productivity</t>
        </is>
      </c>
      <c r="O271" s="2" t="inlineStr">
        <is>
          <t>PROPOSED / NOT APPROVED</t>
        </is>
      </c>
    </row>
    <row r="272">
      <c r="A272" s="2" t="inlineStr">
        <is>
          <t>B10-NDT</t>
        </is>
      </c>
      <c r="B272" s="2" t="inlineStr">
        <is>
          <t>SCA-SCF</t>
        </is>
      </c>
      <c r="C272" s="2" t="inlineStr">
        <is>
          <t>NDT, repair allowance and dimensional release</t>
        </is>
      </c>
      <c r="D272" s="2" t="n">
        <v>6</v>
      </c>
      <c r="E272" s="2" t="inlineStr">
        <is>
          <t>YARD</t>
        </is>
      </c>
      <c r="F272" s="2" t="inlineStr">
        <is>
          <t>B10-FAB</t>
        </is>
      </c>
      <c r="G272" s="2" t="inlineStr"/>
      <c r="H272" s="2" t="inlineStr">
        <is>
          <t>QA</t>
        </is>
      </c>
      <c r="I272" s="2" t="inlineStr">
        <is>
          <t>2027-09-22</t>
        </is>
      </c>
      <c r="J272" s="2" t="inlineStr">
        <is>
          <t>2027-09-29</t>
        </is>
      </c>
      <c r="K272" s="2" t="inlineStr">
        <is>
          <t>2027-12-30</t>
        </is>
      </c>
      <c r="L272" s="2" t="inlineStr">
        <is>
          <t>2028-01-06</t>
        </is>
      </c>
      <c r="M272" s="2" t="n">
        <v>99</v>
      </c>
      <c r="N272" s="2" t="inlineStr">
        <is>
          <t>Proposed allowance; replace with verified inputs</t>
        </is>
      </c>
      <c r="O272" s="2" t="inlineStr">
        <is>
          <t>PROPOSED / NOT APPROVED</t>
        </is>
      </c>
    </row>
    <row r="273">
      <c r="A273" s="2" t="inlineStr">
        <is>
          <t>B10-COA</t>
        </is>
      </c>
      <c r="B273" s="2" t="inlineStr">
        <is>
          <t>SCA-SCF</t>
        </is>
      </c>
      <c r="C273" s="2" t="inlineStr">
        <is>
          <t>Surface preparation, coating and curing allowance</t>
        </is>
      </c>
      <c r="D273" s="2" t="n">
        <v>10</v>
      </c>
      <c r="E273" s="2" t="inlineStr">
        <is>
          <t>YARD</t>
        </is>
      </c>
      <c r="F273" s="2" t="inlineStr">
        <is>
          <t>B10-NDT;D-COAT;B09-COA</t>
        </is>
      </c>
      <c r="G273" s="2" t="inlineStr">
        <is>
          <t>Coating cell</t>
        </is>
      </c>
      <c r="H273" s="2" t="inlineStr">
        <is>
          <t>Coating</t>
        </is>
      </c>
      <c r="I273" s="2" t="inlineStr">
        <is>
          <t>2028-01-06</t>
        </is>
      </c>
      <c r="J273" s="2" t="inlineStr">
        <is>
          <t>2028-01-18</t>
        </is>
      </c>
      <c r="K273" s="2" t="inlineStr">
        <is>
          <t>2028-01-06</t>
        </is>
      </c>
      <c r="L273" s="2" t="inlineStr">
        <is>
          <t>2028-01-18</t>
        </is>
      </c>
      <c r="M273" s="2" t="n">
        <v>0</v>
      </c>
      <c r="N273" s="2" t="inlineStr">
        <is>
          <t>Proposed allowance; replace with verified inputs</t>
        </is>
      </c>
      <c r="O273" s="2" t="inlineStr">
        <is>
          <t>PROPOSED / NOT APPROVED</t>
        </is>
      </c>
    </row>
    <row r="274">
      <c r="A274" s="2" t="inlineStr">
        <is>
          <t>B10-REL</t>
        </is>
      </c>
      <c r="B274" s="2" t="inlineStr">
        <is>
          <t>SCA-SCF</t>
        </is>
      </c>
      <c r="C274" s="2" t="inlineStr">
        <is>
          <t>Trial fit, verified weight/COG and loadout release</t>
        </is>
      </c>
      <c r="D274" s="2" t="n">
        <v>5</v>
      </c>
      <c r="E274" s="2" t="inlineStr">
        <is>
          <t>YARD</t>
        </is>
      </c>
      <c r="F274" s="2" t="inlineStr">
        <is>
          <t>B10-COA</t>
        </is>
      </c>
      <c r="G274" s="2" t="inlineStr"/>
      <c r="H274" s="2" t="inlineStr">
        <is>
          <t>QA / Marine</t>
        </is>
      </c>
      <c r="I274" s="2" t="inlineStr">
        <is>
          <t>2028-01-18</t>
        </is>
      </c>
      <c r="J274" s="2" t="inlineStr">
        <is>
          <t>2028-01-23</t>
        </is>
      </c>
      <c r="K274" s="2" t="inlineStr">
        <is>
          <t>2028-01-18</t>
        </is>
      </c>
      <c r="L274" s="2" t="inlineStr">
        <is>
          <t>2028-01-23</t>
        </is>
      </c>
      <c r="M274" s="2" t="n">
        <v>0</v>
      </c>
      <c r="N274" s="2" t="inlineStr">
        <is>
          <t>Proposed allowance; replace with verified inputs</t>
        </is>
      </c>
      <c r="O274" s="2" t="inlineStr">
        <is>
          <t>PROPOSED / NOT APPROVED</t>
        </is>
      </c>
    </row>
    <row r="275">
      <c r="A275" s="2" t="inlineStr">
        <is>
          <t>B10-TRN</t>
        </is>
      </c>
      <c r="B275" s="2" t="inlineStr">
        <is>
          <t>SCA-SCF</t>
        </is>
      </c>
      <c r="C275" s="2" t="inlineStr">
        <is>
          <t>Loadout, transport and offshore receipt</t>
        </is>
      </c>
      <c r="D275" s="2" t="n">
        <v>3</v>
      </c>
      <c r="E275" s="2" t="inlineStr">
        <is>
          <t>OFF</t>
        </is>
      </c>
      <c r="F275" s="2" t="inlineStr">
        <is>
          <t>B10-REL;D-CARGO;B09-TRN</t>
        </is>
      </c>
      <c r="G275" s="2" t="inlineStr">
        <is>
          <t>Cargo spread</t>
        </is>
      </c>
      <c r="H275" s="2" t="inlineStr">
        <is>
          <t>Logistics</t>
        </is>
      </c>
      <c r="I275" s="2" t="inlineStr">
        <is>
          <t>2028-01-23</t>
        </is>
      </c>
      <c r="J275" s="2" t="inlineStr">
        <is>
          <t>2028-01-26</t>
        </is>
      </c>
      <c r="K275" s="2" t="inlineStr">
        <is>
          <t>2028-01-23</t>
        </is>
      </c>
      <c r="L275" s="2" t="inlineStr">
        <is>
          <t>2028-01-26</t>
        </is>
      </c>
      <c r="M275" s="2" t="n">
        <v>0</v>
      </c>
      <c r="N275" s="2" t="inlineStr">
        <is>
          <t>Proposed allowance; replace with verified inputs</t>
        </is>
      </c>
      <c r="O275" s="2" t="inlineStr">
        <is>
          <t>PROPOSED / NOT APPROVED</t>
        </is>
      </c>
    </row>
    <row r="276">
      <c r="A276" s="2" t="inlineStr">
        <is>
          <t>B10-PRE</t>
        </is>
      </c>
      <c r="B276" s="2" t="inlineStr">
        <is>
          <t>SCA-SCF</t>
        </is>
      </c>
      <c r="C276" s="2" t="inlineStr">
        <is>
          <t>PTW, access, SIMOPS and work-front readiness</t>
        </is>
      </c>
      <c r="D276" s="2" t="n">
        <v>3</v>
      </c>
      <c r="E276" s="2" t="inlineStr">
        <is>
          <t>OFF</t>
        </is>
      </c>
      <c r="F276" s="2" t="inlineStr">
        <is>
          <t>B10-TRN;D-SCAF;D-PPE</t>
        </is>
      </c>
      <c r="G276" s="2" t="inlineStr"/>
      <c r="H276" s="2" t="inlineStr">
        <is>
          <t>Construction</t>
        </is>
      </c>
      <c r="I276" s="2" t="inlineStr">
        <is>
          <t>2028-01-26</t>
        </is>
      </c>
      <c r="J276" s="2" t="inlineStr">
        <is>
          <t>2028-01-29</t>
        </is>
      </c>
      <c r="K276" s="2" t="inlineStr">
        <is>
          <t>2028-01-26</t>
        </is>
      </c>
      <c r="L276" s="2" t="inlineStr">
        <is>
          <t>2028-01-29</t>
        </is>
      </c>
      <c r="M276" s="2" t="n">
        <v>0</v>
      </c>
      <c r="N276" s="2" t="inlineStr">
        <is>
          <t>Proposed allowance; replace with verified inputs</t>
        </is>
      </c>
      <c r="O276" s="2" t="inlineStr">
        <is>
          <t>PROPOSED / NOT APPROVED</t>
        </is>
      </c>
    </row>
    <row r="277">
      <c r="A277" s="2" t="inlineStr">
        <is>
          <t>B10-STR</t>
        </is>
      </c>
      <c r="B277" s="2" t="inlineStr">
        <is>
          <t>SCA-SCF</t>
        </is>
      </c>
      <c r="C277" s="2" t="inlineStr">
        <is>
          <t>Landing/platform pre-install strengthening</t>
        </is>
      </c>
      <c r="D277" s="2" t="n">
        <v>7</v>
      </c>
      <c r="E277" s="2" t="inlineStr">
        <is>
          <t>OFF</t>
        </is>
      </c>
      <c r="F277" s="2" t="inlineStr">
        <is>
          <t>B10-PRE;B07-INS</t>
        </is>
      </c>
      <c r="G277" s="2" t="inlineStr">
        <is>
          <t>Strength crew 1</t>
        </is>
      </c>
      <c r="H277" s="2" t="inlineStr">
        <is>
          <t>Construction</t>
        </is>
      </c>
      <c r="I277" s="2" t="inlineStr">
        <is>
          <t>2028-01-29</t>
        </is>
      </c>
      <c r="J277" s="2" t="inlineStr">
        <is>
          <t>2028-02-05</t>
        </is>
      </c>
      <c r="K277" s="2" t="inlineStr">
        <is>
          <t>2028-01-29</t>
        </is>
      </c>
      <c r="L277" s="2" t="inlineStr">
        <is>
          <t>2028-02-05</t>
        </is>
      </c>
      <c r="M277" s="2" t="n">
        <v>0</v>
      </c>
      <c r="N277" s="2" t="inlineStr">
        <is>
          <t>Proposed4MT/crew-day; actual weld/access quantities not validated</t>
        </is>
      </c>
      <c r="O277" s="2" t="inlineStr">
        <is>
          <t>PROPOSED / NOT APPROVED</t>
        </is>
      </c>
    </row>
    <row r="278">
      <c r="A278" s="2" t="inlineStr">
        <is>
          <t>B10-INS</t>
        </is>
      </c>
      <c r="B278" s="2" t="inlineStr">
        <is>
          <t>SCA-SCF</t>
        </is>
      </c>
      <c r="C278" s="2" t="inlineStr">
        <is>
          <t>Bridge strengthening and replacement items</t>
        </is>
      </c>
      <c r="D278" s="2" t="n">
        <v>23</v>
      </c>
      <c r="E278" s="2" t="inlineStr">
        <is>
          <t>OFF</t>
        </is>
      </c>
      <c r="F278" s="2" t="inlineStr">
        <is>
          <t>B10-STR;D-MAR;D-BEAR;D-GRAT</t>
        </is>
      </c>
      <c r="G278" s="2" t="inlineStr">
        <is>
          <t>Strength crew 1</t>
        </is>
      </c>
      <c r="H278" s="2" t="inlineStr">
        <is>
          <t>Marine / Construction</t>
        </is>
      </c>
      <c r="I278" s="2" t="inlineStr">
        <is>
          <t>2028-02-05</t>
        </is>
      </c>
      <c r="J278" s="2" t="inlineStr">
        <is>
          <t>2028-02-28</t>
        </is>
      </c>
      <c r="K278" s="2" t="inlineStr">
        <is>
          <t>2028-02-05</t>
        </is>
      </c>
      <c r="L278" s="2" t="inlineStr">
        <is>
          <t>2028-02-28</t>
        </is>
      </c>
      <c r="M278" s="2" t="n">
        <v>0</v>
      </c>
      <c r="N278" s="2" t="inlineStr">
        <is>
          <t>Aggregate planning allowance; engineered lifts and temporary stability required</t>
        </is>
      </c>
      <c r="O278" s="2" t="inlineStr">
        <is>
          <t>PROPOSED / NOT APPROVED</t>
        </is>
      </c>
    </row>
    <row r="279">
      <c r="A279" s="2" t="inlineStr">
        <is>
          <t>B10-SRV</t>
        </is>
      </c>
      <c r="B279" s="2" t="inlineStr">
        <is>
          <t>SCA-SCF</t>
        </is>
      </c>
      <c r="C279" s="2" t="inlineStr">
        <is>
          <t>Services transfer, test and accepted reinstatement</t>
        </is>
      </c>
      <c r="D279" s="2" t="n">
        <v>5</v>
      </c>
      <c r="E279" s="2" t="inlineStr">
        <is>
          <t>OFF</t>
        </is>
      </c>
      <c r="F279" s="2" t="inlineStr">
        <is>
          <t>B10-INS;D-PIPE;D-ELEC;D-INST;D-TRAY;B09-SRV</t>
        </is>
      </c>
      <c r="G279" s="2" t="inlineStr">
        <is>
          <t>Service transfer team</t>
        </is>
      </c>
      <c r="H279" s="2" t="inlineStr">
        <is>
          <t>Commissioning</t>
        </is>
      </c>
      <c r="I279" s="2" t="inlineStr">
        <is>
          <t>2028-02-28</t>
        </is>
      </c>
      <c r="J279" s="2" t="inlineStr">
        <is>
          <t>2028-03-04</t>
        </is>
      </c>
      <c r="K279" s="2" t="inlineStr">
        <is>
          <t>2028-02-28</t>
        </is>
      </c>
      <c r="L279" s="2" t="inlineStr">
        <is>
          <t>2028-03-04</t>
        </is>
      </c>
      <c r="M279" s="2" t="n">
        <v>0</v>
      </c>
      <c r="N279" s="2" t="inlineStr">
        <is>
          <t>Proposed allowance; replace with verified inputs</t>
        </is>
      </c>
      <c r="O279" s="2" t="inlineStr">
        <is>
          <t>PROPOSED / NOT APPROVED</t>
        </is>
      </c>
    </row>
    <row r="280">
      <c r="A280" s="2" t="inlineStr">
        <is>
          <t>B10-DEM</t>
        </is>
      </c>
      <c r="B280" s="2" t="inlineStr">
        <is>
          <t>SCA-SCF</t>
        </is>
      </c>
      <c r="C280" s="2" t="inlineStr">
        <is>
          <t>Engineered demolition/removal and scrap backload</t>
        </is>
      </c>
      <c r="D280" s="2" t="n">
        <v>2</v>
      </c>
      <c r="E280" s="2" t="inlineStr">
        <is>
          <t>OFF</t>
        </is>
      </c>
      <c r="F280" s="2" t="inlineStr">
        <is>
          <t>B10-SRV;B09-DEM</t>
        </is>
      </c>
      <c r="G280" s="2" t="inlineStr">
        <is>
          <t>Removal team</t>
        </is>
      </c>
      <c r="H280" s="2" t="inlineStr">
        <is>
          <t>Construction</t>
        </is>
      </c>
      <c r="I280" s="2" t="inlineStr">
        <is>
          <t>2028-03-04</t>
        </is>
      </c>
      <c r="J280" s="2" t="inlineStr">
        <is>
          <t>2028-03-06</t>
        </is>
      </c>
      <c r="K280" s="2" t="inlineStr">
        <is>
          <t>2028-03-04</t>
        </is>
      </c>
      <c r="L280" s="2" t="inlineStr">
        <is>
          <t>2028-03-06</t>
        </is>
      </c>
      <c r="M280" s="2" t="n">
        <v>0</v>
      </c>
      <c r="N280" s="2" t="inlineStr">
        <is>
          <t>Proposed15MT/day allowance; BHS sequence after safe new service transfer, subject to approved method</t>
        </is>
      </c>
      <c r="O280" s="2" t="inlineStr">
        <is>
          <t>PROPOSED / NOT APPROVED</t>
        </is>
      </c>
    </row>
    <row r="281">
      <c r="A281" s="2" t="inlineStr">
        <is>
          <t>B10-PUN</t>
        </is>
      </c>
      <c r="B281" s="2" t="inlineStr">
        <is>
          <t>SCA-SCF</t>
        </is>
      </c>
      <c r="C281" s="2" t="inlineStr">
        <is>
          <t>Inspection, touch-up and offshore punch closure</t>
        </is>
      </c>
      <c r="D281" s="2" t="n">
        <v>3</v>
      </c>
      <c r="E281" s="2" t="inlineStr">
        <is>
          <t>OFF</t>
        </is>
      </c>
      <c r="F281" s="2" t="inlineStr">
        <is>
          <t>B10-DEM</t>
        </is>
      </c>
      <c r="G281" s="2" t="inlineStr"/>
      <c r="H281" s="2" t="inlineStr">
        <is>
          <t>QA / Commissioning</t>
        </is>
      </c>
      <c r="I281" s="2" t="inlineStr">
        <is>
          <t>2028-03-06</t>
        </is>
      </c>
      <c r="J281" s="2" t="inlineStr">
        <is>
          <t>2028-03-09</t>
        </is>
      </c>
      <c r="K281" s="2" t="inlineStr">
        <is>
          <t>2028-03-06</t>
        </is>
      </c>
      <c r="L281" s="2" t="inlineStr">
        <is>
          <t>2028-03-09</t>
        </is>
      </c>
      <c r="M281" s="2" t="n">
        <v>0</v>
      </c>
      <c r="N281" s="2" t="inlineStr">
        <is>
          <t>Proposed allowance; replace with verified inputs</t>
        </is>
      </c>
      <c r="O281" s="2" t="inlineStr">
        <is>
          <t>PROPOSED / NOT APPROVED</t>
        </is>
      </c>
    </row>
    <row r="282">
      <c r="A282" s="2" t="inlineStr">
        <is>
          <t>B10-DOS</t>
        </is>
      </c>
      <c r="B282" s="2" t="inlineStr">
        <is>
          <t>SCA-SCF</t>
        </is>
      </c>
      <c r="C282" s="2" t="inlineStr">
        <is>
          <t>As-built, QA and turnover dossier acceptance</t>
        </is>
      </c>
      <c r="D282" s="2" t="n">
        <v>10</v>
      </c>
      <c r="E282" s="2" t="inlineStr">
        <is>
          <t>OFFICE</t>
        </is>
      </c>
      <c r="F282" s="2" t="inlineStr">
        <is>
          <t>B10-PUN</t>
        </is>
      </c>
      <c r="G282" s="2" t="inlineStr"/>
      <c r="H282" s="2" t="inlineStr">
        <is>
          <t>Document Control</t>
        </is>
      </c>
      <c r="I282" s="2" t="inlineStr">
        <is>
          <t>2028-03-09</t>
        </is>
      </c>
      <c r="J282" s="2" t="inlineStr">
        <is>
          <t>2028-03-23</t>
        </is>
      </c>
      <c r="K282" s="2" t="inlineStr">
        <is>
          <t>2028-03-09</t>
        </is>
      </c>
      <c r="L282" s="2" t="inlineStr">
        <is>
          <t>2028-03-23</t>
        </is>
      </c>
      <c r="M282" s="2" t="n">
        <v>0</v>
      </c>
      <c r="N282" s="2" t="inlineStr">
        <is>
          <t>Proposed allowance; replace with verified inputs</t>
        </is>
      </c>
      <c r="O282" s="2" t="inlineStr">
        <is>
          <t>PROPOSED / NOT APPROVED</t>
        </is>
      </c>
    </row>
    <row r="283">
      <c r="A283" s="2" t="inlineStr">
        <is>
          <t>OFFDONE</t>
        </is>
      </c>
      <c r="B283" s="2" t="inlineStr">
        <is>
          <t>COMMON</t>
        </is>
      </c>
      <c r="C283" s="2" t="inlineStr">
        <is>
          <t>All bridge offshore work completed</t>
        </is>
      </c>
      <c r="D283" s="2" t="n">
        <v>0</v>
      </c>
      <c r="E283" s="2" t="inlineStr">
        <is>
          <t>ALL</t>
        </is>
      </c>
      <c r="F283" s="2" t="inlineStr">
        <is>
          <t>B05-PUN;B02-PUN;B04-PUN;B01-PUN;B03-PUN;B06-PUN;B07-PUN;B08-PUN;B09-PUN;B10-PUN</t>
        </is>
      </c>
      <c r="G283" s="2" t="inlineStr"/>
      <c r="H283" s="2" t="inlineStr">
        <is>
          <t>Project Manager</t>
        </is>
      </c>
      <c r="I283" s="2" t="inlineStr">
        <is>
          <t>2028-03-09</t>
        </is>
      </c>
      <c r="J283" s="2" t="inlineStr">
        <is>
          <t>2028-03-09</t>
        </is>
      </c>
      <c r="K283" s="2" t="inlineStr">
        <is>
          <t>2028-03-18</t>
        </is>
      </c>
      <c r="L283" s="2" t="inlineStr">
        <is>
          <t>2028-03-18</t>
        </is>
      </c>
      <c r="M283" s="2" t="n">
        <v>9</v>
      </c>
      <c r="N283" s="2" t="inlineStr">
        <is>
          <t>Proposed allowance; replace with verified inputs</t>
        </is>
      </c>
      <c r="O283" s="2" t="inlineStr">
        <is>
          <t>PROPOSED / NOT APPROVED</t>
        </is>
      </c>
    </row>
    <row r="284">
      <c r="A284" s="2" t="inlineStr">
        <is>
          <t>DEMOB</t>
        </is>
      </c>
      <c r="B284" s="2" t="inlineStr">
        <is>
          <t>COMMON</t>
        </is>
      </c>
      <c r="C284" s="2" t="inlineStr">
        <is>
          <t>Spread demobilisation allowance</t>
        </is>
      </c>
      <c r="D284" s="2" t="n">
        <v>5</v>
      </c>
      <c r="E284" s="2" t="inlineStr">
        <is>
          <t>OFF</t>
        </is>
      </c>
      <c r="F284" s="2" t="inlineStr">
        <is>
          <t>OFFDONE;B10-TRN</t>
        </is>
      </c>
      <c r="G284" s="2" t="inlineStr">
        <is>
          <t>Cargo spread</t>
        </is>
      </c>
      <c r="H284" s="2" t="inlineStr">
        <is>
          <t>Marine</t>
        </is>
      </c>
      <c r="I284" s="2" t="inlineStr">
        <is>
          <t>2028-03-09</t>
        </is>
      </c>
      <c r="J284" s="2" t="inlineStr">
        <is>
          <t>2028-03-14</t>
        </is>
      </c>
      <c r="K284" s="2" t="inlineStr">
        <is>
          <t>2028-03-18</t>
        </is>
      </c>
      <c r="L284" s="2" t="inlineStr">
        <is>
          <t>2028-03-23</t>
        </is>
      </c>
      <c r="M284" s="2" t="n">
        <v>9</v>
      </c>
      <c r="N284" s="2" t="inlineStr">
        <is>
          <t>Proposed allowance; replace with verified inputs</t>
        </is>
      </c>
      <c r="O284" s="2" t="inlineStr">
        <is>
          <t>PROPOSED / NOT APPROVED</t>
        </is>
      </c>
    </row>
    <row r="285">
      <c r="A285" s="2" t="inlineStr">
        <is>
          <t>CLOSE</t>
        </is>
      </c>
      <c r="B285" s="2" t="inlineStr">
        <is>
          <t>COMMON</t>
        </is>
      </c>
      <c r="C285" s="2" t="inlineStr">
        <is>
          <t>Integrated acceptance, final measurements and account preparation</t>
        </is>
      </c>
      <c r="D285" s="2" t="n">
        <v>10</v>
      </c>
      <c r="E285" s="2" t="inlineStr">
        <is>
          <t>OFFICE</t>
        </is>
      </c>
      <c r="F285" s="2" t="inlineStr">
        <is>
          <t>B05-DOS;B02-DOS;B04-DOS;B01-DOS;B03-DOS;B06-DOS;B07-DOS;B08-DOS;B09-DOS;B10-DOS;DEMOB</t>
        </is>
      </c>
      <c r="G285" s="2" t="inlineStr"/>
      <c r="H285" s="2" t="inlineStr">
        <is>
          <t>Project Manager</t>
        </is>
      </c>
      <c r="I285" s="2" t="inlineStr">
        <is>
          <t>2028-03-23</t>
        </is>
      </c>
      <c r="J285" s="2" t="inlineStr">
        <is>
          <t>2028-04-06</t>
        </is>
      </c>
      <c r="K285" s="2" t="inlineStr">
        <is>
          <t>2028-03-23</t>
        </is>
      </c>
      <c r="L285" s="2" t="inlineStr">
        <is>
          <t>2028-04-06</t>
        </is>
      </c>
      <c r="M285" s="2" t="n">
        <v>0</v>
      </c>
      <c r="N285" s="2" t="inlineStr">
        <is>
          <t>Proposed allowance; replace with verified inputs</t>
        </is>
      </c>
      <c r="O285" s="2" t="inlineStr">
        <is>
          <t>PROPOSED / NOT APPROVED</t>
        </is>
      </c>
    </row>
    <row r="286">
      <c r="A286" s="2" t="inlineStr">
        <is>
          <t>FINISH</t>
        </is>
      </c>
      <c r="B286" s="2" t="inlineStr">
        <is>
          <t>COMMON</t>
        </is>
      </c>
      <c r="C286" s="2" t="inlineStr">
        <is>
          <t>Proposed contract-completion milestone</t>
        </is>
      </c>
      <c r="D286" s="2" t="n">
        <v>0</v>
      </c>
      <c r="E286" s="2" t="inlineStr">
        <is>
          <t>ALL</t>
        </is>
      </c>
      <c r="F286" s="2" t="inlineStr">
        <is>
          <t>CLOSE</t>
        </is>
      </c>
      <c r="G286" s="2" t="inlineStr"/>
      <c r="H286" s="2" t="inlineStr">
        <is>
          <t>Project Director</t>
        </is>
      </c>
      <c r="I286" s="2" t="inlineStr">
        <is>
          <t>2028-04-06</t>
        </is>
      </c>
      <c r="J286" s="2" t="inlineStr">
        <is>
          <t>2028-04-06</t>
        </is>
      </c>
      <c r="K286" s="2" t="inlineStr">
        <is>
          <t>2028-04-06</t>
        </is>
      </c>
      <c r="L286" s="2" t="inlineStr">
        <is>
          <t>2028-04-06</t>
        </is>
      </c>
      <c r="M286" s="2" t="n">
        <v>0</v>
      </c>
      <c r="N286" s="2" t="inlineStr">
        <is>
          <t>Proposed allowance; replace with verified inputs</t>
        </is>
      </c>
      <c r="O286" s="2" t="inlineStr">
        <is>
          <t>PROPOSED / NOT APPROVED</t>
        </is>
      </c>
    </row>
  </sheetData>
  <autoFilter ref="A1:O28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6"/>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s>
  <sheetData>
    <row r="1">
      <c r="A1" s="1" t="inlineStr">
        <is>
          <t>Sequence</t>
        </is>
      </c>
      <c r="B1" s="1" t="inlineStr">
        <is>
          <t>ID</t>
        </is>
      </c>
      <c r="C1" s="1" t="inlineStr">
        <is>
          <t>Activity</t>
        </is>
      </c>
      <c r="D1" s="1" t="inlineStr">
        <is>
          <t>Start</t>
        </is>
      </c>
      <c r="E1" s="1" t="inlineStr">
        <is>
          <t>Finish exclusive</t>
        </is>
      </c>
      <c r="F1" s="1" t="inlineStr">
        <is>
          <t>Float</t>
        </is>
      </c>
    </row>
    <row r="2">
      <c r="A2" s="2" t="n">
        <v>1</v>
      </c>
      <c r="B2" s="2" t="inlineStr">
        <is>
          <t>START</t>
        </is>
      </c>
      <c r="C2" s="2" t="inlineStr">
        <is>
          <t>Assumed commencement — scenario only</t>
        </is>
      </c>
      <c r="D2" s="2" t="inlineStr">
        <is>
          <t>2026-11-01</t>
        </is>
      </c>
      <c r="E2" s="2" t="inlineStr">
        <is>
          <t>2026-11-01</t>
        </is>
      </c>
      <c r="F2" s="2" t="n">
        <v>1</v>
      </c>
    </row>
    <row r="3">
      <c r="A3" s="2" t="n">
        <v>2</v>
      </c>
      <c r="B3" s="2" t="inlineStr">
        <is>
          <t>G01</t>
        </is>
      </c>
      <c r="C3" s="2" t="inlineStr">
        <is>
          <t>Contract/amendment matrix and scope reconciliation</t>
        </is>
      </c>
      <c r="D3" s="2" t="inlineStr">
        <is>
          <t>2026-11-02</t>
        </is>
      </c>
      <c r="E3" s="2" t="inlineStr">
        <is>
          <t>2026-11-07</t>
        </is>
      </c>
      <c r="F3" s="2" t="n">
        <v>0</v>
      </c>
    </row>
    <row r="4">
      <c r="A4" s="2" t="n">
        <v>3</v>
      </c>
      <c r="B4" s="2" t="inlineStr">
        <is>
          <t>G02</t>
        </is>
      </c>
      <c r="C4" s="2" t="inlineStr">
        <is>
          <t>Survey permits, access and mobilisation preparation</t>
        </is>
      </c>
      <c r="D4" s="2" t="inlineStr">
        <is>
          <t>2026-11-09</t>
        </is>
      </c>
      <c r="E4" s="2" t="inlineStr">
        <is>
          <t>2026-11-21</t>
        </is>
      </c>
      <c r="F4" s="2" t="n">
        <v>0</v>
      </c>
    </row>
    <row r="5">
      <c r="A5" s="2" t="n">
        <v>4</v>
      </c>
      <c r="B5" s="2" t="inlineStr">
        <is>
          <t>G03</t>
        </is>
      </c>
      <c r="C5" s="2" t="inlineStr">
        <is>
          <t>Pre-engineering survey campaign</t>
        </is>
      </c>
      <c r="D5" s="2" t="inlineStr">
        <is>
          <t>2026-11-21</t>
        </is>
      </c>
      <c r="E5" s="2" t="inlineStr">
        <is>
          <t>2026-12-06</t>
        </is>
      </c>
      <c r="F5" s="2" t="n">
        <v>1</v>
      </c>
    </row>
    <row r="6">
      <c r="A6" s="2" t="n">
        <v>5</v>
      </c>
      <c r="B6" s="2" t="inlineStr">
        <is>
          <t>G04</t>
        </is>
      </c>
      <c r="C6" s="2" t="inlineStr">
        <is>
          <t>Survey reports, geometry/condition reconciliation</t>
        </is>
      </c>
      <c r="D6" s="2" t="inlineStr">
        <is>
          <t>2026-12-07</t>
        </is>
      </c>
      <c r="E6" s="2" t="inlineStr">
        <is>
          <t>2026-12-12</t>
        </is>
      </c>
      <c r="F6" s="2" t="n">
        <v>0</v>
      </c>
    </row>
    <row r="7">
      <c r="A7" s="2" t="n">
        <v>6</v>
      </c>
      <c r="B7" s="2" t="inlineStr">
        <is>
          <t>G05</t>
        </is>
      </c>
      <c r="C7" s="2" t="inlineStr">
        <is>
          <t>Survey/basis review and comment closure allowance</t>
        </is>
      </c>
      <c r="D7" s="2" t="inlineStr">
        <is>
          <t>2026-12-14</t>
        </is>
      </c>
      <c r="E7" s="2" t="inlineStr">
        <is>
          <t>2026-12-26</t>
        </is>
      </c>
      <c r="F7" s="2" t="n">
        <v>0</v>
      </c>
    </row>
    <row r="8">
      <c r="A8" s="2" t="n">
        <v>7</v>
      </c>
      <c r="B8" s="2" t="inlineStr">
        <is>
          <t>B05-BAS</t>
        </is>
      </c>
      <c r="C8" s="2" t="inlineStr">
        <is>
          <t>Design basis, loads and interfaces</t>
        </is>
      </c>
      <c r="D8" s="2" t="inlineStr">
        <is>
          <t>2026-12-28</t>
        </is>
      </c>
      <c r="E8" s="2" t="inlineStr">
        <is>
          <t>2027-01-02</t>
        </is>
      </c>
      <c r="F8" s="2" t="n">
        <v>0</v>
      </c>
    </row>
    <row r="9">
      <c r="A9" s="2" t="n">
        <v>8</v>
      </c>
      <c r="B9" s="2" t="inlineStr">
        <is>
          <t>B05-BRV</t>
        </is>
      </c>
      <c r="C9" s="2" t="inlineStr">
        <is>
          <t>Basis review and comment closure allowance</t>
        </is>
      </c>
      <c r="D9" s="2" t="inlineStr">
        <is>
          <t>2027-01-04</t>
        </is>
      </c>
      <c r="E9" s="2" t="inlineStr">
        <is>
          <t>2027-01-16</t>
        </is>
      </c>
      <c r="F9" s="2" t="n">
        <v>0</v>
      </c>
    </row>
    <row r="10">
      <c r="A10" s="2" t="n">
        <v>9</v>
      </c>
      <c r="B10" s="2" t="inlineStr">
        <is>
          <t>B05-ANA</t>
        </is>
      </c>
      <c r="C10" s="2" t="inlineStr">
        <is>
          <t>Bridge/platform and preservice analysis preparation</t>
        </is>
      </c>
      <c r="D10" s="2" t="inlineStr">
        <is>
          <t>2027-01-18</t>
        </is>
      </c>
      <c r="E10" s="2" t="inlineStr">
        <is>
          <t>2027-02-13</t>
        </is>
      </c>
      <c r="F10" s="2" t="n">
        <v>0</v>
      </c>
    </row>
    <row r="11">
      <c r="A11" s="2" t="n">
        <v>10</v>
      </c>
      <c r="B11" s="2" t="inlineStr">
        <is>
          <t>B05-ARV</t>
        </is>
      </c>
      <c r="C11" s="2" t="inlineStr">
        <is>
          <t>Analysis review and comment closure allowance</t>
        </is>
      </c>
      <c r="D11" s="2" t="inlineStr">
        <is>
          <t>2027-02-15</t>
        </is>
      </c>
      <c r="E11" s="2" t="inlineStr">
        <is>
          <t>2027-02-27</t>
        </is>
      </c>
      <c r="F11" s="2" t="n">
        <v>0</v>
      </c>
    </row>
    <row r="12">
      <c r="A12" s="2" t="n">
        <v>11</v>
      </c>
      <c r="B12" s="2" t="inlineStr">
        <is>
          <t>B05-DET</t>
        </is>
      </c>
      <c r="C12" s="2" t="inlineStr">
        <is>
          <t>Connection, bearing, landing and workpack detailing</t>
        </is>
      </c>
      <c r="D12" s="2" t="inlineStr">
        <is>
          <t>2027-03-01</t>
        </is>
      </c>
      <c r="E12" s="2" t="inlineStr">
        <is>
          <t>2027-03-20</t>
        </is>
      </c>
      <c r="F12" s="2" t="n">
        <v>0</v>
      </c>
    </row>
    <row r="13">
      <c r="A13" s="2" t="n">
        <v>12</v>
      </c>
      <c r="B13" s="2" t="inlineStr">
        <is>
          <t>B05-DRV</t>
        </is>
      </c>
      <c r="C13" s="2" t="inlineStr">
        <is>
          <t>Drawing review and comment closure allowance</t>
        </is>
      </c>
      <c r="D13" s="2" t="inlineStr">
        <is>
          <t>2027-03-22</t>
        </is>
      </c>
      <c r="E13" s="2" t="inlineStr">
        <is>
          <t>2027-04-03</t>
        </is>
      </c>
      <c r="F13" s="2" t="n">
        <v>0</v>
      </c>
    </row>
    <row r="14">
      <c r="A14" s="2" t="n">
        <v>13</v>
      </c>
      <c r="B14" s="2" t="inlineStr">
        <is>
          <t>B05-AFC</t>
        </is>
      </c>
      <c r="C14" s="2" t="inlineStr">
        <is>
          <t>AFC design/MTO independent check and release gate</t>
        </is>
      </c>
      <c r="D14" s="2" t="inlineStr">
        <is>
          <t>2027-04-03</t>
        </is>
      </c>
      <c r="E14" s="2" t="inlineStr">
        <is>
          <t>2027-04-03</t>
        </is>
      </c>
      <c r="F14" s="2" t="n">
        <v>0</v>
      </c>
    </row>
    <row r="15">
      <c r="A15" s="2" t="n">
        <v>14</v>
      </c>
      <c r="B15" s="2" t="inlineStr">
        <is>
          <t>B05-PO</t>
        </is>
      </c>
      <c r="C15" s="2" t="inlineStr">
        <is>
          <t>Bridge steel compliant PO release gate</t>
        </is>
      </c>
      <c r="D15" s="2" t="inlineStr">
        <is>
          <t>2027-04-03</t>
        </is>
      </c>
      <c r="E15" s="2" t="inlineStr">
        <is>
          <t>2027-04-03</t>
        </is>
      </c>
      <c r="F15" s="2" t="n">
        <v>0</v>
      </c>
    </row>
    <row r="16">
      <c r="A16" s="2" t="n">
        <v>15</v>
      </c>
      <c r="B16" s="2" t="inlineStr">
        <is>
          <t>B05-MAT</t>
        </is>
      </c>
      <c r="C16" s="2" t="inlineStr">
        <is>
          <t>Mill production, inspection and steel delivery</t>
        </is>
      </c>
      <c r="D16" s="2" t="inlineStr">
        <is>
          <t>2027-04-03</t>
        </is>
      </c>
      <c r="E16" s="2" t="inlineStr">
        <is>
          <t>2027-05-18</t>
        </is>
      </c>
      <c r="F16" s="2" t="n">
        <v>0</v>
      </c>
    </row>
    <row r="17">
      <c r="A17" s="2" t="n">
        <v>16</v>
      </c>
      <c r="B17" s="2" t="inlineStr">
        <is>
          <t>B05-FAB</t>
        </is>
      </c>
      <c r="C17" s="2" t="inlineStr">
        <is>
          <t>Fit-up, welding and dimensional control</t>
        </is>
      </c>
      <c r="D17" s="2" t="inlineStr">
        <is>
          <t>2027-05-18</t>
        </is>
      </c>
      <c r="E17" s="2" t="inlineStr">
        <is>
          <t>2027-08-08</t>
        </is>
      </c>
      <c r="F17" s="2" t="n">
        <v>0</v>
      </c>
    </row>
    <row r="18">
      <c r="A18" s="2" t="n">
        <v>17</v>
      </c>
      <c r="B18" s="2" t="inlineStr">
        <is>
          <t>B04-FAB</t>
        </is>
      </c>
      <c r="C18" s="2" t="inlineStr">
        <is>
          <t>Fit-up, welding and dimensional control</t>
        </is>
      </c>
      <c r="D18" s="2" t="inlineStr">
        <is>
          <t>2027-08-09</t>
        </is>
      </c>
      <c r="E18" s="2" t="inlineStr">
        <is>
          <t>2027-09-24</t>
        </is>
      </c>
      <c r="F18" s="2" t="n">
        <v>0</v>
      </c>
    </row>
    <row r="19">
      <c r="A19" s="2" t="n">
        <v>18</v>
      </c>
      <c r="B19" s="2" t="inlineStr">
        <is>
          <t>B03-FAB</t>
        </is>
      </c>
      <c r="C19" s="2" t="inlineStr">
        <is>
          <t>Fit-up, welding and dimensional control</t>
        </is>
      </c>
      <c r="D19" s="2" t="inlineStr">
        <is>
          <t>2027-09-24</t>
        </is>
      </c>
      <c r="E19" s="2" t="inlineStr">
        <is>
          <t>2027-10-28</t>
        </is>
      </c>
      <c r="F19" s="2" t="n">
        <v>0</v>
      </c>
    </row>
    <row r="20">
      <c r="A20" s="2" t="n">
        <v>19</v>
      </c>
      <c r="B20" s="2" t="inlineStr">
        <is>
          <t>B07-FAB</t>
        </is>
      </c>
      <c r="C20" s="2" t="inlineStr">
        <is>
          <t>Fit-up, welding and dimensional control</t>
        </is>
      </c>
      <c r="D20" s="2" t="inlineStr">
        <is>
          <t>2027-10-28</t>
        </is>
      </c>
      <c r="E20" s="2" t="inlineStr">
        <is>
          <t>2027-11-25</t>
        </is>
      </c>
      <c r="F20" s="2" t="n">
        <v>0</v>
      </c>
    </row>
    <row r="21">
      <c r="A21" s="2" t="n">
        <v>20</v>
      </c>
      <c r="B21" s="2" t="inlineStr">
        <is>
          <t>B07-NDT</t>
        </is>
      </c>
      <c r="C21" s="2" t="inlineStr">
        <is>
          <t>NDT, repair allowance and dimensional release</t>
        </is>
      </c>
      <c r="D21" s="2" t="inlineStr">
        <is>
          <t>2027-11-25</t>
        </is>
      </c>
      <c r="E21" s="2" t="inlineStr">
        <is>
          <t>2027-12-02</t>
        </is>
      </c>
      <c r="F21" s="2" t="n">
        <v>0</v>
      </c>
    </row>
    <row r="22">
      <c r="A22" s="2" t="n">
        <v>21</v>
      </c>
      <c r="B22" s="2" t="inlineStr">
        <is>
          <t>B07-COA</t>
        </is>
      </c>
      <c r="C22" s="2" t="inlineStr">
        <is>
          <t>Surface preparation, coating and curing allowance</t>
        </is>
      </c>
      <c r="D22" s="2" t="inlineStr">
        <is>
          <t>2027-12-02</t>
        </is>
      </c>
      <c r="E22" s="2" t="inlineStr">
        <is>
          <t>2027-12-14</t>
        </is>
      </c>
      <c r="F22" s="2" t="n">
        <v>0</v>
      </c>
    </row>
    <row r="23">
      <c r="A23" s="2" t="n">
        <v>22</v>
      </c>
      <c r="B23" s="2" t="inlineStr">
        <is>
          <t>B08-COA</t>
        </is>
      </c>
      <c r="C23" s="2" t="inlineStr">
        <is>
          <t>Surface preparation, coating and curing allowance</t>
        </is>
      </c>
      <c r="D23" s="2" t="inlineStr">
        <is>
          <t>2027-12-14</t>
        </is>
      </c>
      <c r="E23" s="2" t="inlineStr">
        <is>
          <t>2027-12-25</t>
        </is>
      </c>
      <c r="F23" s="2" t="n">
        <v>0</v>
      </c>
    </row>
    <row r="24">
      <c r="A24" s="2" t="n">
        <v>23</v>
      </c>
      <c r="B24" s="2" t="inlineStr">
        <is>
          <t>B09-COA</t>
        </is>
      </c>
      <c r="C24" s="2" t="inlineStr">
        <is>
          <t>Surface preparation, coating and curing allowance</t>
        </is>
      </c>
      <c r="D24" s="2" t="inlineStr">
        <is>
          <t>2027-12-25</t>
        </is>
      </c>
      <c r="E24" s="2" t="inlineStr">
        <is>
          <t>2028-01-06</t>
        </is>
      </c>
      <c r="F24" s="2" t="n">
        <v>0</v>
      </c>
    </row>
    <row r="25">
      <c r="A25" s="2" t="n">
        <v>24</v>
      </c>
      <c r="B25" s="2" t="inlineStr">
        <is>
          <t>B10-COA</t>
        </is>
      </c>
      <c r="C25" s="2" t="inlineStr">
        <is>
          <t>Surface preparation, coating and curing allowance</t>
        </is>
      </c>
      <c r="D25" s="2" t="inlineStr">
        <is>
          <t>2028-01-06</t>
        </is>
      </c>
      <c r="E25" s="2" t="inlineStr">
        <is>
          <t>2028-01-18</t>
        </is>
      </c>
      <c r="F25" s="2" t="n">
        <v>0</v>
      </c>
    </row>
    <row r="26">
      <c r="A26" s="2" t="n">
        <v>25</v>
      </c>
      <c r="B26" s="2" t="inlineStr">
        <is>
          <t>B10-REL</t>
        </is>
      </c>
      <c r="C26" s="2" t="inlineStr">
        <is>
          <t>Trial fit, verified weight/COG and loadout release</t>
        </is>
      </c>
      <c r="D26" s="2" t="inlineStr">
        <is>
          <t>2028-01-18</t>
        </is>
      </c>
      <c r="E26" s="2" t="inlineStr">
        <is>
          <t>2028-01-23</t>
        </is>
      </c>
      <c r="F26" s="2" t="n">
        <v>0</v>
      </c>
    </row>
    <row r="27">
      <c r="A27" s="2" t="n">
        <v>26</v>
      </c>
      <c r="B27" s="2" t="inlineStr">
        <is>
          <t>B10-TRN</t>
        </is>
      </c>
      <c r="C27" s="2" t="inlineStr">
        <is>
          <t>Loadout, transport and offshore receipt</t>
        </is>
      </c>
      <c r="D27" s="2" t="inlineStr">
        <is>
          <t>2028-01-23</t>
        </is>
      </c>
      <c r="E27" s="2" t="inlineStr">
        <is>
          <t>2028-01-26</t>
        </is>
      </c>
      <c r="F27" s="2" t="n">
        <v>0</v>
      </c>
    </row>
    <row r="28">
      <c r="A28" s="2" t="n">
        <v>27</v>
      </c>
      <c r="B28" s="2" t="inlineStr">
        <is>
          <t>B10-PRE</t>
        </is>
      </c>
      <c r="C28" s="2" t="inlineStr">
        <is>
          <t>PTW, access, SIMOPS and work-front readiness</t>
        </is>
      </c>
      <c r="D28" s="2" t="inlineStr">
        <is>
          <t>2028-01-26</t>
        </is>
      </c>
      <c r="E28" s="2" t="inlineStr">
        <is>
          <t>2028-01-29</t>
        </is>
      </c>
      <c r="F28" s="2" t="n">
        <v>0</v>
      </c>
    </row>
    <row r="29">
      <c r="A29" s="2" t="n">
        <v>28</v>
      </c>
      <c r="B29" s="2" t="inlineStr">
        <is>
          <t>B10-STR</t>
        </is>
      </c>
      <c r="C29" s="2" t="inlineStr">
        <is>
          <t>Landing/platform pre-install strengthening</t>
        </is>
      </c>
      <c r="D29" s="2" t="inlineStr">
        <is>
          <t>2028-01-29</t>
        </is>
      </c>
      <c r="E29" s="2" t="inlineStr">
        <is>
          <t>2028-02-05</t>
        </is>
      </c>
      <c r="F29" s="2" t="n">
        <v>0</v>
      </c>
    </row>
    <row r="30">
      <c r="A30" s="2" t="n">
        <v>29</v>
      </c>
      <c r="B30" s="2" t="inlineStr">
        <is>
          <t>B10-INS</t>
        </is>
      </c>
      <c r="C30" s="2" t="inlineStr">
        <is>
          <t>Bridge strengthening and replacement items</t>
        </is>
      </c>
      <c r="D30" s="2" t="inlineStr">
        <is>
          <t>2028-02-05</t>
        </is>
      </c>
      <c r="E30" s="2" t="inlineStr">
        <is>
          <t>2028-02-28</t>
        </is>
      </c>
      <c r="F30" s="2" t="n">
        <v>0</v>
      </c>
    </row>
    <row r="31">
      <c r="A31" s="2" t="n">
        <v>30</v>
      </c>
      <c r="B31" s="2" t="inlineStr">
        <is>
          <t>B10-SRV</t>
        </is>
      </c>
      <c r="C31" s="2" t="inlineStr">
        <is>
          <t>Services transfer, test and accepted reinstatement</t>
        </is>
      </c>
      <c r="D31" s="2" t="inlineStr">
        <is>
          <t>2028-02-28</t>
        </is>
      </c>
      <c r="E31" s="2" t="inlineStr">
        <is>
          <t>2028-03-04</t>
        </is>
      </c>
      <c r="F31" s="2" t="n">
        <v>0</v>
      </c>
    </row>
    <row r="32">
      <c r="A32" s="2" t="n">
        <v>31</v>
      </c>
      <c r="B32" s="2" t="inlineStr">
        <is>
          <t>B10-DEM</t>
        </is>
      </c>
      <c r="C32" s="2" t="inlineStr">
        <is>
          <t>Engineered demolition/removal and scrap backload</t>
        </is>
      </c>
      <c r="D32" s="2" t="inlineStr">
        <is>
          <t>2028-03-04</t>
        </is>
      </c>
      <c r="E32" s="2" t="inlineStr">
        <is>
          <t>2028-03-06</t>
        </is>
      </c>
      <c r="F32" s="2" t="n">
        <v>0</v>
      </c>
    </row>
    <row r="33">
      <c r="A33" s="2" t="n">
        <v>32</v>
      </c>
      <c r="B33" s="2" t="inlineStr">
        <is>
          <t>B10-PUN</t>
        </is>
      </c>
      <c r="C33" s="2" t="inlineStr">
        <is>
          <t>Inspection, touch-up and offshore punch closure</t>
        </is>
      </c>
      <c r="D33" s="2" t="inlineStr">
        <is>
          <t>2028-03-06</t>
        </is>
      </c>
      <c r="E33" s="2" t="inlineStr">
        <is>
          <t>2028-03-09</t>
        </is>
      </c>
      <c r="F33" s="2" t="n">
        <v>0</v>
      </c>
    </row>
    <row r="34">
      <c r="A34" s="2" t="n">
        <v>33</v>
      </c>
      <c r="B34" s="2" t="inlineStr">
        <is>
          <t>B10-DOS</t>
        </is>
      </c>
      <c r="C34" s="2" t="inlineStr">
        <is>
          <t>As-built, QA and turnover dossier acceptance</t>
        </is>
      </c>
      <c r="D34" s="2" t="inlineStr">
        <is>
          <t>2028-03-09</t>
        </is>
      </c>
      <c r="E34" s="2" t="inlineStr">
        <is>
          <t>2028-03-23</t>
        </is>
      </c>
      <c r="F34" s="2" t="n">
        <v>0</v>
      </c>
    </row>
    <row r="35">
      <c r="A35" s="2" t="n">
        <v>34</v>
      </c>
      <c r="B35" s="2" t="inlineStr">
        <is>
          <t>CLOSE</t>
        </is>
      </c>
      <c r="C35" s="2" t="inlineStr">
        <is>
          <t>Integrated acceptance, final measurements and account preparation</t>
        </is>
      </c>
      <c r="D35" s="2" t="inlineStr">
        <is>
          <t>2028-03-23</t>
        </is>
      </c>
      <c r="E35" s="2" t="inlineStr">
        <is>
          <t>2028-04-06</t>
        </is>
      </c>
      <c r="F35" s="2" t="n">
        <v>0</v>
      </c>
    </row>
    <row r="36">
      <c r="A36" s="2" t="n">
        <v>35</v>
      </c>
      <c r="B36" s="2" t="inlineStr">
        <is>
          <t>FINISH</t>
        </is>
      </c>
      <c r="C36" s="2" t="inlineStr">
        <is>
          <t>Proposed contract-completion milestone</t>
        </is>
      </c>
      <c r="D36" s="2" t="inlineStr">
        <is>
          <t>2028-04-06</t>
        </is>
      </c>
      <c r="E36" s="2" t="inlineStr">
        <is>
          <t>2028-04-06</t>
        </is>
      </c>
      <c r="F36" s="2" t="n">
        <v>0</v>
      </c>
    </row>
  </sheetData>
  <autoFilter ref="A1:F3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s>
  <sheetData>
    <row r="1">
      <c r="A1" s="1" t="inlineStr">
        <is>
          <t>Scenario</t>
        </is>
      </c>
      <c r="B1" s="1" t="inlineStr">
        <is>
          <t>Bays</t>
        </is>
      </c>
      <c r="C1" s="1" t="inlineStr">
        <is>
          <t>MT per bay-day</t>
        </is>
      </c>
      <c r="D1" s="1" t="inlineStr">
        <is>
          <t>Steel lead calendar days</t>
        </is>
      </c>
      <c r="E1" s="1" t="inlineStr">
        <is>
          <t>Finish exclusive</t>
        </is>
      </c>
      <c r="F1" s="1" t="inlineStr">
        <is>
          <t>Calendar days beyond assumed anniversary</t>
        </is>
      </c>
      <c r="G1" s="1" t="inlineStr">
        <is>
          <t>Evidence status</t>
        </is>
      </c>
    </row>
    <row r="2">
      <c r="A2" s="2" t="inlineStr">
        <is>
          <t>BASE</t>
        </is>
      </c>
      <c r="B2" s="2" t="n">
        <v>2</v>
      </c>
      <c r="C2" s="2" t="n">
        <v>4</v>
      </c>
      <c r="D2" s="2" t="n">
        <v>45</v>
      </c>
      <c r="E2" s="2" t="inlineStr">
        <is>
          <t>2028-04-06</t>
        </is>
      </c>
      <c r="F2" s="2" t="n">
        <v>157</v>
      </c>
      <c r="G2" s="2" t="inlineStr">
        <is>
          <t>All capacity/lead-time assumptions unverified; not contractual delay entitlement</t>
        </is>
      </c>
    </row>
    <row r="3">
      <c r="A3" s="2" t="inlineStr">
        <is>
          <t>MORE_YARD</t>
        </is>
      </c>
      <c r="B3" s="2" t="n">
        <v>4</v>
      </c>
      <c r="C3" s="2" t="n">
        <v>8</v>
      </c>
      <c r="D3" s="2" t="n">
        <v>45</v>
      </c>
      <c r="E3" s="2" t="inlineStr">
        <is>
          <t>2028-02-26</t>
        </is>
      </c>
      <c r="F3" s="2" t="n">
        <v>117</v>
      </c>
      <c r="G3" s="2" t="inlineStr">
        <is>
          <t>All capacity/lead-time assumptions unverified; not contractual delay entitlement</t>
        </is>
      </c>
    </row>
    <row r="4">
      <c r="A4" s="2" t="inlineStr">
        <is>
          <t>FAST_SUPPLY_MORE_YARD</t>
        </is>
      </c>
      <c r="B4" s="2" t="n">
        <v>4</v>
      </c>
      <c r="C4" s="2" t="n">
        <v>8</v>
      </c>
      <c r="D4" s="2" t="n">
        <v>15</v>
      </c>
      <c r="E4" s="2" t="inlineStr">
        <is>
          <t>2028-02-26</t>
        </is>
      </c>
      <c r="F4" s="2" t="n">
        <v>117</v>
      </c>
      <c r="G4" s="2" t="inlineStr">
        <is>
          <t>All capacity/lead-time assumptions unverified; not contractual delay entitlement</t>
        </is>
      </c>
    </row>
  </sheetData>
  <autoFilter ref="A1:G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Control</t>
        </is>
      </c>
      <c r="B1" s="1" t="inlineStr">
        <is>
          <t>Rule</t>
        </is>
      </c>
    </row>
    <row r="2">
      <c r="A2" s="2" t="inlineStr">
        <is>
          <t>OFFICE</t>
        </is>
      </c>
      <c r="B2" s="2" t="inlineStr">
        <is>
          <t>Mon–Fri8h; holidays absent</t>
        </is>
      </c>
    </row>
    <row r="3">
      <c r="A3" s="2" t="inlineStr">
        <is>
          <t>YARD</t>
        </is>
      </c>
      <c r="B3" s="2" t="inlineStr">
        <is>
          <t>Mon–Sat; unverified shift/capacity</t>
        </is>
      </c>
    </row>
    <row r="4">
      <c r="A4" s="2" t="inlineStr">
        <is>
          <t>OFF</t>
        </is>
      </c>
      <c r="B4" s="2" t="inlineStr">
        <is>
          <t>7days;16May–15Oct blocked as planning scenario, indivisible work phase must fit open season</t>
        </is>
      </c>
    </row>
    <row r="5">
      <c r="A5" s="2" t="inlineStr">
        <is>
          <t>ALL</t>
        </is>
      </c>
      <c r="B5" s="2" t="inlineStr">
        <is>
          <t>7calendar days</t>
        </is>
      </c>
    </row>
    <row r="6">
      <c r="A6" s="2" t="inlineStr">
        <is>
          <t>Date convention</t>
        </is>
      </c>
      <c r="B6" s="2" t="inlineStr">
        <is>
          <t>Half-open intervals: finish is next-day boundary; zero duration milestones at boundary</t>
        </is>
      </c>
    </row>
    <row r="7">
      <c r="A7" s="2" t="inlineStr">
        <is>
          <t>Links</t>
        </is>
      </c>
      <c r="B7" s="2" t="inlineStr">
        <is>
          <t>FS0 including explicit proposed resource-sequencing links</t>
        </is>
      </c>
    </row>
    <row r="8">
      <c r="A8" s="2" t="inlineStr">
        <is>
          <t>Offshore season</t>
        </is>
      </c>
      <c r="B8" s="2" t="inlineStr">
        <is>
          <t>Planning exclusion16May–15Oct; offshore phase indivisible; qualifying contractual relief needs actual evidence</t>
        </is>
      </c>
    </row>
    <row r="9">
      <c r="A9" s="2" t="inlineStr">
        <is>
          <t>Capacity limitation</t>
        </is>
      </c>
      <c r="B9" s="2" t="inlineStr">
        <is>
          <t>Named chains only; engineering/NDT/POB/access/charter actual capacity unverified; not a full resource-feasibility result</t>
        </is>
      </c>
    </row>
    <row r="10">
      <c r="A10" s="2" t="inlineStr">
        <is>
          <t>Float</t>
        </is>
      </c>
      <c r="B10" s="2" t="inlineStr">
        <is>
          <t>Calendar-day latest-start slack to scenario completion, not float against approved contractual dates</t>
        </is>
      </c>
    </row>
    <row r="11">
      <c r="A11" s="2" t="inlineStr">
        <is>
          <t>Target comparison</t>
        </is>
      </c>
      <c r="B11" s="2" t="inlineStr">
        <is>
          <t>1Nov2027 is assumed12month anniversary; convention and relief require contracts confirmation</t>
        </is>
      </c>
    </row>
    <row r="12">
      <c r="A12" s="2" t="inlineStr">
        <is>
          <t>Algorithm checks</t>
        </is>
      </c>
      <c r="B12" s="2" t="inlineStr">
        <is>
          <t>All IDs/predecessors valid, DAG/cycle check, forward/backward dates, nonnegative computed float, FS constraints</t>
        </is>
      </c>
    </row>
    <row r="13">
      <c r="A13" s="2" t="inlineStr">
        <is>
          <t>Sensitivity limitation</t>
        </is>
      </c>
      <c r="B13" s="2" t="inlineStr">
        <is>
          <t>Three deterministic scenarios; no probabilisticP80 or quantified contingency claim</t>
        </is>
      </c>
    </row>
  </sheetData>
  <autoFilter ref="A1:B1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3"/>
  <sheetViews>
    <sheetView zoomScale="80"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s>
  <sheetData>
    <row r="1">
      <c r="A1" s="1" t="inlineStr">
        <is>
          <t>ID</t>
        </is>
      </c>
      <c r="B1" s="1" t="inlineStr">
        <is>
          <t>Event</t>
        </is>
      </c>
      <c r="C1" s="1" t="inlineStr">
        <is>
          <t>Early warning</t>
        </is>
      </c>
      <c r="D1" s="1" t="inlineStr">
        <is>
          <t>Owner</t>
        </is>
      </c>
      <c r="E1" s="1" t="inlineStr">
        <is>
          <t>Required mitigation</t>
        </is>
      </c>
      <c r="F1" s="1" t="inlineStr">
        <is>
          <t>Hold/escalation</t>
        </is>
      </c>
      <c r="G1" s="1" t="inlineStr">
        <is>
          <t>Likelihood</t>
        </is>
      </c>
      <c r="H1" s="1" t="inlineStr">
        <is>
          <t>Impact</t>
        </is>
      </c>
      <c r="I1" s="1" t="inlineStr">
        <is>
          <t>Residual exposure</t>
        </is>
      </c>
    </row>
    <row r="2">
      <c r="A2" s="2" t="inlineStr">
        <is>
          <t>R01</t>
        </is>
      </c>
      <c r="B2" s="2" t="inlineStr">
        <is>
          <t>Wrong source revision or unrelated S&amp;SRP scope</t>
        </is>
      </c>
      <c r="C2" s="2" t="inlineStr">
        <is>
          <t>Revised SCC/A3 not positively mapped; common platform names</t>
        </is>
      </c>
      <c r="D2" s="2" t="inlineStr">
        <is>
          <t>Contracts</t>
        </is>
      </c>
      <c r="E2" s="2" t="inlineStr">
        <is>
          <t>Freeze affected release and resolve applicability/precedence</t>
        </is>
      </c>
      <c r="F2" s="2" t="inlineStr">
        <is>
          <t>PO/AFC release blocked for disputed requirement</t>
        </is>
      </c>
      <c r="G2" s="2" t="n"/>
      <c r="H2" s="2" t="n"/>
      <c r="I2" s="2" t="inlineStr">
        <is>
          <t>NOT QUANTIFIED</t>
        </is>
      </c>
    </row>
    <row r="3">
      <c r="A3" s="2" t="inlineStr">
        <is>
          <t>R02</t>
        </is>
      </c>
      <c r="B3" s="2" t="inlineStr">
        <is>
          <t>Survey geometry or corrosion differs from tender</t>
        </is>
      </c>
      <c r="C3" s="2" t="inlineStr">
        <is>
          <t>Span/elevation/thickness/support condition outside accepted model</t>
        </is>
      </c>
      <c r="D3" s="2" t="inlineStr">
        <is>
          <t>Engineering</t>
        </is>
      </c>
      <c r="E3" s="2" t="inlineStr">
        <is>
          <t>Survey, NDT, independent check and controlled redesign</t>
        </is>
      </c>
      <c r="F3" s="2" t="inlineStr">
        <is>
          <t>Affected design and load-path release held</t>
        </is>
      </c>
      <c r="G3" s="2" t="n"/>
      <c r="H3" s="2" t="n"/>
      <c r="I3" s="2" t="inlineStr">
        <is>
          <t>NOT QUANTIFIED</t>
        </is>
      </c>
    </row>
    <row r="4">
      <c r="A4" s="2" t="inlineStr">
        <is>
          <t>R03</t>
        </is>
      </c>
      <c r="B4" s="2" t="inlineStr">
        <is>
          <t>Steel grade/origin unavailable in lead time</t>
        </is>
      </c>
      <c r="C4" s="2" t="inlineStr">
        <is>
          <t>Mill quote fails grade, dimensions or Melt&amp;Pour/DVA evidence</t>
        </is>
      </c>
      <c r="D4" s="2" t="inlineStr">
        <is>
          <t>Procurement</t>
        </is>
      </c>
      <c r="E4" s="2" t="inlineStr">
        <is>
          <t>Qualify alternative compliant mill/section through design approval</t>
        </is>
      </c>
      <c r="F4" s="2" t="inlineStr">
        <is>
          <t>No unauthorised substitution</t>
        </is>
      </c>
      <c r="G4" s="2" t="n"/>
      <c r="H4" s="2" t="n"/>
      <c r="I4" s="2" t="inlineStr">
        <is>
          <t>NOT QUANTIFIED</t>
        </is>
      </c>
    </row>
    <row r="5">
      <c r="A5" s="2" t="inlineStr">
        <is>
          <t>R04</t>
        </is>
      </c>
      <c r="B5" s="2" t="inlineStr">
        <is>
          <t>First offshore season missed</t>
        </is>
      </c>
      <c r="C5" s="2" t="inlineStr">
        <is>
          <t>Ready-for-installation forecast beyond15May under scenario</t>
        </is>
      </c>
      <c r="D5" s="2" t="inlineStr">
        <is>
          <t>Planning</t>
        </is>
      </c>
      <c r="E5" s="2" t="inlineStr">
        <is>
          <t>Stage independent releases and verify earlier supply/capacity; cost second season</t>
        </is>
      </c>
      <c r="F5" s="2" t="inlineStr">
        <is>
          <t>Seek schedule/contract decision with evidence</t>
        </is>
      </c>
      <c r="G5" s="2" t="n"/>
      <c r="H5" s="2" t="n"/>
      <c r="I5" s="2" t="inlineStr">
        <is>
          <t>NOT QUANTIFIED</t>
        </is>
      </c>
    </row>
    <row r="6">
      <c r="A6" s="2" t="inlineStr">
        <is>
          <t>R05</t>
        </is>
      </c>
      <c r="B6" s="2" t="inlineStr">
        <is>
          <t>Vessel capacity or availability fails</t>
        </is>
      </c>
      <c r="C6" s="2" t="inlineStr">
        <is>
          <t>Crane chart, deck/stability or booking does not cover module</t>
        </is>
      </c>
      <c r="D6" s="2" t="inlineStr">
        <is>
          <t>Marine</t>
        </is>
      </c>
      <c r="E6" s="2" t="inlineStr">
        <is>
          <t>Engineer module envelope and qualify alternate spread</t>
        </is>
      </c>
      <c r="F6" s="2" t="inlineStr">
        <is>
          <t>No charter/lift commitment without assurance</t>
        </is>
      </c>
      <c r="G6" s="2" t="n"/>
      <c r="H6" s="2" t="n"/>
      <c r="I6" s="2" t="inlineStr">
        <is>
          <t>NOT QUANTIFIED</t>
        </is>
      </c>
    </row>
    <row r="7">
      <c r="A7" s="2" t="inlineStr">
        <is>
          <t>R06</t>
        </is>
      </c>
      <c r="B7" s="2" t="inlineStr">
        <is>
          <t>Shared crews/yard bottleneck</t>
        </is>
      </c>
      <c r="C7" s="2" t="inlineStr">
        <is>
          <t>Weekly demand exceeds named capacity or coating/NDT queue grows</t>
        </is>
      </c>
      <c r="D7" s="2" t="inlineStr">
        <is>
          <t>Construction</t>
        </is>
      </c>
      <c r="E7" s="2" t="inlineStr">
        <is>
          <t>Resource loading, workfront sequencing and priced additional capacity</t>
        </is>
      </c>
      <c r="F7" s="2" t="inlineStr">
        <is>
          <t>Escalate before lookahead freeze</t>
        </is>
      </c>
      <c r="G7" s="2" t="n"/>
      <c r="H7" s="2" t="n"/>
      <c r="I7" s="2" t="inlineStr">
        <is>
          <t>NOT QUANTIFIED</t>
        </is>
      </c>
    </row>
    <row r="8">
      <c r="A8" s="2" t="inlineStr">
        <is>
          <t>R07</t>
        </is>
      </c>
      <c r="B8" s="2" t="inlineStr">
        <is>
          <t>Piping/platform movement mismatch</t>
        </is>
      </c>
      <c r="C8" s="2" t="inlineStr">
        <is>
          <t>Stress/support reactions not accepted by structural team</t>
        </is>
      </c>
      <c r="D8" s="2" t="inlineStr">
        <is>
          <t>Piping/Structural</t>
        </is>
      </c>
      <c r="E8" s="2" t="inlineStr">
        <is>
          <t>Iterate movement/stiffness and supporting deck checks</t>
        </is>
      </c>
      <c r="F8" s="2" t="inlineStr">
        <is>
          <t>Bearing/service design release held</t>
        </is>
      </c>
      <c r="G8" s="2" t="n"/>
      <c r="H8" s="2" t="n"/>
      <c r="I8" s="2" t="inlineStr">
        <is>
          <t>NOT QUANTIFIED</t>
        </is>
      </c>
    </row>
    <row r="9">
      <c r="A9" s="2" t="inlineStr">
        <is>
          <t>R08</t>
        </is>
      </c>
      <c r="B9" s="2" t="inlineStr">
        <is>
          <t>Live-service loss or unsafe demolition</t>
        </is>
      </c>
      <c r="C9" s="2" t="inlineStr">
        <is>
          <t>Isolation/bypass/temporary support not accepted</t>
        </is>
      </c>
      <c r="D9" s="2" t="inlineStr">
        <is>
          <t>Operations</t>
        </is>
      </c>
      <c r="E9" s="2" t="inlineStr">
        <is>
          <t>Integrated SIMOPS/transfer and staged stability review</t>
        </is>
      </c>
      <c r="F9" s="2" t="inlineStr">
        <is>
          <t>Stop affected work; complete controlled readiness</t>
        </is>
      </c>
      <c r="G9" s="2" t="n"/>
      <c r="H9" s="2" t="n"/>
      <c r="I9" s="2" t="inlineStr">
        <is>
          <t>NOT QUANTIFIED</t>
        </is>
      </c>
    </row>
    <row r="10">
      <c r="A10" s="2" t="inlineStr">
        <is>
          <t>R09</t>
        </is>
      </c>
      <c r="B10" s="2" t="inlineStr">
        <is>
          <t>NDT/coating rework or curing delays</t>
        </is>
      </c>
      <c r="C10" s="2" t="inlineStr">
        <is>
          <t>Rejects, environment or DFT outside approved procedure</t>
        </is>
      </c>
      <c r="D10" s="2" t="inlineStr">
        <is>
          <t>QA</t>
        </is>
      </c>
      <c r="E10" s="2" t="inlineStr">
        <is>
          <t>Qualify process, monitor environment, inspect and repair</t>
        </is>
      </c>
      <c r="F10" s="2" t="inlineStr">
        <is>
          <t>No loadout before release</t>
        </is>
      </c>
      <c r="G10" s="2" t="n"/>
      <c r="H10" s="2" t="n"/>
      <c r="I10" s="2" t="inlineStr">
        <is>
          <t>NOT QUANTIFIED</t>
        </is>
      </c>
    </row>
    <row r="11">
      <c r="A11" s="2" t="inlineStr">
        <is>
          <t>R10</t>
        </is>
      </c>
      <c r="B11" s="2" t="inlineStr">
        <is>
          <t>Funding shortfall</t>
        </is>
      </c>
      <c r="C11" s="2" t="inlineStr">
        <is>
          <t>Unpriced charters, unverified receipts or late certification</t>
        </is>
      </c>
      <c r="D11" s="2" t="inlineStr">
        <is>
          <t>Finance</t>
        </is>
      </c>
      <c r="E11" s="2" t="inlineStr">
        <is>
          <t>Priced estimate, full-life cash, committed facility and scenario stress</t>
        </is>
      </c>
      <c r="F11" s="2" t="inlineStr">
        <is>
          <t>Spending within authorised funded ceiling</t>
        </is>
      </c>
      <c r="G11" s="2" t="n"/>
      <c r="H11" s="2" t="n"/>
      <c r="I11" s="2" t="inlineStr">
        <is>
          <t>NOT QUANTIFIED</t>
        </is>
      </c>
    </row>
    <row r="12">
      <c r="A12" s="2" t="inlineStr">
        <is>
          <t>R11</t>
        </is>
      </c>
      <c r="B12" s="2" t="inlineStr">
        <is>
          <t>Measurement/payment rejection</t>
        </is>
      </c>
      <c r="C12" s="2" t="inlineStr">
        <is>
          <t>No accepted e-MB/SES or amended milestone evidence</t>
        </is>
      </c>
      <c r="D12" s="2" t="inlineStr">
        <is>
          <t>Controls</t>
        </is>
      </c>
      <c r="E12" s="2" t="inlineStr">
        <is>
          <t>Contemporaneous measurements and invoice reconciliation</t>
        </is>
      </c>
      <c r="F12" s="2" t="inlineStr">
        <is>
          <t>Correct records before billing claim</t>
        </is>
      </c>
      <c r="G12" s="2" t="n"/>
      <c r="H12" s="2" t="n"/>
      <c r="I12" s="2" t="inlineStr">
        <is>
          <t>NOT QUANTIFIED</t>
        </is>
      </c>
    </row>
    <row r="13">
      <c r="A13" s="2" t="inlineStr">
        <is>
          <t>R12</t>
        </is>
      </c>
      <c r="B13" s="2" t="inlineStr">
        <is>
          <t>Emergency/weather disruption</t>
        </is>
      </c>
      <c r="C13" s="2" t="inlineStr">
        <is>
          <t>Forecast reaches abort thresholds or vessel critical system fails</t>
        </is>
      </c>
      <c r="D13" s="2" t="inlineStr">
        <is>
          <t>Marine/HSE</t>
        </is>
      </c>
      <c r="E13" s="2" t="inlineStr">
        <is>
          <t>Refuge/evacuation plan, drills, stop/abort authority and reserve strategy</t>
        </is>
      </c>
      <c r="F13" s="2" t="inlineStr">
        <is>
          <t>Record decision and personnel accountability</t>
        </is>
      </c>
      <c r="G13" s="2" t="n"/>
      <c r="H13" s="2" t="n"/>
      <c r="I13" s="2" t="inlineStr">
        <is>
          <t>NOT QUANTIFIED</t>
        </is>
      </c>
    </row>
  </sheetData>
  <autoFilter ref="A1:I1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3"/>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s>
  <sheetData>
    <row r="1">
      <c r="A1" s="1" t="inlineStr">
        <is>
          <t>Gate</t>
        </is>
      </c>
      <c r="B1" s="1" t="inlineStr">
        <is>
          <t>Prerequisite evidence</t>
        </is>
      </c>
      <c r="C1" s="1" t="inlineStr">
        <is>
          <t>Accountable</t>
        </is>
      </c>
      <c r="D1" s="1" t="inlineStr">
        <is>
          <t>Release authority</t>
        </is>
      </c>
      <c r="E1" s="1" t="inlineStr">
        <is>
          <t>Status</t>
        </is>
      </c>
    </row>
    <row r="2">
      <c r="A2" s="2" t="inlineStr">
        <is>
          <t>Survey/basis</t>
        </is>
      </c>
      <c r="B2" s="2" t="inlineStr">
        <is>
          <t>Accepted survey, source hierarchy and design queries</t>
        </is>
      </c>
      <c r="C2" s="2" t="inlineStr">
        <is>
          <t>Engineering</t>
        </is>
      </c>
      <c r="D2" s="2" t="inlineStr">
        <is>
          <t>Project authority/company/CA as contract applies</t>
        </is>
      </c>
      <c r="E2" s="2" t="inlineStr">
        <is>
          <t>HOLD — evidence not supplied</t>
        </is>
      </c>
    </row>
    <row r="3">
      <c r="A3" s="2" t="inlineStr">
        <is>
          <t>Design release</t>
        </is>
      </c>
      <c r="B3" s="2" t="inlineStr">
        <is>
          <t>Checked analysis, connection/bearing/stage checks and matching drawings</t>
        </is>
      </c>
      <c r="C3" s="2" t="inlineStr">
        <is>
          <t>Engineering</t>
        </is>
      </c>
      <c r="D3" s="2" t="inlineStr">
        <is>
          <t>Project authority/company/CA as contract applies</t>
        </is>
      </c>
      <c r="E3" s="2" t="inlineStr">
        <is>
          <t>HOLD — evidence not supplied</t>
        </is>
      </c>
    </row>
    <row r="4">
      <c r="A4" s="2" t="inlineStr">
        <is>
          <t>Purchase release</t>
        </is>
      </c>
      <c r="B4" s="2" t="inlineStr">
        <is>
          <t>ApprovedPS, origin/compliance and authorised cost commitment</t>
        </is>
      </c>
      <c r="C4" s="2" t="inlineStr">
        <is>
          <t>Procurement</t>
        </is>
      </c>
      <c r="D4" s="2" t="inlineStr">
        <is>
          <t>Project authority/company/CA as contract applies</t>
        </is>
      </c>
      <c r="E4" s="2" t="inlineStr">
        <is>
          <t>HOLD — evidence not supplied</t>
        </is>
      </c>
    </row>
    <row r="5">
      <c r="A5" s="2" t="inlineStr">
        <is>
          <t>Weld start</t>
        </is>
      </c>
      <c r="B5" s="2" t="inlineStr">
        <is>
          <t>ApprovedWPS/PQR, welder qualifications, material identity</t>
        </is>
      </c>
      <c r="C5" s="2" t="inlineStr">
        <is>
          <t>QA</t>
        </is>
      </c>
      <c r="D5" s="2" t="inlineStr">
        <is>
          <t>Project authority/company/CA as contract applies</t>
        </is>
      </c>
      <c r="E5" s="2" t="inlineStr">
        <is>
          <t>HOLD — evidence not supplied</t>
        </is>
      </c>
    </row>
    <row r="6">
      <c r="A6" s="2" t="inlineStr">
        <is>
          <t>NDT release</t>
        </is>
      </c>
      <c r="B6" s="2" t="inlineStr">
        <is>
          <t>Accepted procedure/personnel/calibration/reports and repair closure</t>
        </is>
      </c>
      <c r="C6" s="2" t="inlineStr">
        <is>
          <t>QA</t>
        </is>
      </c>
      <c r="D6" s="2" t="inlineStr">
        <is>
          <t>Project authority/company/CA as contract applies</t>
        </is>
      </c>
      <c r="E6" s="2" t="inlineStr">
        <is>
          <t>HOLD — evidence not supplied</t>
        </is>
      </c>
    </row>
    <row r="7">
      <c r="A7" s="2" t="inlineStr">
        <is>
          <t>Coating start</t>
        </is>
      </c>
      <c r="B7" s="2" t="inlineStr">
        <is>
          <t>Approved system, surface condition, environment and hold-point release</t>
        </is>
      </c>
      <c r="C7" s="2" t="inlineStr">
        <is>
          <t>QA</t>
        </is>
      </c>
      <c r="D7" s="2" t="inlineStr">
        <is>
          <t>Project authority/company/CA as contract applies</t>
        </is>
      </c>
      <c r="E7" s="2" t="inlineStr">
        <is>
          <t>HOLD — evidence not supplied</t>
        </is>
      </c>
    </row>
    <row r="8">
      <c r="A8" s="2" t="inlineStr">
        <is>
          <t>Loadout</t>
        </is>
      </c>
      <c r="B8" s="2" t="inlineStr">
        <is>
          <t>Dimensions, weight/COG, trial fit, lifting and transport assurance</t>
        </is>
      </c>
      <c r="C8" s="2" t="inlineStr">
        <is>
          <t>Marine</t>
        </is>
      </c>
      <c r="D8" s="2" t="inlineStr">
        <is>
          <t>Project authority/company/CA as contract applies</t>
        </is>
      </c>
      <c r="E8" s="2" t="inlineStr">
        <is>
          <t>HOLD — evidence not supplied</t>
        </is>
      </c>
    </row>
    <row r="9">
      <c r="A9" s="2" t="inlineStr">
        <is>
          <t>Sailout</t>
        </is>
      </c>
      <c r="B9" s="2" t="inlineStr">
        <is>
          <t>Vessel certificates/audit, cargo/seafastening and readiness</t>
        </is>
      </c>
      <c r="C9" s="2" t="inlineStr">
        <is>
          <t>Marine</t>
        </is>
      </c>
      <c r="D9" s="2" t="inlineStr">
        <is>
          <t>Project authority/company/CA as contract applies</t>
        </is>
      </c>
      <c r="E9" s="2" t="inlineStr">
        <is>
          <t>HOLD — evidence not supplied</t>
        </is>
      </c>
    </row>
    <row r="10">
      <c r="A10" s="2" t="inlineStr">
        <is>
          <t>Installation</t>
        </is>
      </c>
      <c r="B10" s="2" t="inlineStr">
        <is>
          <t>PTW/SIMOPS/support readiness, weather and approved lift plan</t>
        </is>
      </c>
      <c r="C10" s="2" t="inlineStr">
        <is>
          <t>Construction</t>
        </is>
      </c>
      <c r="D10" s="2" t="inlineStr">
        <is>
          <t>Project authority/company/CA as contract applies</t>
        </is>
      </c>
      <c r="E10" s="2" t="inlineStr">
        <is>
          <t>HOLD — evidence not supplied</t>
        </is>
      </c>
    </row>
    <row r="11">
      <c r="A11" s="2" t="inlineStr">
        <is>
          <t>Removal</t>
        </is>
      </c>
      <c r="B11" s="2" t="inlineStr">
        <is>
          <t>Accepted alternate support/service configuration and engineered sequence</t>
        </is>
      </c>
      <c r="C11" s="2" t="inlineStr">
        <is>
          <t>Construction</t>
        </is>
      </c>
      <c r="D11" s="2" t="inlineStr">
        <is>
          <t>Project authority/company/CA as contract applies</t>
        </is>
      </c>
      <c r="E11" s="2" t="inlineStr">
        <is>
          <t>HOLD — evidence not supplied</t>
        </is>
      </c>
    </row>
    <row r="12">
      <c r="A12" s="2" t="inlineStr">
        <is>
          <t>Reinstatement</t>
        </is>
      </c>
      <c r="B12" s="2" t="inlineStr">
        <is>
          <t>Approved test boundaries/results and operations authorisation</t>
        </is>
      </c>
      <c r="C12" s="2" t="inlineStr">
        <is>
          <t>Commissioning</t>
        </is>
      </c>
      <c r="D12" s="2" t="inlineStr">
        <is>
          <t>Project authority/company/CA as contract applies</t>
        </is>
      </c>
      <c r="E12" s="2" t="inlineStr">
        <is>
          <t>HOLD — evidence not supplied</t>
        </is>
      </c>
    </row>
    <row r="13">
      <c r="A13" s="2" t="inlineStr">
        <is>
          <t>Turnover</t>
        </is>
      </c>
      <c r="B13" s="2" t="inlineStr">
        <is>
          <t>As-builts, inspection records, punch closure and formal acceptance</t>
        </is>
      </c>
      <c r="C13" s="2" t="inlineStr">
        <is>
          <t>Completions</t>
        </is>
      </c>
      <c r="D13" s="2" t="inlineStr">
        <is>
          <t>Project authority/company/CA as contract applies</t>
        </is>
      </c>
      <c r="E13" s="2" t="inlineStr">
        <is>
          <t>HOLD — evidence not supplied</t>
        </is>
      </c>
    </row>
  </sheetData>
  <autoFilter ref="A1:E1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8"/>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s>
  <sheetData>
    <row r="1">
      <c r="A1" s="1" t="inlineStr">
        <is>
          <t>Operation</t>
        </is>
      </c>
      <c r="B1" s="1" t="inlineStr">
        <is>
          <t>Required engineered checks</t>
        </is>
      </c>
      <c r="C1" s="1" t="inlineStr">
        <is>
          <t>Required records</t>
        </is>
      </c>
      <c r="D1" s="1" t="inlineStr">
        <is>
          <t>Status</t>
        </is>
      </c>
    </row>
    <row r="2">
      <c r="A2" s="2" t="inlineStr">
        <is>
          <t>Module definition</t>
        </is>
      </c>
      <c r="B2" s="2" t="inlineStr">
        <is>
          <t>Dimensions, centre of gravity, attachments, loose items and tolerances</t>
        </is>
      </c>
      <c r="C2" s="2" t="inlineStr">
        <is>
          <t>Weight report/drawing revision</t>
        </is>
      </c>
      <c r="D2" s="2" t="inlineStr">
        <is>
          <t>OPEN</t>
        </is>
      </c>
    </row>
    <row r="3">
      <c r="A3" s="2" t="inlineStr">
        <is>
          <t>Lift</t>
        </is>
      </c>
      <c r="B3" s="2" t="inlineStr">
        <is>
          <t>Crane at radius/configuration; dynamics, rigging/load share, padeyes and local structure</t>
        </is>
      </c>
      <c r="C3" s="2" t="inlineStr">
        <is>
          <t>Independent checked lift pack; certified gear</t>
        </is>
      </c>
      <c r="D3" s="2" t="inlineStr">
        <is>
          <t>OPEN</t>
        </is>
      </c>
    </row>
    <row r="4">
      <c r="A4" s="2" t="inlineStr">
        <is>
          <t>Loadout/voyage</t>
        </is>
      </c>
      <c r="B4" s="2" t="inlineStr">
        <is>
          <t>Deck capacity/stability, supports, accelerations, seafastening, route/forecast</t>
        </is>
      </c>
      <c r="C4" s="2" t="inlineStr">
        <is>
          <t>Loadout/voyage approval and survey</t>
        </is>
      </c>
      <c r="D4" s="2" t="inlineStr">
        <is>
          <t>OPEN</t>
        </is>
      </c>
    </row>
    <row r="5">
      <c r="A5" s="2" t="inlineStr">
        <is>
          <t>Positioning</t>
        </is>
      </c>
      <c r="B5" s="2" t="inlineStr">
        <is>
          <t>Mooring/DP, clearance, seabed/caisson risks, operational limits</t>
        </is>
      </c>
      <c r="C5" s="2" t="inlineStr">
        <is>
          <t>Approved positioning/anchor plan</t>
        </is>
      </c>
      <c r="D5" s="2" t="inlineStr">
        <is>
          <t>OPEN</t>
        </is>
      </c>
    </row>
    <row r="6">
      <c r="A6" s="2" t="inlineStr">
        <is>
          <t>Landing</t>
        </is>
      </c>
      <c r="B6" s="2" t="inlineStr">
        <is>
          <t>Movement/thrust, support strength, alignment, bearing setting and restraint removal</t>
        </is>
      </c>
      <c r="C6" s="2" t="inlineStr">
        <is>
          <t>Survey, support release and ITR</t>
        </is>
      </c>
      <c r="D6" s="2" t="inlineStr">
        <is>
          <t>OPEN</t>
        </is>
      </c>
    </row>
    <row r="7">
      <c r="A7" s="2" t="inlineStr">
        <is>
          <t>Demolition</t>
        </is>
      </c>
      <c r="B7" s="2" t="inlineStr">
        <is>
          <t>Stage-by-stage load path, temporary support, cut/lift points and services</t>
        </is>
      </c>
      <c r="C7" s="2" t="inlineStr">
        <is>
          <t>Accepted removal pack and permit</t>
        </is>
      </c>
      <c r="D7" s="2" t="inlineStr">
        <is>
          <t>OPEN</t>
        </is>
      </c>
    </row>
    <row r="8">
      <c r="A8" s="2" t="inlineStr">
        <is>
          <t>Personnel</t>
        </is>
      </c>
      <c r="B8" s="2" t="inlineStr">
        <is>
          <t>POB/certificates/medical/training, transfer and evacuation</t>
        </is>
      </c>
      <c r="C8" s="2" t="inlineStr">
        <is>
          <t>C9/C10 audit and emergency records</t>
        </is>
      </c>
      <c r="D8" s="2" t="inlineStr">
        <is>
          <t>OPEN</t>
        </is>
      </c>
    </row>
  </sheetData>
  <autoFilter ref="A1:D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3"/>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s>
  <sheetData>
    <row r="1">
      <c r="A1" s="1" t="inlineStr">
        <is>
          <t>Hazard/control</t>
        </is>
      </c>
      <c r="B1" s="1" t="inlineStr">
        <is>
          <t>Minimum evidence</t>
        </is>
      </c>
      <c r="C1" s="1" t="inlineStr">
        <is>
          <t>Owner</t>
        </is>
      </c>
      <c r="D1" s="1" t="inlineStr">
        <is>
          <t>Status</t>
        </is>
      </c>
    </row>
    <row r="2">
      <c r="A2" s="2" t="inlineStr">
        <is>
          <t>Isolation/LOTO</t>
        </is>
      </c>
      <c r="B2" s="2" t="inlineStr">
        <is>
          <t>Approved boundary, register, gas tests and operations verification</t>
        </is>
      </c>
      <c r="C2" s="2" t="inlineStr">
        <is>
          <t>HSE/Operations</t>
        </is>
      </c>
      <c r="D2" s="2" t="inlineStr">
        <is>
          <t>OPEN</t>
        </is>
      </c>
    </row>
    <row r="3">
      <c r="A3" s="2" t="inlineStr">
        <is>
          <t>Hot work</t>
        </is>
      </c>
      <c r="B3" s="2" t="inlineStr">
        <is>
          <t>Permit, gas monitoring, fire watch and extinguisher provision</t>
        </is>
      </c>
      <c r="C3" s="2" t="inlineStr">
        <is>
          <t>HSE/Operations</t>
        </is>
      </c>
      <c r="D3" s="2" t="inlineStr">
        <is>
          <t>OPEN</t>
        </is>
      </c>
    </row>
    <row r="4">
      <c r="A4" s="2" t="inlineStr">
        <is>
          <t>Working at height</t>
        </is>
      </c>
      <c r="B4" s="2" t="inlineStr">
        <is>
          <t>Certified access, harness/anchors and rescue plan</t>
        </is>
      </c>
      <c r="C4" s="2" t="inlineStr">
        <is>
          <t>HSE/Operations</t>
        </is>
      </c>
      <c r="D4" s="2" t="inlineStr">
        <is>
          <t>OPEN</t>
        </is>
      </c>
    </row>
    <row r="5">
      <c r="A5" s="2" t="inlineStr">
        <is>
          <t>Lifting/dropped objects</t>
        </is>
      </c>
      <c r="B5" s="2" t="inlineStr">
        <is>
          <t>Engineered lifts, exclusion zone, communications and tool control</t>
        </is>
      </c>
      <c r="C5" s="2" t="inlineStr">
        <is>
          <t>HSE/Operations</t>
        </is>
      </c>
      <c r="D5" s="2" t="inlineStr">
        <is>
          <t>OPEN</t>
        </is>
      </c>
    </row>
    <row r="6">
      <c r="A6" s="2" t="inlineStr">
        <is>
          <t>Scaffolding</t>
        </is>
      </c>
      <c r="B6" s="2" t="inlineStr">
        <is>
          <t>Design/load class, tags, inspection and rescue access</t>
        </is>
      </c>
      <c r="C6" s="2" t="inlineStr">
        <is>
          <t>HSE/Operations</t>
        </is>
      </c>
      <c r="D6" s="2" t="inlineStr">
        <is>
          <t>OPEN</t>
        </is>
      </c>
    </row>
    <row r="7">
      <c r="A7" s="2" t="inlineStr">
        <is>
          <t>Marine transfers</t>
        </is>
      </c>
      <c r="B7" s="2" t="inlineStr">
        <is>
          <t>Vessel/platform interface, personnel transfer limits and certification</t>
        </is>
      </c>
      <c r="C7" s="2" t="inlineStr">
        <is>
          <t>HSE/Operations</t>
        </is>
      </c>
      <c r="D7" s="2" t="inlineStr">
        <is>
          <t>OPEN</t>
        </is>
      </c>
    </row>
    <row r="8">
      <c r="A8" s="2" t="inlineStr">
        <is>
          <t>Coating/chemicals</t>
        </is>
      </c>
      <c r="B8" s="2" t="inlineStr">
        <is>
          <t>SDS, ventilation, respiratory/skin protection and exposure controls</t>
        </is>
      </c>
      <c r="C8" s="2" t="inlineStr">
        <is>
          <t>HSE/Operations</t>
        </is>
      </c>
      <c r="D8" s="2" t="inlineStr">
        <is>
          <t>OPEN</t>
        </is>
      </c>
    </row>
    <row r="9">
      <c r="A9" s="2" t="inlineStr">
        <is>
          <t>Noise/manual handling</t>
        </is>
      </c>
      <c r="B9" s="2" t="inlineStr">
        <is>
          <t>Assessment, protection and handling methods</t>
        </is>
      </c>
      <c r="C9" s="2" t="inlineStr">
        <is>
          <t>HSE/Operations</t>
        </is>
      </c>
      <c r="D9" s="2" t="inlineStr">
        <is>
          <t>OPEN</t>
        </is>
      </c>
    </row>
    <row r="10">
      <c r="A10" s="2" t="inlineStr">
        <is>
          <t>PPE</t>
        </is>
      </c>
      <c r="B10" s="2" t="inlineStr">
        <is>
          <t>Certified issuance/replacement matrix before work</t>
        </is>
      </c>
      <c r="C10" s="2" t="inlineStr">
        <is>
          <t>HSE/Operations</t>
        </is>
      </c>
      <c r="D10" s="2" t="inlineStr">
        <is>
          <t>OPEN</t>
        </is>
      </c>
    </row>
    <row r="11">
      <c r="A11" s="2" t="inlineStr">
        <is>
          <t>Emergency</t>
        </is>
      </c>
      <c r="B11" s="2" t="inlineStr">
        <is>
          <t>Platform/vessel command, muster/POB, medevac and joint drills</t>
        </is>
      </c>
      <c r="C11" s="2" t="inlineStr">
        <is>
          <t>HSE/Operations</t>
        </is>
      </c>
      <c r="D11" s="2" t="inlineStr">
        <is>
          <t>OPEN</t>
        </is>
      </c>
    </row>
    <row r="12">
      <c r="A12" s="2" t="inlineStr">
        <is>
          <t>Electrical</t>
        </is>
      </c>
      <c r="B12" s="2" t="inlineStr">
        <is>
          <t>Approved isolation, competent persons and certified equipment</t>
        </is>
      </c>
      <c r="C12" s="2" t="inlineStr">
        <is>
          <t>HSE/Operations</t>
        </is>
      </c>
      <c r="D12" s="2" t="inlineStr">
        <is>
          <t>OPEN</t>
        </is>
      </c>
    </row>
    <row r="13">
      <c r="A13" s="2" t="inlineStr">
        <is>
          <t>Environmental</t>
        </is>
      </c>
      <c r="B13" s="2" t="inlineStr">
        <is>
          <t>Spill prevention, waste segregation, scrap and disposal records</t>
        </is>
      </c>
      <c r="C13" s="2" t="inlineStr">
        <is>
          <t>HSE/Operations</t>
        </is>
      </c>
      <c r="D13" s="2" t="inlineStr">
        <is>
          <t>OPEN</t>
        </is>
      </c>
    </row>
  </sheetData>
  <autoFilter ref="A1:D1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41"/>
  <sheetViews>
    <sheetView zoomScale="80"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 width="27" customWidth="1" min="11" max="11"/>
  </cols>
  <sheetData>
    <row r="1">
      <c r="A1" s="1" t="inlineStr">
        <is>
          <t>Date</t>
        </is>
      </c>
      <c r="B1" s="1" t="inlineStr">
        <is>
          <t>IWP</t>
        </is>
      </c>
      <c r="C1" s="1" t="inlineStr">
        <is>
          <t>Planned quantity</t>
        </is>
      </c>
      <c r="D1" s="1" t="inlineStr">
        <is>
          <t>Accepted quantity</t>
        </is>
      </c>
      <c r="E1" s="1" t="inlineStr">
        <is>
          <t>Unit</t>
        </is>
      </c>
      <c r="F1" s="1" t="inlineStr">
        <is>
          <t>Actual crew-hours</t>
        </is>
      </c>
      <c r="G1" s="1" t="inlineStr">
        <is>
          <t>Nonproductive hours</t>
        </is>
      </c>
      <c r="H1" s="1" t="inlineStr">
        <is>
          <t>Rework quantity</t>
        </is>
      </c>
      <c r="I1" s="1" t="inlineStr">
        <is>
          <t>Acceptance record</t>
        </is>
      </c>
      <c r="J1" s="1" t="inlineStr">
        <is>
          <t>Constraint</t>
        </is>
      </c>
      <c r="K1" s="1" t="inlineStr">
        <is>
          <t>Responsible</t>
        </is>
      </c>
    </row>
    <row r="2">
      <c r="A2" s="2" t="n"/>
      <c r="B2" s="2" t="n"/>
      <c r="C2" s="2" t="n"/>
      <c r="D2" s="2" t="n"/>
      <c r="E2" s="2" t="n"/>
      <c r="F2" s="2" t="n"/>
      <c r="G2" s="2" t="n"/>
      <c r="H2" s="2" t="n"/>
      <c r="I2" s="2" t="n"/>
      <c r="J2" s="2" t="n"/>
      <c r="K2" s="2" t="n"/>
    </row>
    <row r="3">
      <c r="A3" s="2" t="n"/>
      <c r="B3" s="2" t="n"/>
      <c r="C3" s="2" t="n"/>
      <c r="D3" s="2" t="n"/>
      <c r="E3" s="2" t="n"/>
      <c r="F3" s="2" t="n"/>
      <c r="G3" s="2" t="n"/>
      <c r="H3" s="2" t="n"/>
      <c r="I3" s="2" t="n"/>
      <c r="J3" s="2" t="n"/>
      <c r="K3" s="2" t="n"/>
    </row>
    <row r="4">
      <c r="A4" s="2" t="n"/>
      <c r="B4" s="2" t="n"/>
      <c r="C4" s="2" t="n"/>
      <c r="D4" s="2" t="n"/>
      <c r="E4" s="2" t="n"/>
      <c r="F4" s="2" t="n"/>
      <c r="G4" s="2" t="n"/>
      <c r="H4" s="2" t="n"/>
      <c r="I4" s="2" t="n"/>
      <c r="J4" s="2" t="n"/>
      <c r="K4" s="2" t="n"/>
    </row>
    <row r="5">
      <c r="A5" s="2" t="n"/>
      <c r="B5" s="2" t="n"/>
      <c r="C5" s="2" t="n"/>
      <c r="D5" s="2" t="n"/>
      <c r="E5" s="2" t="n"/>
      <c r="F5" s="2" t="n"/>
      <c r="G5" s="2" t="n"/>
      <c r="H5" s="2" t="n"/>
      <c r="I5" s="2" t="n"/>
      <c r="J5" s="2" t="n"/>
      <c r="K5" s="2" t="n"/>
    </row>
    <row r="6">
      <c r="A6" s="2" t="n"/>
      <c r="B6" s="2" t="n"/>
      <c r="C6" s="2" t="n"/>
      <c r="D6" s="2" t="n"/>
      <c r="E6" s="2" t="n"/>
      <c r="F6" s="2" t="n"/>
      <c r="G6" s="2" t="n"/>
      <c r="H6" s="2" t="n"/>
      <c r="I6" s="2" t="n"/>
      <c r="J6" s="2" t="n"/>
      <c r="K6" s="2" t="n"/>
    </row>
    <row r="7">
      <c r="A7" s="2" t="n"/>
      <c r="B7" s="2" t="n"/>
      <c r="C7" s="2" t="n"/>
      <c r="D7" s="2" t="n"/>
      <c r="E7" s="2" t="n"/>
      <c r="F7" s="2" t="n"/>
      <c r="G7" s="2" t="n"/>
      <c r="H7" s="2" t="n"/>
      <c r="I7" s="2" t="n"/>
      <c r="J7" s="2" t="n"/>
      <c r="K7" s="2" t="n"/>
    </row>
    <row r="8">
      <c r="A8" s="2" t="n"/>
      <c r="B8" s="2" t="n"/>
      <c r="C8" s="2" t="n"/>
      <c r="D8" s="2" t="n"/>
      <c r="E8" s="2" t="n"/>
      <c r="F8" s="2" t="n"/>
      <c r="G8" s="2" t="n"/>
      <c r="H8" s="2" t="n"/>
      <c r="I8" s="2" t="n"/>
      <c r="J8" s="2" t="n"/>
      <c r="K8" s="2" t="n"/>
    </row>
    <row r="9">
      <c r="A9" s="2" t="n"/>
      <c r="B9" s="2" t="n"/>
      <c r="C9" s="2" t="n"/>
      <c r="D9" s="2" t="n"/>
      <c r="E9" s="2" t="n"/>
      <c r="F9" s="2" t="n"/>
      <c r="G9" s="2" t="n"/>
      <c r="H9" s="2" t="n"/>
      <c r="I9" s="2" t="n"/>
      <c r="J9" s="2" t="n"/>
      <c r="K9" s="2" t="n"/>
    </row>
    <row r="10">
      <c r="A10" s="2" t="n"/>
      <c r="B10" s="2" t="n"/>
      <c r="C10" s="2" t="n"/>
      <c r="D10" s="2" t="n"/>
      <c r="E10" s="2" t="n"/>
      <c r="F10" s="2" t="n"/>
      <c r="G10" s="2" t="n"/>
      <c r="H10" s="2" t="n"/>
      <c r="I10" s="2" t="n"/>
      <c r="J10" s="2" t="n"/>
      <c r="K10" s="2" t="n"/>
    </row>
    <row r="11">
      <c r="A11" s="2" t="n"/>
      <c r="B11" s="2" t="n"/>
      <c r="C11" s="2" t="n"/>
      <c r="D11" s="2" t="n"/>
      <c r="E11" s="2" t="n"/>
      <c r="F11" s="2" t="n"/>
      <c r="G11" s="2" t="n"/>
      <c r="H11" s="2" t="n"/>
      <c r="I11" s="2" t="n"/>
      <c r="J11" s="2" t="n"/>
      <c r="K11" s="2" t="n"/>
    </row>
    <row r="12">
      <c r="A12" s="2" t="n"/>
      <c r="B12" s="2" t="n"/>
      <c r="C12" s="2" t="n"/>
      <c r="D12" s="2" t="n"/>
      <c r="E12" s="2" t="n"/>
      <c r="F12" s="2" t="n"/>
      <c r="G12" s="2" t="n"/>
      <c r="H12" s="2" t="n"/>
      <c r="I12" s="2" t="n"/>
      <c r="J12" s="2" t="n"/>
      <c r="K12" s="2" t="n"/>
    </row>
    <row r="13">
      <c r="A13" s="2" t="n"/>
      <c r="B13" s="2" t="n"/>
      <c r="C13" s="2" t="n"/>
      <c r="D13" s="2" t="n"/>
      <c r="E13" s="2" t="n"/>
      <c r="F13" s="2" t="n"/>
      <c r="G13" s="2" t="n"/>
      <c r="H13" s="2" t="n"/>
      <c r="I13" s="2" t="n"/>
      <c r="J13" s="2" t="n"/>
      <c r="K13" s="2" t="n"/>
    </row>
    <row r="14">
      <c r="A14" s="2" t="n"/>
      <c r="B14" s="2" t="n"/>
      <c r="C14" s="2" t="n"/>
      <c r="D14" s="2" t="n"/>
      <c r="E14" s="2" t="n"/>
      <c r="F14" s="2" t="n"/>
      <c r="G14" s="2" t="n"/>
      <c r="H14" s="2" t="n"/>
      <c r="I14" s="2" t="n"/>
      <c r="J14" s="2" t="n"/>
      <c r="K14" s="2" t="n"/>
    </row>
    <row r="15">
      <c r="A15" s="2" t="n"/>
      <c r="B15" s="2" t="n"/>
      <c r="C15" s="2" t="n"/>
      <c r="D15" s="2" t="n"/>
      <c r="E15" s="2" t="n"/>
      <c r="F15" s="2" t="n"/>
      <c r="G15" s="2" t="n"/>
      <c r="H15" s="2" t="n"/>
      <c r="I15" s="2" t="n"/>
      <c r="J15" s="2" t="n"/>
      <c r="K15" s="2" t="n"/>
    </row>
    <row r="16">
      <c r="A16" s="2" t="n"/>
      <c r="B16" s="2" t="n"/>
      <c r="C16" s="2" t="n"/>
      <c r="D16" s="2" t="n"/>
      <c r="E16" s="2" t="n"/>
      <c r="F16" s="2" t="n"/>
      <c r="G16" s="2" t="n"/>
      <c r="H16" s="2" t="n"/>
      <c r="I16" s="2" t="n"/>
      <c r="J16" s="2" t="n"/>
      <c r="K16" s="2" t="n"/>
    </row>
    <row r="17">
      <c r="A17" s="2" t="n"/>
      <c r="B17" s="2" t="n"/>
      <c r="C17" s="2" t="n"/>
      <c r="D17" s="2" t="n"/>
      <c r="E17" s="2" t="n"/>
      <c r="F17" s="2" t="n"/>
      <c r="G17" s="2" t="n"/>
      <c r="H17" s="2" t="n"/>
      <c r="I17" s="2" t="n"/>
      <c r="J17" s="2" t="n"/>
      <c r="K17" s="2" t="n"/>
    </row>
    <row r="18">
      <c r="A18" s="2" t="n"/>
      <c r="B18" s="2" t="n"/>
      <c r="C18" s="2" t="n"/>
      <c r="D18" s="2" t="n"/>
      <c r="E18" s="2" t="n"/>
      <c r="F18" s="2" t="n"/>
      <c r="G18" s="2" t="n"/>
      <c r="H18" s="2" t="n"/>
      <c r="I18" s="2" t="n"/>
      <c r="J18" s="2" t="n"/>
      <c r="K18" s="2" t="n"/>
    </row>
    <row r="19">
      <c r="A19" s="2" t="n"/>
      <c r="B19" s="2" t="n"/>
      <c r="C19" s="2" t="n"/>
      <c r="D19" s="2" t="n"/>
      <c r="E19" s="2" t="n"/>
      <c r="F19" s="2" t="n"/>
      <c r="G19" s="2" t="n"/>
      <c r="H19" s="2" t="n"/>
      <c r="I19" s="2" t="n"/>
      <c r="J19" s="2" t="n"/>
      <c r="K19" s="2" t="n"/>
    </row>
    <row r="20">
      <c r="A20" s="2" t="n"/>
      <c r="B20" s="2" t="n"/>
      <c r="C20" s="2" t="n"/>
      <c r="D20" s="2" t="n"/>
      <c r="E20" s="2" t="n"/>
      <c r="F20" s="2" t="n"/>
      <c r="G20" s="2" t="n"/>
      <c r="H20" s="2" t="n"/>
      <c r="I20" s="2" t="n"/>
      <c r="J20" s="2" t="n"/>
      <c r="K20" s="2" t="n"/>
    </row>
    <row r="21">
      <c r="A21" s="2" t="n"/>
      <c r="B21" s="2" t="n"/>
      <c r="C21" s="2" t="n"/>
      <c r="D21" s="2" t="n"/>
      <c r="E21" s="2" t="n"/>
      <c r="F21" s="2" t="n"/>
      <c r="G21" s="2" t="n"/>
      <c r="H21" s="2" t="n"/>
      <c r="I21" s="2" t="n"/>
      <c r="J21" s="2" t="n"/>
      <c r="K21" s="2" t="n"/>
    </row>
    <row r="22">
      <c r="A22" s="2" t="n"/>
      <c r="B22" s="2" t="n"/>
      <c r="C22" s="2" t="n"/>
      <c r="D22" s="2" t="n"/>
      <c r="E22" s="2" t="n"/>
      <c r="F22" s="2" t="n"/>
      <c r="G22" s="2" t="n"/>
      <c r="H22" s="2" t="n"/>
      <c r="I22" s="2" t="n"/>
      <c r="J22" s="2" t="n"/>
      <c r="K22" s="2" t="n"/>
    </row>
    <row r="23">
      <c r="A23" s="2" t="n"/>
      <c r="B23" s="2" t="n"/>
      <c r="C23" s="2" t="n"/>
      <c r="D23" s="2" t="n"/>
      <c r="E23" s="2" t="n"/>
      <c r="F23" s="2" t="n"/>
      <c r="G23" s="2" t="n"/>
      <c r="H23" s="2" t="n"/>
      <c r="I23" s="2" t="n"/>
      <c r="J23" s="2" t="n"/>
      <c r="K23" s="2" t="n"/>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sheetData>
  <autoFilter ref="A1:K4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7"/>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s>
  <sheetData>
    <row r="1">
      <c r="A1" s="1" t="inlineStr">
        <is>
          <t>Workstream</t>
        </is>
      </c>
      <c r="B1" s="1" t="inlineStr">
        <is>
          <t>Proposed or contractual basis</t>
        </is>
      </c>
      <c r="C1" s="1" t="inlineStr">
        <is>
          <t>Evidence</t>
        </is>
      </c>
      <c r="D1" s="1" t="inlineStr">
        <is>
          <t>Guardrail</t>
        </is>
      </c>
    </row>
    <row r="2">
      <c r="A2" s="2" t="inlineStr">
        <is>
          <t>Engineering</t>
        </is>
      </c>
      <c r="B2" s="2" t="inlineStr">
        <is>
          <t>C8 review dispositionC=0/B=60/A=100 on applicable engineering item basis</t>
        </is>
      </c>
      <c r="C2" s="2" t="inlineStr">
        <is>
          <t>Accepted projectDCI and review status</t>
        </is>
      </c>
      <c r="D2" s="2" t="inlineStr">
        <is>
          <t>Not overall-project or cash percentage</t>
        </is>
      </c>
    </row>
    <row r="3">
      <c r="A3" s="2" t="inlineStr">
        <is>
          <t>Procurement</t>
        </is>
      </c>
      <c r="B3" s="2" t="inlineStr">
        <is>
          <t>C8 two-stagePS5%+5% of applicable procurement-item weight</t>
        </is>
      </c>
      <c r="C3" s="2" t="inlineStr">
        <is>
          <t>MCI applicability and stage approvals</t>
        </is>
      </c>
      <c r="D3" s="2" t="inlineStr">
        <is>
          <t>Not10% of contract value</t>
        </is>
      </c>
    </row>
    <row r="4">
      <c r="A4" s="2" t="inlineStr">
        <is>
          <t>Fabrication</t>
        </is>
      </c>
      <c r="B4" s="2" t="inlineStr">
        <is>
          <t>Accepted BOM/weld/tonnage stages under approved rules</t>
        </is>
      </c>
      <c r="C4" s="2" t="inlineStr">
        <is>
          <t>Material/weld/NDT/dimension records</t>
        </is>
      </c>
      <c r="D4" s="2" t="inlineStr">
        <is>
          <t>No double count with offshore installation</t>
        </is>
      </c>
    </row>
    <row r="5">
      <c r="A5" s="2" t="inlineStr">
        <is>
          <t>Installation</t>
        </is>
      </c>
      <c r="B5" s="2" t="inlineStr">
        <is>
          <t>Accepted installed work quantities and test stages</t>
        </is>
      </c>
      <c r="C5" s="2" t="inlineStr">
        <is>
          <t>ITRs/e-MB/service acceptance</t>
        </is>
      </c>
      <c r="D5" s="2" t="inlineStr">
        <is>
          <t>Exclude rejected/rework quantities</t>
        </is>
      </c>
    </row>
    <row r="6">
      <c r="A6" s="2" t="inlineStr">
        <is>
          <t>Turnover</t>
        </is>
      </c>
      <c r="B6" s="2" t="inlineStr">
        <is>
          <t>Accepted dossiers and contractual milestone</t>
        </is>
      </c>
      <c r="C6" s="2" t="inlineStr">
        <is>
          <t>Company acceptance</t>
        </is>
      </c>
      <c r="D6" s="2" t="inlineStr">
        <is>
          <t>Submission alone does not equal acceptance</t>
        </is>
      </c>
    </row>
    <row r="7">
      <c r="A7" s="2" t="inlineStr">
        <is>
          <t>EVM</t>
        </is>
      </c>
      <c r="B7" s="2" t="inlineStr">
        <is>
          <t>EV=approvedBAC×approved accepted progress;SPI=EV/PV;CPI=EV/AC</t>
        </is>
      </c>
      <c r="C7" s="2" t="inlineStr">
        <is>
          <t>PricedBAC,timephasedPV,actualAC</t>
        </is>
      </c>
      <c r="D7" s="2" t="inlineStr">
        <is>
          <t>Do not calculate without these inputs</t>
        </is>
      </c>
    </row>
  </sheetData>
  <autoFilter ref="A1:D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6"/>
  <sheetViews>
    <sheetView zoomScale="80"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s>
  <sheetData>
    <row r="1">
      <c r="A1" s="1" t="inlineStr">
        <is>
          <t>Package</t>
        </is>
      </c>
      <c r="B1" s="1" t="inlineStr">
        <is>
          <t>Approved budget INR</t>
        </is>
      </c>
      <c r="C1" s="1" t="inlineStr">
        <is>
          <t>PO commitment INR</t>
        </is>
      </c>
      <c r="D1" s="1" t="inlineStr">
        <is>
          <t>Accrued unpaid INR</t>
        </is>
      </c>
      <c r="E1" s="1" t="inlineStr">
        <is>
          <t>Actual paid INR</t>
        </is>
      </c>
      <c r="F1" s="1" t="inlineStr">
        <is>
          <t>Forecast remaining INR</t>
        </is>
      </c>
      <c r="G1" s="1" t="inlineStr">
        <is>
          <t>Forecast total INR</t>
        </is>
      </c>
      <c r="H1" s="1" t="inlineStr">
        <is>
          <t>Quote/evidence</t>
        </is>
      </c>
      <c r="I1" s="1" t="inlineStr">
        <is>
          <t>Owner</t>
        </is>
      </c>
    </row>
    <row r="2">
      <c r="A2" s="2" t="inlineStr">
        <is>
          <t>STEEL-B01</t>
        </is>
      </c>
      <c r="B2" s="2" t="n"/>
      <c r="C2" s="2" t="n"/>
      <c r="D2" s="2" t="n"/>
      <c r="E2" s="2" t="n"/>
      <c r="F2" s="2" t="n"/>
      <c r="G2" s="2">
        <f>IF(COUNT(E2:F2)&lt;2,"",SUM(E2:F2))</f>
        <v/>
      </c>
      <c r="H2" s="2" t="n"/>
      <c r="I2" s="2" t="inlineStr">
        <is>
          <t>Procurement</t>
        </is>
      </c>
    </row>
    <row r="3">
      <c r="A3" s="2" t="inlineStr">
        <is>
          <t>STEEL-B02</t>
        </is>
      </c>
      <c r="B3" s="2" t="n"/>
      <c r="C3" s="2" t="n"/>
      <c r="D3" s="2" t="n"/>
      <c r="E3" s="2" t="n"/>
      <c r="F3" s="2" t="n"/>
      <c r="G3" s="2">
        <f>IF(COUNT(E3:F3)&lt;2,"",SUM(E3:F3))</f>
        <v/>
      </c>
      <c r="H3" s="2" t="n"/>
      <c r="I3" s="2" t="inlineStr">
        <is>
          <t>Procurement</t>
        </is>
      </c>
    </row>
    <row r="4">
      <c r="A4" s="2" t="inlineStr">
        <is>
          <t>STEEL-B03</t>
        </is>
      </c>
      <c r="B4" s="2" t="n"/>
      <c r="C4" s="2" t="n"/>
      <c r="D4" s="2" t="n"/>
      <c r="E4" s="2" t="n"/>
      <c r="F4" s="2" t="n"/>
      <c r="G4" s="2">
        <f>IF(COUNT(E4:F4)&lt;2,"",SUM(E4:F4))</f>
        <v/>
      </c>
      <c r="H4" s="2" t="n"/>
      <c r="I4" s="2" t="inlineStr">
        <is>
          <t>Procurement</t>
        </is>
      </c>
    </row>
    <row r="5">
      <c r="A5" s="2" t="inlineStr">
        <is>
          <t>STEEL-B04</t>
        </is>
      </c>
      <c r="B5" s="2" t="n"/>
      <c r="C5" s="2" t="n"/>
      <c r="D5" s="2" t="n"/>
      <c r="E5" s="2" t="n"/>
      <c r="F5" s="2" t="n"/>
      <c r="G5" s="2">
        <f>IF(COUNT(E5:F5)&lt;2,"",SUM(E5:F5))</f>
        <v/>
      </c>
      <c r="H5" s="2" t="n"/>
      <c r="I5" s="2" t="inlineStr">
        <is>
          <t>Procurement</t>
        </is>
      </c>
    </row>
    <row r="6">
      <c r="A6" s="2" t="inlineStr">
        <is>
          <t>STEEL-B05</t>
        </is>
      </c>
      <c r="B6" s="2" t="n"/>
      <c r="C6" s="2" t="n"/>
      <c r="D6" s="2" t="n"/>
      <c r="E6" s="2" t="n"/>
      <c r="F6" s="2" t="n"/>
      <c r="G6" s="2">
        <f>IF(COUNT(E6:F6)&lt;2,"",SUM(E6:F6))</f>
        <v/>
      </c>
      <c r="H6" s="2" t="n"/>
      <c r="I6" s="2" t="inlineStr">
        <is>
          <t>Procurement</t>
        </is>
      </c>
    </row>
    <row r="7">
      <c r="A7" s="2" t="inlineStr">
        <is>
          <t>STEEL-B06</t>
        </is>
      </c>
      <c r="B7" s="2" t="n"/>
      <c r="C7" s="2" t="n"/>
      <c r="D7" s="2" t="n"/>
      <c r="E7" s="2" t="n"/>
      <c r="F7" s="2" t="n"/>
      <c r="G7" s="2">
        <f>IF(COUNT(E7:F7)&lt;2,"",SUM(E7:F7))</f>
        <v/>
      </c>
      <c r="H7" s="2" t="n"/>
      <c r="I7" s="2" t="inlineStr">
        <is>
          <t>Procurement</t>
        </is>
      </c>
    </row>
    <row r="8">
      <c r="A8" s="2" t="inlineStr">
        <is>
          <t>STEEL-B07</t>
        </is>
      </c>
      <c r="B8" s="2" t="n"/>
      <c r="C8" s="2" t="n"/>
      <c r="D8" s="2" t="n"/>
      <c r="E8" s="2" t="n"/>
      <c r="F8" s="2" t="n"/>
      <c r="G8" s="2">
        <f>IF(COUNT(E8:F8)&lt;2,"",SUM(E8:F8))</f>
        <v/>
      </c>
      <c r="H8" s="2" t="n"/>
      <c r="I8" s="2" t="inlineStr">
        <is>
          <t>Procurement</t>
        </is>
      </c>
    </row>
    <row r="9">
      <c r="A9" s="2" t="inlineStr">
        <is>
          <t>STEEL-B08</t>
        </is>
      </c>
      <c r="B9" s="2" t="n"/>
      <c r="C9" s="2" t="n"/>
      <c r="D9" s="2" t="n"/>
      <c r="E9" s="2" t="n"/>
      <c r="F9" s="2" t="n"/>
      <c r="G9" s="2">
        <f>IF(COUNT(E9:F9)&lt;2,"",SUM(E9:F9))</f>
        <v/>
      </c>
      <c r="H9" s="2" t="n"/>
      <c r="I9" s="2" t="inlineStr">
        <is>
          <t>Procurement</t>
        </is>
      </c>
    </row>
    <row r="10">
      <c r="A10" s="2" t="inlineStr">
        <is>
          <t>STEEL-B09</t>
        </is>
      </c>
      <c r="B10" s="2" t="n"/>
      <c r="C10" s="2" t="n"/>
      <c r="D10" s="2" t="n"/>
      <c r="E10" s="2" t="n"/>
      <c r="F10" s="2" t="n"/>
      <c r="G10" s="2">
        <f>IF(COUNT(E10:F10)&lt;2,"",SUM(E10:F10))</f>
        <v/>
      </c>
      <c r="H10" s="2" t="n"/>
      <c r="I10" s="2" t="inlineStr">
        <is>
          <t>Procurement</t>
        </is>
      </c>
    </row>
    <row r="11">
      <c r="A11" s="2" t="inlineStr">
        <is>
          <t>STEEL-B10</t>
        </is>
      </c>
      <c r="B11" s="2" t="n"/>
      <c r="C11" s="2" t="n"/>
      <c r="D11" s="2" t="n"/>
      <c r="E11" s="2" t="n"/>
      <c r="F11" s="2" t="n"/>
      <c r="G11" s="2">
        <f>IF(COUNT(E11:F11)&lt;2,"",SUM(E11:F11))</f>
        <v/>
      </c>
      <c r="H11" s="2" t="n"/>
      <c r="I11" s="2" t="inlineStr">
        <is>
          <t>Procurement</t>
        </is>
      </c>
    </row>
    <row r="12">
      <c r="A12" s="2" t="inlineStr">
        <is>
          <t>BEAR</t>
        </is>
      </c>
      <c r="B12" s="2" t="n"/>
      <c r="C12" s="2" t="n"/>
      <c r="D12" s="2" t="n"/>
      <c r="E12" s="2" t="n"/>
      <c r="F12" s="2" t="n"/>
      <c r="G12" s="2">
        <f>IF(COUNT(E12:F12)&lt;2,"",SUM(E12:F12))</f>
        <v/>
      </c>
      <c r="H12" s="2" t="n"/>
      <c r="I12" s="2" t="inlineStr">
        <is>
          <t>Engineering</t>
        </is>
      </c>
    </row>
    <row r="13">
      <c r="A13" s="2" t="inlineStr">
        <is>
          <t>GRAT</t>
        </is>
      </c>
      <c r="B13" s="2" t="n"/>
      <c r="C13" s="2" t="n"/>
      <c r="D13" s="2" t="n"/>
      <c r="E13" s="2" t="n"/>
      <c r="F13" s="2" t="n"/>
      <c r="G13" s="2">
        <f>IF(COUNT(E13:F13)&lt;2,"",SUM(E13:F13))</f>
        <v/>
      </c>
      <c r="H13" s="2" t="n"/>
      <c r="I13" s="2" t="inlineStr">
        <is>
          <t>Procurement</t>
        </is>
      </c>
    </row>
    <row r="14">
      <c r="A14" s="2" t="inlineStr">
        <is>
          <t>PIPE</t>
        </is>
      </c>
      <c r="B14" s="2" t="n"/>
      <c r="C14" s="2" t="n"/>
      <c r="D14" s="2" t="n"/>
      <c r="E14" s="2" t="n"/>
      <c r="F14" s="2" t="n"/>
      <c r="G14" s="2">
        <f>IF(COUNT(E14:F14)&lt;2,"",SUM(E14:F14))</f>
        <v/>
      </c>
      <c r="H14" s="2" t="n"/>
      <c r="I14" s="2" t="inlineStr">
        <is>
          <t>Piping</t>
        </is>
      </c>
    </row>
    <row r="15">
      <c r="A15" s="2" t="inlineStr">
        <is>
          <t>ELEC</t>
        </is>
      </c>
      <c r="B15" s="2" t="n"/>
      <c r="C15" s="2" t="n"/>
      <c r="D15" s="2" t="n"/>
      <c r="E15" s="2" t="n"/>
      <c r="F15" s="2" t="n"/>
      <c r="G15" s="2">
        <f>IF(COUNT(E15:F15)&lt;2,"",SUM(E15:F15))</f>
        <v/>
      </c>
      <c r="H15" s="2" t="n"/>
      <c r="I15" s="2" t="inlineStr">
        <is>
          <t>Electrical</t>
        </is>
      </c>
    </row>
    <row r="16">
      <c r="A16" s="2" t="inlineStr">
        <is>
          <t>INST</t>
        </is>
      </c>
      <c r="B16" s="2" t="n"/>
      <c r="C16" s="2" t="n"/>
      <c r="D16" s="2" t="n"/>
      <c r="E16" s="2" t="n"/>
      <c r="F16" s="2" t="n"/>
      <c r="G16" s="2">
        <f>IF(COUNT(E16:F16)&lt;2,"",SUM(E16:F16))</f>
        <v/>
      </c>
      <c r="H16" s="2" t="n"/>
      <c r="I16" s="2" t="inlineStr">
        <is>
          <t>Instrumentation</t>
        </is>
      </c>
    </row>
    <row r="17">
      <c r="A17" s="2" t="inlineStr">
        <is>
          <t>COAT</t>
        </is>
      </c>
      <c r="B17" s="2" t="n"/>
      <c r="C17" s="2" t="n"/>
      <c r="D17" s="2" t="n"/>
      <c r="E17" s="2" t="n"/>
      <c r="F17" s="2" t="n"/>
      <c r="G17" s="2">
        <f>IF(COUNT(E17:F17)&lt;2,"",SUM(E17:F17))</f>
        <v/>
      </c>
      <c r="H17" s="2" t="n"/>
      <c r="I17" s="2" t="inlineStr">
        <is>
          <t>Coating</t>
        </is>
      </c>
    </row>
    <row r="18">
      <c r="A18" s="2" t="inlineStr">
        <is>
          <t>NDT</t>
        </is>
      </c>
      <c r="B18" s="2" t="n"/>
      <c r="C18" s="2" t="n"/>
      <c r="D18" s="2" t="n"/>
      <c r="E18" s="2" t="n"/>
      <c r="F18" s="2" t="n"/>
      <c r="G18" s="2">
        <f>IF(COUNT(E18:F18)&lt;2,"",SUM(E18:F18))</f>
        <v/>
      </c>
      <c r="H18" s="2" t="n"/>
      <c r="I18" s="2" t="inlineStr">
        <is>
          <t>QA</t>
        </is>
      </c>
    </row>
    <row r="19">
      <c r="A19" s="2" t="inlineStr">
        <is>
          <t>MAR</t>
        </is>
      </c>
      <c r="B19" s="2" t="n"/>
      <c r="C19" s="2" t="n"/>
      <c r="D19" s="2" t="n"/>
      <c r="E19" s="2" t="n"/>
      <c r="F19" s="2" t="n"/>
      <c r="G19" s="2">
        <f>IF(COUNT(E19:F19)&lt;2,"",SUM(E19:F19))</f>
        <v/>
      </c>
      <c r="H19" s="2" t="n"/>
      <c r="I19" s="2" t="inlineStr">
        <is>
          <t>Marine</t>
        </is>
      </c>
    </row>
    <row r="20">
      <c r="A20" s="2" t="inlineStr">
        <is>
          <t>CARGO</t>
        </is>
      </c>
      <c r="B20" s="2" t="n"/>
      <c r="C20" s="2" t="n"/>
      <c r="D20" s="2" t="n"/>
      <c r="E20" s="2" t="n"/>
      <c r="F20" s="2" t="n"/>
      <c r="G20" s="2">
        <f>IF(COUNT(E20:F20)&lt;2,"",SUM(E20:F20))</f>
        <v/>
      </c>
      <c r="H20" s="2" t="n"/>
      <c r="I20" s="2" t="inlineStr">
        <is>
          <t>Logistics</t>
        </is>
      </c>
    </row>
    <row r="21">
      <c r="A21" s="2" t="inlineStr">
        <is>
          <t>SURV</t>
        </is>
      </c>
      <c r="B21" s="2" t="n"/>
      <c r="C21" s="2" t="n"/>
      <c r="D21" s="2" t="n"/>
      <c r="E21" s="2" t="n"/>
      <c r="F21" s="2" t="n"/>
      <c r="G21" s="2">
        <f>IF(COUNT(E21:F21)&lt;2,"",SUM(E21:F21))</f>
        <v/>
      </c>
      <c r="H21" s="2" t="n"/>
      <c r="I21" s="2" t="inlineStr">
        <is>
          <t>Survey</t>
        </is>
      </c>
    </row>
    <row r="22">
      <c r="A22" s="2" t="inlineStr">
        <is>
          <t>DES</t>
        </is>
      </c>
      <c r="B22" s="2" t="n"/>
      <c r="C22" s="2" t="n"/>
      <c r="D22" s="2" t="n"/>
      <c r="E22" s="2" t="n"/>
      <c r="F22" s="2" t="n"/>
      <c r="G22" s="2">
        <f>IF(COUNT(E22:F22)&lt;2,"",SUM(E22:F22))</f>
        <v/>
      </c>
      <c r="H22" s="2" t="n"/>
      <c r="I22" s="2" t="inlineStr">
        <is>
          <t>Engineering</t>
        </is>
      </c>
    </row>
    <row r="23">
      <c r="A23" s="2" t="inlineStr">
        <is>
          <t>TPI</t>
        </is>
      </c>
      <c r="B23" s="2" t="n"/>
      <c r="C23" s="2" t="n"/>
      <c r="D23" s="2" t="n"/>
      <c r="E23" s="2" t="n"/>
      <c r="F23" s="2" t="n"/>
      <c r="G23" s="2">
        <f>IF(COUNT(E23:F23)&lt;2,"",SUM(E23:F23))</f>
        <v/>
      </c>
      <c r="H23" s="2" t="n"/>
      <c r="I23" s="2" t="inlineStr">
        <is>
          <t>QA</t>
        </is>
      </c>
    </row>
    <row r="24">
      <c r="A24" s="2" t="inlineStr">
        <is>
          <t>SCAF</t>
        </is>
      </c>
      <c r="B24" s="2" t="n"/>
      <c r="C24" s="2" t="n"/>
      <c r="D24" s="2" t="n"/>
      <c r="E24" s="2" t="n"/>
      <c r="F24" s="2" t="n"/>
      <c r="G24" s="2">
        <f>IF(COUNT(E24:F24)&lt;2,"",SUM(E24:F24))</f>
        <v/>
      </c>
      <c r="H24" s="2" t="n"/>
      <c r="I24" s="2" t="inlineStr">
        <is>
          <t>Construction</t>
        </is>
      </c>
    </row>
    <row r="25">
      <c r="A25" s="2" t="inlineStr">
        <is>
          <t>PPE</t>
        </is>
      </c>
      <c r="B25" s="2" t="n"/>
      <c r="C25" s="2" t="n"/>
      <c r="D25" s="2" t="n"/>
      <c r="E25" s="2" t="n"/>
      <c r="F25" s="2" t="n"/>
      <c r="G25" s="2">
        <f>IF(COUNT(E25:F25)&lt;2,"",SUM(E25:F25))</f>
        <v/>
      </c>
      <c r="H25" s="2" t="n"/>
      <c r="I25" s="2" t="inlineStr">
        <is>
          <t>HSE</t>
        </is>
      </c>
    </row>
    <row r="26">
      <c r="A26" s="2" t="inlineStr">
        <is>
          <t>TRAY</t>
        </is>
      </c>
      <c r="B26" s="2" t="n"/>
      <c r="C26" s="2" t="n"/>
      <c r="D26" s="2" t="n"/>
      <c r="E26" s="2" t="n"/>
      <c r="F26" s="2" t="n"/>
      <c r="G26" s="2">
        <f>IF(COUNT(E26:F26)&lt;2,"",SUM(E26:F26))</f>
        <v/>
      </c>
      <c r="H26" s="2" t="n"/>
      <c r="I26" s="2" t="inlineStr">
        <is>
          <t>Electrical</t>
        </is>
      </c>
    </row>
  </sheetData>
  <autoFilter ref="A1:I2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9"/>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s>
  <sheetData>
    <row r="1">
      <c r="A1" s="1" t="inlineStr">
        <is>
          <t>Input / control</t>
        </is>
      </c>
      <c r="B1" s="1" t="inlineStr">
        <is>
          <t>Value</t>
        </is>
      </c>
      <c r="C1" s="1" t="inlineStr">
        <is>
          <t>Instruction</t>
        </is>
      </c>
    </row>
    <row r="2">
      <c r="A2" s="2" t="inlineStr">
        <is>
          <t>Opening available project cash INR</t>
        </is>
      </c>
      <c r="B2" s="2" t="n"/>
      <c r="C2" s="2" t="inlineStr">
        <is>
          <t>Enter funded amount and evidence; blank is unknown</t>
        </is>
      </c>
    </row>
    <row r="3">
      <c r="A3" s="2" t="inlineStr">
        <is>
          <t>Contract value INR</t>
        </is>
      </c>
      <c r="B3" s="2" t="n"/>
      <c r="C3" s="2" t="inlineStr">
        <is>
          <t>Verified bid/award amount; do not infer from qualification threshold</t>
        </is>
      </c>
    </row>
    <row r="4">
      <c r="A4" s="2" t="inlineStr">
        <is>
          <t>Status</t>
        </is>
      </c>
      <c r="B4" s="2" t="inlineStr">
        <is>
          <t>UNPRICED</t>
        </is>
      </c>
      <c r="C4" s="2" t="inlineStr">
        <is>
          <t>No financial-feasibility conclusion</t>
        </is>
      </c>
    </row>
    <row r="5">
      <c r="A5" s="2" t="inlineStr">
        <is>
          <t>EAC convention</t>
        </is>
      </c>
      <c r="B5" s="2" t="inlineStr">
        <is>
          <t>Actual paid plus all forecast remaining</t>
        </is>
      </c>
      <c r="C5" s="2" t="inlineStr">
        <is>
          <t>Remaining must include accrued unpaid, open commitments and uncommittedETC without duplication</t>
        </is>
      </c>
    </row>
    <row r="6">
      <c r="A6" s="2" t="inlineStr">
        <is>
          <t>Horizon</t>
        </is>
      </c>
      <c r="B6" s="2" t="inlineStr">
        <is>
          <t>156weeks, extend if required</t>
        </is>
      </c>
      <c r="C6" s="2" t="inlineStr">
        <is>
          <t>Include actual warranty/retention/security/final-account dates;156weeks is not proof every obligation ends</t>
        </is>
      </c>
    </row>
    <row r="7">
      <c r="A7" s="2" t="inlineStr">
        <is>
          <t>Receipts</t>
        </is>
      </c>
      <c r="B7" s="2" t="inlineStr">
        <is>
          <t>Actual contract milestones and payment lags</t>
        </is>
      </c>
      <c r="C7" s="2" t="inlineStr">
        <is>
          <t>Deleted separate mob/demob payments excluded unless governing amendment states otherwise</t>
        </is>
      </c>
    </row>
    <row r="8">
      <c r="A8" s="2" t="inlineStr">
        <is>
          <t>Tax</t>
        </is>
      </c>
      <c r="B8" s="2" t="inlineStr">
        <is>
          <t>Transaction-specific GST/customs/TDS/credits</t>
        </is>
      </c>
      <c r="C8" s="2" t="inlineStr">
        <is>
          <t>Gross invoice, net receipt and recoverable tax separate</t>
        </is>
      </c>
    </row>
    <row r="9">
      <c r="A9" s="2" t="inlineStr">
        <is>
          <t>Security</t>
        </is>
      </c>
      <c r="B9" s="2" t="inlineStr">
        <is>
          <t>Guarantee face value differs from margin cash/fees</t>
        </is>
      </c>
      <c r="C9" s="2" t="inlineStr">
        <is>
          <t>Track expiry, bank commission and margin release independently</t>
        </is>
      </c>
    </row>
  </sheetData>
  <autoFilter ref="A1:C9"/>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157"/>
  <sheetViews>
    <sheetView zoomScale="80"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 width="27" customWidth="1" min="11" max="11"/>
    <col width="27" customWidth="1" min="12" max="12"/>
    <col width="27" customWidth="1" min="13" max="13"/>
    <col width="27" customWidth="1" min="14" max="14"/>
  </cols>
  <sheetData>
    <row r="1">
      <c r="A1" s="1" t="inlineStr">
        <is>
          <t>Week</t>
        </is>
      </c>
      <c r="B1" s="1" t="inlineStr">
        <is>
          <t>Scenario week start</t>
        </is>
      </c>
      <c r="C1" s="1" t="inlineStr">
        <is>
          <t>Contract receipts INR</t>
        </is>
      </c>
      <c r="D1" s="1" t="inlineStr">
        <is>
          <t>Retention/security cash release</t>
        </is>
      </c>
      <c r="E1" s="1" t="inlineStr">
        <is>
          <t>Other cash-in</t>
        </is>
      </c>
      <c r="F1" s="1" t="inlineStr">
        <is>
          <t>Vendor/subcontract payments</t>
        </is>
      </c>
      <c r="G1" s="1" t="inlineStr">
        <is>
          <t>Wages/overheads</t>
        </is>
      </c>
      <c r="H1" s="1" t="inlineStr">
        <is>
          <t>Marine/logistics</t>
        </is>
      </c>
      <c r="I1" s="1" t="inlineStr">
        <is>
          <t>Tax/financing/BG margin</t>
        </is>
      </c>
      <c r="J1" s="1" t="inlineStr">
        <is>
          <t>Other cash-out</t>
        </is>
      </c>
      <c r="K1" s="1" t="inlineStr">
        <is>
          <t>Net cash</t>
        </is>
      </c>
      <c r="L1" s="1" t="inlineStr">
        <is>
          <t>Cumulative net cash</t>
        </is>
      </c>
      <c r="M1" s="1" t="inlineStr">
        <is>
          <t>Cash incl opening</t>
        </is>
      </c>
      <c r="N1" s="1" t="inlineStr">
        <is>
          <t>Verification status: VERIFIED only after all8inputs evidenced</t>
        </is>
      </c>
    </row>
    <row r="2">
      <c r="A2" s="2" t="n">
        <v>1</v>
      </c>
      <c r="B2" s="2" t="inlineStr">
        <is>
          <t>2026-11-01</t>
        </is>
      </c>
      <c r="C2" s="2" t="n"/>
      <c r="D2" s="2" t="n"/>
      <c r="E2" s="2" t="n"/>
      <c r="F2" s="2" t="n"/>
      <c r="G2" s="2" t="n"/>
      <c r="H2" s="2" t="n"/>
      <c r="I2" s="2" t="n"/>
      <c r="J2" s="2" t="n"/>
      <c r="K2" s="2">
        <f>IF(OR(N2&lt;&gt;"VERIFIED",COUNT(C2:J2)&lt;8),"",SUM(C2:E2)-SUM(F2:J2))</f>
        <v/>
      </c>
      <c r="L2" s="2">
        <f>IF(COUNT(K$2:K2)&lt;1,"",SUM(K$2:K2))</f>
        <v/>
      </c>
      <c r="M2" s="2">
        <f>IF(OR('Financial Basis'!B2="",L2=""),"",'Financial Basis'!B2+L2)</f>
        <v/>
      </c>
      <c r="N2" s="2" t="n"/>
    </row>
    <row r="3">
      <c r="A3" s="2" t="n">
        <v>2</v>
      </c>
      <c r="B3" s="2" t="inlineStr">
        <is>
          <t>2026-11-08</t>
        </is>
      </c>
      <c r="C3" s="2" t="n"/>
      <c r="D3" s="2" t="n"/>
      <c r="E3" s="2" t="n"/>
      <c r="F3" s="2" t="n"/>
      <c r="G3" s="2" t="n"/>
      <c r="H3" s="2" t="n"/>
      <c r="I3" s="2" t="n"/>
      <c r="J3" s="2" t="n"/>
      <c r="K3" s="2">
        <f>IF(OR(N3&lt;&gt;"VERIFIED",COUNT(C3:J3)&lt;8),"",SUM(C3:E3)-SUM(F3:J3))</f>
        <v/>
      </c>
      <c r="L3" s="2">
        <f>IF(COUNT(K$2:K3)&lt;2,"",SUM(K$2:K3))</f>
        <v/>
      </c>
      <c r="M3" s="2">
        <f>IF(OR('Financial Basis'!B2="",L3=""),"",'Financial Basis'!B2+L3)</f>
        <v/>
      </c>
      <c r="N3" s="2" t="n"/>
    </row>
    <row r="4">
      <c r="A4" s="2" t="n">
        <v>3</v>
      </c>
      <c r="B4" s="2" t="inlineStr">
        <is>
          <t>2026-11-15</t>
        </is>
      </c>
      <c r="C4" s="2" t="n"/>
      <c r="D4" s="2" t="n"/>
      <c r="E4" s="2" t="n"/>
      <c r="F4" s="2" t="n"/>
      <c r="G4" s="2" t="n"/>
      <c r="H4" s="2" t="n"/>
      <c r="I4" s="2" t="n"/>
      <c r="J4" s="2" t="n"/>
      <c r="K4" s="2">
        <f>IF(OR(N4&lt;&gt;"VERIFIED",COUNT(C4:J4)&lt;8),"",SUM(C4:E4)-SUM(F4:J4))</f>
        <v/>
      </c>
      <c r="L4" s="2">
        <f>IF(COUNT(K$2:K4)&lt;3,"",SUM(K$2:K4))</f>
        <v/>
      </c>
      <c r="M4" s="2">
        <f>IF(OR('Financial Basis'!B2="",L4=""),"",'Financial Basis'!B2+L4)</f>
        <v/>
      </c>
      <c r="N4" s="2" t="n"/>
    </row>
    <row r="5">
      <c r="A5" s="2" t="n">
        <v>4</v>
      </c>
      <c r="B5" s="2" t="inlineStr">
        <is>
          <t>2026-11-22</t>
        </is>
      </c>
      <c r="C5" s="2" t="n"/>
      <c r="D5" s="2" t="n"/>
      <c r="E5" s="2" t="n"/>
      <c r="F5" s="2" t="n"/>
      <c r="G5" s="2" t="n"/>
      <c r="H5" s="2" t="n"/>
      <c r="I5" s="2" t="n"/>
      <c r="J5" s="2" t="n"/>
      <c r="K5" s="2">
        <f>IF(OR(N5&lt;&gt;"VERIFIED",COUNT(C5:J5)&lt;8),"",SUM(C5:E5)-SUM(F5:J5))</f>
        <v/>
      </c>
      <c r="L5" s="2">
        <f>IF(COUNT(K$2:K5)&lt;4,"",SUM(K$2:K5))</f>
        <v/>
      </c>
      <c r="M5" s="2">
        <f>IF(OR('Financial Basis'!B2="",L5=""),"",'Financial Basis'!B2+L5)</f>
        <v/>
      </c>
      <c r="N5" s="2" t="n"/>
    </row>
    <row r="6">
      <c r="A6" s="2" t="n">
        <v>5</v>
      </c>
      <c r="B6" s="2" t="inlineStr">
        <is>
          <t>2026-11-29</t>
        </is>
      </c>
      <c r="C6" s="2" t="n"/>
      <c r="D6" s="2" t="n"/>
      <c r="E6" s="2" t="n"/>
      <c r="F6" s="2" t="n"/>
      <c r="G6" s="2" t="n"/>
      <c r="H6" s="2" t="n"/>
      <c r="I6" s="2" t="n"/>
      <c r="J6" s="2" t="n"/>
      <c r="K6" s="2">
        <f>IF(OR(N6&lt;&gt;"VERIFIED",COUNT(C6:J6)&lt;8),"",SUM(C6:E6)-SUM(F6:J6))</f>
        <v/>
      </c>
      <c r="L6" s="2">
        <f>IF(COUNT(K$2:K6)&lt;5,"",SUM(K$2:K6))</f>
        <v/>
      </c>
      <c r="M6" s="2">
        <f>IF(OR('Financial Basis'!B2="",L6=""),"",'Financial Basis'!B2+L6)</f>
        <v/>
      </c>
      <c r="N6" s="2" t="n"/>
    </row>
    <row r="7">
      <c r="A7" s="2" t="n">
        <v>6</v>
      </c>
      <c r="B7" s="2" t="inlineStr">
        <is>
          <t>2026-12-06</t>
        </is>
      </c>
      <c r="C7" s="2" t="n"/>
      <c r="D7" s="2" t="n"/>
      <c r="E7" s="2" t="n"/>
      <c r="F7" s="2" t="n"/>
      <c r="G7" s="2" t="n"/>
      <c r="H7" s="2" t="n"/>
      <c r="I7" s="2" t="n"/>
      <c r="J7" s="2" t="n"/>
      <c r="K7" s="2">
        <f>IF(OR(N7&lt;&gt;"VERIFIED",COUNT(C7:J7)&lt;8),"",SUM(C7:E7)-SUM(F7:J7))</f>
        <v/>
      </c>
      <c r="L7" s="2">
        <f>IF(COUNT(K$2:K7)&lt;6,"",SUM(K$2:K7))</f>
        <v/>
      </c>
      <c r="M7" s="2">
        <f>IF(OR('Financial Basis'!B2="",L7=""),"",'Financial Basis'!B2+L7)</f>
        <v/>
      </c>
      <c r="N7" s="2" t="n"/>
    </row>
    <row r="8">
      <c r="A8" s="2" t="n">
        <v>7</v>
      </c>
      <c r="B8" s="2" t="inlineStr">
        <is>
          <t>2026-12-13</t>
        </is>
      </c>
      <c r="C8" s="2" t="n"/>
      <c r="D8" s="2" t="n"/>
      <c r="E8" s="2" t="n"/>
      <c r="F8" s="2" t="n"/>
      <c r="G8" s="2" t="n"/>
      <c r="H8" s="2" t="n"/>
      <c r="I8" s="2" t="n"/>
      <c r="J8" s="2" t="n"/>
      <c r="K8" s="2">
        <f>IF(OR(N8&lt;&gt;"VERIFIED",COUNT(C8:J8)&lt;8),"",SUM(C8:E8)-SUM(F8:J8))</f>
        <v/>
      </c>
      <c r="L8" s="2">
        <f>IF(COUNT(K$2:K8)&lt;7,"",SUM(K$2:K8))</f>
        <v/>
      </c>
      <c r="M8" s="2">
        <f>IF(OR('Financial Basis'!B2="",L8=""),"",'Financial Basis'!B2+L8)</f>
        <v/>
      </c>
      <c r="N8" s="2" t="n"/>
    </row>
    <row r="9">
      <c r="A9" s="2" t="n">
        <v>8</v>
      </c>
      <c r="B9" s="2" t="inlineStr">
        <is>
          <t>2026-12-20</t>
        </is>
      </c>
      <c r="C9" s="2" t="n"/>
      <c r="D9" s="2" t="n"/>
      <c r="E9" s="2" t="n"/>
      <c r="F9" s="2" t="n"/>
      <c r="G9" s="2" t="n"/>
      <c r="H9" s="2" t="n"/>
      <c r="I9" s="2" t="n"/>
      <c r="J9" s="2" t="n"/>
      <c r="K9" s="2">
        <f>IF(OR(N9&lt;&gt;"VERIFIED",COUNT(C9:J9)&lt;8),"",SUM(C9:E9)-SUM(F9:J9))</f>
        <v/>
      </c>
      <c r="L9" s="2">
        <f>IF(COUNT(K$2:K9)&lt;8,"",SUM(K$2:K9))</f>
        <v/>
      </c>
      <c r="M9" s="2">
        <f>IF(OR('Financial Basis'!B2="",L9=""),"",'Financial Basis'!B2+L9)</f>
        <v/>
      </c>
      <c r="N9" s="2" t="n"/>
    </row>
    <row r="10">
      <c r="A10" s="2" t="n">
        <v>9</v>
      </c>
      <c r="B10" s="2" t="inlineStr">
        <is>
          <t>2026-12-27</t>
        </is>
      </c>
      <c r="C10" s="2" t="n"/>
      <c r="D10" s="2" t="n"/>
      <c r="E10" s="2" t="n"/>
      <c r="F10" s="2" t="n"/>
      <c r="G10" s="2" t="n"/>
      <c r="H10" s="2" t="n"/>
      <c r="I10" s="2" t="n"/>
      <c r="J10" s="2" t="n"/>
      <c r="K10" s="2">
        <f>IF(OR(N10&lt;&gt;"VERIFIED",COUNT(C10:J10)&lt;8),"",SUM(C10:E10)-SUM(F10:J10))</f>
        <v/>
      </c>
      <c r="L10" s="2">
        <f>IF(COUNT(K$2:K10)&lt;9,"",SUM(K$2:K10))</f>
        <v/>
      </c>
      <c r="M10" s="2">
        <f>IF(OR('Financial Basis'!B2="",L10=""),"",'Financial Basis'!B2+L10)</f>
        <v/>
      </c>
      <c r="N10" s="2" t="n"/>
    </row>
    <row r="11">
      <c r="A11" s="2" t="n">
        <v>10</v>
      </c>
      <c r="B11" s="2" t="inlineStr">
        <is>
          <t>2027-01-03</t>
        </is>
      </c>
      <c r="C11" s="2" t="n"/>
      <c r="D11" s="2" t="n"/>
      <c r="E11" s="2" t="n"/>
      <c r="F11" s="2" t="n"/>
      <c r="G11" s="2" t="n"/>
      <c r="H11" s="2" t="n"/>
      <c r="I11" s="2" t="n"/>
      <c r="J11" s="2" t="n"/>
      <c r="K11" s="2">
        <f>IF(OR(N11&lt;&gt;"VERIFIED",COUNT(C11:J11)&lt;8),"",SUM(C11:E11)-SUM(F11:J11))</f>
        <v/>
      </c>
      <c r="L11" s="2">
        <f>IF(COUNT(K$2:K11)&lt;10,"",SUM(K$2:K11))</f>
        <v/>
      </c>
      <c r="M11" s="2">
        <f>IF(OR('Financial Basis'!B2="",L11=""),"",'Financial Basis'!B2+L11)</f>
        <v/>
      </c>
      <c r="N11" s="2" t="n"/>
    </row>
    <row r="12">
      <c r="A12" s="2" t="n">
        <v>11</v>
      </c>
      <c r="B12" s="2" t="inlineStr">
        <is>
          <t>2027-01-10</t>
        </is>
      </c>
      <c r="C12" s="2" t="n"/>
      <c r="D12" s="2" t="n"/>
      <c r="E12" s="2" t="n"/>
      <c r="F12" s="2" t="n"/>
      <c r="G12" s="2" t="n"/>
      <c r="H12" s="2" t="n"/>
      <c r="I12" s="2" t="n"/>
      <c r="J12" s="2" t="n"/>
      <c r="K12" s="2">
        <f>IF(OR(N12&lt;&gt;"VERIFIED",COUNT(C12:J12)&lt;8),"",SUM(C12:E12)-SUM(F12:J12))</f>
        <v/>
      </c>
      <c r="L12" s="2">
        <f>IF(COUNT(K$2:K12)&lt;11,"",SUM(K$2:K12))</f>
        <v/>
      </c>
      <c r="M12" s="2">
        <f>IF(OR('Financial Basis'!B2="",L12=""),"",'Financial Basis'!B2+L12)</f>
        <v/>
      </c>
      <c r="N12" s="2" t="n"/>
    </row>
    <row r="13">
      <c r="A13" s="2" t="n">
        <v>12</v>
      </c>
      <c r="B13" s="2" t="inlineStr">
        <is>
          <t>2027-01-17</t>
        </is>
      </c>
      <c r="C13" s="2" t="n"/>
      <c r="D13" s="2" t="n"/>
      <c r="E13" s="2" t="n"/>
      <c r="F13" s="2" t="n"/>
      <c r="G13" s="2" t="n"/>
      <c r="H13" s="2" t="n"/>
      <c r="I13" s="2" t="n"/>
      <c r="J13" s="2" t="n"/>
      <c r="K13" s="2">
        <f>IF(OR(N13&lt;&gt;"VERIFIED",COUNT(C13:J13)&lt;8),"",SUM(C13:E13)-SUM(F13:J13))</f>
        <v/>
      </c>
      <c r="L13" s="2">
        <f>IF(COUNT(K$2:K13)&lt;12,"",SUM(K$2:K13))</f>
        <v/>
      </c>
      <c r="M13" s="2">
        <f>IF(OR('Financial Basis'!B2="",L13=""),"",'Financial Basis'!B2+L13)</f>
        <v/>
      </c>
      <c r="N13" s="2" t="n"/>
    </row>
    <row r="14">
      <c r="A14" s="2" t="n">
        <v>13</v>
      </c>
      <c r="B14" s="2" t="inlineStr">
        <is>
          <t>2027-01-24</t>
        </is>
      </c>
      <c r="C14" s="2" t="n"/>
      <c r="D14" s="2" t="n"/>
      <c r="E14" s="2" t="n"/>
      <c r="F14" s="2" t="n"/>
      <c r="G14" s="2" t="n"/>
      <c r="H14" s="2" t="n"/>
      <c r="I14" s="2" t="n"/>
      <c r="J14" s="2" t="n"/>
      <c r="K14" s="2">
        <f>IF(OR(N14&lt;&gt;"VERIFIED",COUNT(C14:J14)&lt;8),"",SUM(C14:E14)-SUM(F14:J14))</f>
        <v/>
      </c>
      <c r="L14" s="2">
        <f>IF(COUNT(K$2:K14)&lt;13,"",SUM(K$2:K14))</f>
        <v/>
      </c>
      <c r="M14" s="2">
        <f>IF(OR('Financial Basis'!B2="",L14=""),"",'Financial Basis'!B2+L14)</f>
        <v/>
      </c>
      <c r="N14" s="2" t="n"/>
    </row>
    <row r="15">
      <c r="A15" s="2" t="n">
        <v>14</v>
      </c>
      <c r="B15" s="2" t="inlineStr">
        <is>
          <t>2027-01-31</t>
        </is>
      </c>
      <c r="C15" s="2" t="n"/>
      <c r="D15" s="2" t="n"/>
      <c r="E15" s="2" t="n"/>
      <c r="F15" s="2" t="n"/>
      <c r="G15" s="2" t="n"/>
      <c r="H15" s="2" t="n"/>
      <c r="I15" s="2" t="n"/>
      <c r="J15" s="2" t="n"/>
      <c r="K15" s="2">
        <f>IF(OR(N15&lt;&gt;"VERIFIED",COUNT(C15:J15)&lt;8),"",SUM(C15:E15)-SUM(F15:J15))</f>
        <v/>
      </c>
      <c r="L15" s="2">
        <f>IF(COUNT(K$2:K15)&lt;14,"",SUM(K$2:K15))</f>
        <v/>
      </c>
      <c r="M15" s="2">
        <f>IF(OR('Financial Basis'!B2="",L15=""),"",'Financial Basis'!B2+L15)</f>
        <v/>
      </c>
      <c r="N15" s="2" t="n"/>
    </row>
    <row r="16">
      <c r="A16" s="2" t="n">
        <v>15</v>
      </c>
      <c r="B16" s="2" t="inlineStr">
        <is>
          <t>2027-02-07</t>
        </is>
      </c>
      <c r="C16" s="2" t="n"/>
      <c r="D16" s="2" t="n"/>
      <c r="E16" s="2" t="n"/>
      <c r="F16" s="2" t="n"/>
      <c r="G16" s="2" t="n"/>
      <c r="H16" s="2" t="n"/>
      <c r="I16" s="2" t="n"/>
      <c r="J16" s="2" t="n"/>
      <c r="K16" s="2">
        <f>IF(OR(N16&lt;&gt;"VERIFIED",COUNT(C16:J16)&lt;8),"",SUM(C16:E16)-SUM(F16:J16))</f>
        <v/>
      </c>
      <c r="L16" s="2">
        <f>IF(COUNT(K$2:K16)&lt;15,"",SUM(K$2:K16))</f>
        <v/>
      </c>
      <c r="M16" s="2">
        <f>IF(OR('Financial Basis'!B2="",L16=""),"",'Financial Basis'!B2+L16)</f>
        <v/>
      </c>
      <c r="N16" s="2" t="n"/>
    </row>
    <row r="17">
      <c r="A17" s="2" t="n">
        <v>16</v>
      </c>
      <c r="B17" s="2" t="inlineStr">
        <is>
          <t>2027-02-14</t>
        </is>
      </c>
      <c r="C17" s="2" t="n"/>
      <c r="D17" s="2" t="n"/>
      <c r="E17" s="2" t="n"/>
      <c r="F17" s="2" t="n"/>
      <c r="G17" s="2" t="n"/>
      <c r="H17" s="2" t="n"/>
      <c r="I17" s="2" t="n"/>
      <c r="J17" s="2" t="n"/>
      <c r="K17" s="2">
        <f>IF(OR(N17&lt;&gt;"VERIFIED",COUNT(C17:J17)&lt;8),"",SUM(C17:E17)-SUM(F17:J17))</f>
        <v/>
      </c>
      <c r="L17" s="2">
        <f>IF(COUNT(K$2:K17)&lt;16,"",SUM(K$2:K17))</f>
        <v/>
      </c>
      <c r="M17" s="2">
        <f>IF(OR('Financial Basis'!B2="",L17=""),"",'Financial Basis'!B2+L17)</f>
        <v/>
      </c>
      <c r="N17" s="2" t="n"/>
    </row>
    <row r="18">
      <c r="A18" s="2" t="n">
        <v>17</v>
      </c>
      <c r="B18" s="2" t="inlineStr">
        <is>
          <t>2027-02-21</t>
        </is>
      </c>
      <c r="C18" s="2" t="n"/>
      <c r="D18" s="2" t="n"/>
      <c r="E18" s="2" t="n"/>
      <c r="F18" s="2" t="n"/>
      <c r="G18" s="2" t="n"/>
      <c r="H18" s="2" t="n"/>
      <c r="I18" s="2" t="n"/>
      <c r="J18" s="2" t="n"/>
      <c r="K18" s="2">
        <f>IF(OR(N18&lt;&gt;"VERIFIED",COUNT(C18:J18)&lt;8),"",SUM(C18:E18)-SUM(F18:J18))</f>
        <v/>
      </c>
      <c r="L18" s="2">
        <f>IF(COUNT(K$2:K18)&lt;17,"",SUM(K$2:K18))</f>
        <v/>
      </c>
      <c r="M18" s="2">
        <f>IF(OR('Financial Basis'!B2="",L18=""),"",'Financial Basis'!B2+L18)</f>
        <v/>
      </c>
      <c r="N18" s="2" t="n"/>
    </row>
    <row r="19">
      <c r="A19" s="2" t="n">
        <v>18</v>
      </c>
      <c r="B19" s="2" t="inlineStr">
        <is>
          <t>2027-02-28</t>
        </is>
      </c>
      <c r="C19" s="2" t="n"/>
      <c r="D19" s="2" t="n"/>
      <c r="E19" s="2" t="n"/>
      <c r="F19" s="2" t="n"/>
      <c r="G19" s="2" t="n"/>
      <c r="H19" s="2" t="n"/>
      <c r="I19" s="2" t="n"/>
      <c r="J19" s="2" t="n"/>
      <c r="K19" s="2">
        <f>IF(OR(N19&lt;&gt;"VERIFIED",COUNT(C19:J19)&lt;8),"",SUM(C19:E19)-SUM(F19:J19))</f>
        <v/>
      </c>
      <c r="L19" s="2">
        <f>IF(COUNT(K$2:K19)&lt;18,"",SUM(K$2:K19))</f>
        <v/>
      </c>
      <c r="M19" s="2">
        <f>IF(OR('Financial Basis'!B2="",L19=""),"",'Financial Basis'!B2+L19)</f>
        <v/>
      </c>
      <c r="N19" s="2" t="n"/>
    </row>
    <row r="20">
      <c r="A20" s="2" t="n">
        <v>19</v>
      </c>
      <c r="B20" s="2" t="inlineStr">
        <is>
          <t>2027-03-07</t>
        </is>
      </c>
      <c r="C20" s="2" t="n"/>
      <c r="D20" s="2" t="n"/>
      <c r="E20" s="2" t="n"/>
      <c r="F20" s="2" t="n"/>
      <c r="G20" s="2" t="n"/>
      <c r="H20" s="2" t="n"/>
      <c r="I20" s="2" t="n"/>
      <c r="J20" s="2" t="n"/>
      <c r="K20" s="2">
        <f>IF(OR(N20&lt;&gt;"VERIFIED",COUNT(C20:J20)&lt;8),"",SUM(C20:E20)-SUM(F20:J20))</f>
        <v/>
      </c>
      <c r="L20" s="2">
        <f>IF(COUNT(K$2:K20)&lt;19,"",SUM(K$2:K20))</f>
        <v/>
      </c>
      <c r="M20" s="2">
        <f>IF(OR('Financial Basis'!B2="",L20=""),"",'Financial Basis'!B2+L20)</f>
        <v/>
      </c>
      <c r="N20" s="2" t="n"/>
    </row>
    <row r="21">
      <c r="A21" s="2" t="n">
        <v>20</v>
      </c>
      <c r="B21" s="2" t="inlineStr">
        <is>
          <t>2027-03-14</t>
        </is>
      </c>
      <c r="C21" s="2" t="n"/>
      <c r="D21" s="2" t="n"/>
      <c r="E21" s="2" t="n"/>
      <c r="F21" s="2" t="n"/>
      <c r="G21" s="2" t="n"/>
      <c r="H21" s="2" t="n"/>
      <c r="I21" s="2" t="n"/>
      <c r="J21" s="2" t="n"/>
      <c r="K21" s="2">
        <f>IF(OR(N21&lt;&gt;"VERIFIED",COUNT(C21:J21)&lt;8),"",SUM(C21:E21)-SUM(F21:J21))</f>
        <v/>
      </c>
      <c r="L21" s="2">
        <f>IF(COUNT(K$2:K21)&lt;20,"",SUM(K$2:K21))</f>
        <v/>
      </c>
      <c r="M21" s="2">
        <f>IF(OR('Financial Basis'!B2="",L21=""),"",'Financial Basis'!B2+L21)</f>
        <v/>
      </c>
      <c r="N21" s="2" t="n"/>
    </row>
    <row r="22">
      <c r="A22" s="2" t="n">
        <v>21</v>
      </c>
      <c r="B22" s="2" t="inlineStr">
        <is>
          <t>2027-03-21</t>
        </is>
      </c>
      <c r="C22" s="2" t="n"/>
      <c r="D22" s="2" t="n"/>
      <c r="E22" s="2" t="n"/>
      <c r="F22" s="2" t="n"/>
      <c r="G22" s="2" t="n"/>
      <c r="H22" s="2" t="n"/>
      <c r="I22" s="2" t="n"/>
      <c r="J22" s="2" t="n"/>
      <c r="K22" s="2">
        <f>IF(OR(N22&lt;&gt;"VERIFIED",COUNT(C22:J22)&lt;8),"",SUM(C22:E22)-SUM(F22:J22))</f>
        <v/>
      </c>
      <c r="L22" s="2">
        <f>IF(COUNT(K$2:K22)&lt;21,"",SUM(K$2:K22))</f>
        <v/>
      </c>
      <c r="M22" s="2">
        <f>IF(OR('Financial Basis'!B2="",L22=""),"",'Financial Basis'!B2+L22)</f>
        <v/>
      </c>
      <c r="N22" s="2" t="n"/>
    </row>
    <row r="23">
      <c r="A23" s="2" t="n">
        <v>22</v>
      </c>
      <c r="B23" s="2" t="inlineStr">
        <is>
          <t>2027-03-28</t>
        </is>
      </c>
      <c r="C23" s="2" t="n"/>
      <c r="D23" s="2" t="n"/>
      <c r="E23" s="2" t="n"/>
      <c r="F23" s="2" t="n"/>
      <c r="G23" s="2" t="n"/>
      <c r="H23" s="2" t="n"/>
      <c r="I23" s="2" t="n"/>
      <c r="J23" s="2" t="n"/>
      <c r="K23" s="2">
        <f>IF(OR(N23&lt;&gt;"VERIFIED",COUNT(C23:J23)&lt;8),"",SUM(C23:E23)-SUM(F23:J23))</f>
        <v/>
      </c>
      <c r="L23" s="2">
        <f>IF(COUNT(K$2:K23)&lt;22,"",SUM(K$2:K23))</f>
        <v/>
      </c>
      <c r="M23" s="2">
        <f>IF(OR('Financial Basis'!B2="",L23=""),"",'Financial Basis'!B2+L23)</f>
        <v/>
      </c>
      <c r="N23" s="2" t="n"/>
    </row>
    <row r="24">
      <c r="A24" s="2" t="n">
        <v>23</v>
      </c>
      <c r="B24" s="2" t="inlineStr">
        <is>
          <t>2027-04-04</t>
        </is>
      </c>
      <c r="C24" s="2" t="n"/>
      <c r="D24" s="2" t="n"/>
      <c r="E24" s="2" t="n"/>
      <c r="F24" s="2" t="n"/>
      <c r="G24" s="2" t="n"/>
      <c r="H24" s="2" t="n"/>
      <c r="I24" s="2" t="n"/>
      <c r="J24" s="2" t="n"/>
      <c r="K24" s="2">
        <f>IF(OR(N24&lt;&gt;"VERIFIED",COUNT(C24:J24)&lt;8),"",SUM(C24:E24)-SUM(F24:J24))</f>
        <v/>
      </c>
      <c r="L24" s="2">
        <f>IF(COUNT(K$2:K24)&lt;23,"",SUM(K$2:K24))</f>
        <v/>
      </c>
      <c r="M24" s="2">
        <f>IF(OR('Financial Basis'!B2="",L24=""),"",'Financial Basis'!B2+L24)</f>
        <v/>
      </c>
      <c r="N24" s="2" t="n"/>
    </row>
    <row r="25">
      <c r="A25" s="2" t="n">
        <v>24</v>
      </c>
      <c r="B25" s="2" t="inlineStr">
        <is>
          <t>2027-04-11</t>
        </is>
      </c>
      <c r="C25" s="2" t="n"/>
      <c r="D25" s="2" t="n"/>
      <c r="E25" s="2" t="n"/>
      <c r="F25" s="2" t="n"/>
      <c r="G25" s="2" t="n"/>
      <c r="H25" s="2" t="n"/>
      <c r="I25" s="2" t="n"/>
      <c r="J25" s="2" t="n"/>
      <c r="K25" s="2">
        <f>IF(OR(N25&lt;&gt;"VERIFIED",COUNT(C25:J25)&lt;8),"",SUM(C25:E25)-SUM(F25:J25))</f>
        <v/>
      </c>
      <c r="L25" s="2">
        <f>IF(COUNT(K$2:K25)&lt;24,"",SUM(K$2:K25))</f>
        <v/>
      </c>
      <c r="M25" s="2">
        <f>IF(OR('Financial Basis'!B2="",L25=""),"",'Financial Basis'!B2+L25)</f>
        <v/>
      </c>
      <c r="N25" s="2" t="n"/>
    </row>
    <row r="26">
      <c r="A26" s="2" t="n">
        <v>25</v>
      </c>
      <c r="B26" s="2" t="inlineStr">
        <is>
          <t>2027-04-18</t>
        </is>
      </c>
      <c r="C26" s="2" t="n"/>
      <c r="D26" s="2" t="n"/>
      <c r="E26" s="2" t="n"/>
      <c r="F26" s="2" t="n"/>
      <c r="G26" s="2" t="n"/>
      <c r="H26" s="2" t="n"/>
      <c r="I26" s="2" t="n"/>
      <c r="J26" s="2" t="n"/>
      <c r="K26" s="2">
        <f>IF(OR(N26&lt;&gt;"VERIFIED",COUNT(C26:J26)&lt;8),"",SUM(C26:E26)-SUM(F26:J26))</f>
        <v/>
      </c>
      <c r="L26" s="2">
        <f>IF(COUNT(K$2:K26)&lt;25,"",SUM(K$2:K26))</f>
        <v/>
      </c>
      <c r="M26" s="2">
        <f>IF(OR('Financial Basis'!B2="",L26=""),"",'Financial Basis'!B2+L26)</f>
        <v/>
      </c>
      <c r="N26" s="2" t="n"/>
    </row>
    <row r="27">
      <c r="A27" s="2" t="n">
        <v>26</v>
      </c>
      <c r="B27" s="2" t="inlineStr">
        <is>
          <t>2027-04-25</t>
        </is>
      </c>
      <c r="C27" s="2" t="n"/>
      <c r="D27" s="2" t="n"/>
      <c r="E27" s="2" t="n"/>
      <c r="F27" s="2" t="n"/>
      <c r="G27" s="2" t="n"/>
      <c r="H27" s="2" t="n"/>
      <c r="I27" s="2" t="n"/>
      <c r="J27" s="2" t="n"/>
      <c r="K27" s="2">
        <f>IF(OR(N27&lt;&gt;"VERIFIED",COUNT(C27:J27)&lt;8),"",SUM(C27:E27)-SUM(F27:J27))</f>
        <v/>
      </c>
      <c r="L27" s="2">
        <f>IF(COUNT(K$2:K27)&lt;26,"",SUM(K$2:K27))</f>
        <v/>
      </c>
      <c r="M27" s="2">
        <f>IF(OR('Financial Basis'!B2="",L27=""),"",'Financial Basis'!B2+L27)</f>
        <v/>
      </c>
      <c r="N27" s="2" t="n"/>
    </row>
    <row r="28">
      <c r="A28" s="2" t="n">
        <v>27</v>
      </c>
      <c r="B28" s="2" t="inlineStr">
        <is>
          <t>2027-05-02</t>
        </is>
      </c>
      <c r="C28" s="2" t="n"/>
      <c r="D28" s="2" t="n"/>
      <c r="E28" s="2" t="n"/>
      <c r="F28" s="2" t="n"/>
      <c r="G28" s="2" t="n"/>
      <c r="H28" s="2" t="n"/>
      <c r="I28" s="2" t="n"/>
      <c r="J28" s="2" t="n"/>
      <c r="K28" s="2">
        <f>IF(OR(N28&lt;&gt;"VERIFIED",COUNT(C28:J28)&lt;8),"",SUM(C28:E28)-SUM(F28:J28))</f>
        <v/>
      </c>
      <c r="L28" s="2">
        <f>IF(COUNT(K$2:K28)&lt;27,"",SUM(K$2:K28))</f>
        <v/>
      </c>
      <c r="M28" s="2">
        <f>IF(OR('Financial Basis'!B2="",L28=""),"",'Financial Basis'!B2+L28)</f>
        <v/>
      </c>
      <c r="N28" s="2" t="n"/>
    </row>
    <row r="29">
      <c r="A29" s="2" t="n">
        <v>28</v>
      </c>
      <c r="B29" s="2" t="inlineStr">
        <is>
          <t>2027-05-09</t>
        </is>
      </c>
      <c r="C29" s="2" t="n"/>
      <c r="D29" s="2" t="n"/>
      <c r="E29" s="2" t="n"/>
      <c r="F29" s="2" t="n"/>
      <c r="G29" s="2" t="n"/>
      <c r="H29" s="2" t="n"/>
      <c r="I29" s="2" t="n"/>
      <c r="J29" s="2" t="n"/>
      <c r="K29" s="2">
        <f>IF(OR(N29&lt;&gt;"VERIFIED",COUNT(C29:J29)&lt;8),"",SUM(C29:E29)-SUM(F29:J29))</f>
        <v/>
      </c>
      <c r="L29" s="2">
        <f>IF(COUNT(K$2:K29)&lt;28,"",SUM(K$2:K29))</f>
        <v/>
      </c>
      <c r="M29" s="2">
        <f>IF(OR('Financial Basis'!B2="",L29=""),"",'Financial Basis'!B2+L29)</f>
        <v/>
      </c>
      <c r="N29" s="2" t="n"/>
    </row>
    <row r="30">
      <c r="A30" s="2" t="n">
        <v>29</v>
      </c>
      <c r="B30" s="2" t="inlineStr">
        <is>
          <t>2027-05-16</t>
        </is>
      </c>
      <c r="C30" s="2" t="n"/>
      <c r="D30" s="2" t="n"/>
      <c r="E30" s="2" t="n"/>
      <c r="F30" s="2" t="n"/>
      <c r="G30" s="2" t="n"/>
      <c r="H30" s="2" t="n"/>
      <c r="I30" s="2" t="n"/>
      <c r="J30" s="2" t="n"/>
      <c r="K30" s="2">
        <f>IF(OR(N30&lt;&gt;"VERIFIED",COUNT(C30:J30)&lt;8),"",SUM(C30:E30)-SUM(F30:J30))</f>
        <v/>
      </c>
      <c r="L30" s="2">
        <f>IF(COUNT(K$2:K30)&lt;29,"",SUM(K$2:K30))</f>
        <v/>
      </c>
      <c r="M30" s="2">
        <f>IF(OR('Financial Basis'!B2="",L30=""),"",'Financial Basis'!B2+L30)</f>
        <v/>
      </c>
      <c r="N30" s="2" t="n"/>
    </row>
    <row r="31">
      <c r="A31" s="2" t="n">
        <v>30</v>
      </c>
      <c r="B31" s="2" t="inlineStr">
        <is>
          <t>2027-05-23</t>
        </is>
      </c>
      <c r="C31" s="2" t="n"/>
      <c r="D31" s="2" t="n"/>
      <c r="E31" s="2" t="n"/>
      <c r="F31" s="2" t="n"/>
      <c r="G31" s="2" t="n"/>
      <c r="H31" s="2" t="n"/>
      <c r="I31" s="2" t="n"/>
      <c r="J31" s="2" t="n"/>
      <c r="K31" s="2">
        <f>IF(OR(N31&lt;&gt;"VERIFIED",COUNT(C31:J31)&lt;8),"",SUM(C31:E31)-SUM(F31:J31))</f>
        <v/>
      </c>
      <c r="L31" s="2">
        <f>IF(COUNT(K$2:K31)&lt;30,"",SUM(K$2:K31))</f>
        <v/>
      </c>
      <c r="M31" s="2">
        <f>IF(OR('Financial Basis'!B2="",L31=""),"",'Financial Basis'!B2+L31)</f>
        <v/>
      </c>
      <c r="N31" s="2" t="n"/>
    </row>
    <row r="32">
      <c r="A32" s="2" t="n">
        <v>31</v>
      </c>
      <c r="B32" s="2" t="inlineStr">
        <is>
          <t>2027-05-30</t>
        </is>
      </c>
      <c r="C32" s="2" t="n"/>
      <c r="D32" s="2" t="n"/>
      <c r="E32" s="2" t="n"/>
      <c r="F32" s="2" t="n"/>
      <c r="G32" s="2" t="n"/>
      <c r="H32" s="2" t="n"/>
      <c r="I32" s="2" t="n"/>
      <c r="J32" s="2" t="n"/>
      <c r="K32" s="2">
        <f>IF(OR(N32&lt;&gt;"VERIFIED",COUNT(C32:J32)&lt;8),"",SUM(C32:E32)-SUM(F32:J32))</f>
        <v/>
      </c>
      <c r="L32" s="2">
        <f>IF(COUNT(K$2:K32)&lt;31,"",SUM(K$2:K32))</f>
        <v/>
      </c>
      <c r="M32" s="2">
        <f>IF(OR('Financial Basis'!B2="",L32=""),"",'Financial Basis'!B2+L32)</f>
        <v/>
      </c>
      <c r="N32" s="2" t="n"/>
    </row>
    <row r="33">
      <c r="A33" s="2" t="n">
        <v>32</v>
      </c>
      <c r="B33" s="2" t="inlineStr">
        <is>
          <t>2027-06-06</t>
        </is>
      </c>
      <c r="C33" s="2" t="n"/>
      <c r="D33" s="2" t="n"/>
      <c r="E33" s="2" t="n"/>
      <c r="F33" s="2" t="n"/>
      <c r="G33" s="2" t="n"/>
      <c r="H33" s="2" t="n"/>
      <c r="I33" s="2" t="n"/>
      <c r="J33" s="2" t="n"/>
      <c r="K33" s="2">
        <f>IF(OR(N33&lt;&gt;"VERIFIED",COUNT(C33:J33)&lt;8),"",SUM(C33:E33)-SUM(F33:J33))</f>
        <v/>
      </c>
      <c r="L33" s="2">
        <f>IF(COUNT(K$2:K33)&lt;32,"",SUM(K$2:K33))</f>
        <v/>
      </c>
      <c r="M33" s="2">
        <f>IF(OR('Financial Basis'!B2="",L33=""),"",'Financial Basis'!B2+L33)</f>
        <v/>
      </c>
      <c r="N33" s="2" t="n"/>
    </row>
    <row r="34">
      <c r="A34" s="2" t="n">
        <v>33</v>
      </c>
      <c r="B34" s="2" t="inlineStr">
        <is>
          <t>2027-06-13</t>
        </is>
      </c>
      <c r="C34" s="2" t="n"/>
      <c r="D34" s="2" t="n"/>
      <c r="E34" s="2" t="n"/>
      <c r="F34" s="2" t="n"/>
      <c r="G34" s="2" t="n"/>
      <c r="H34" s="2" t="n"/>
      <c r="I34" s="2" t="n"/>
      <c r="J34" s="2" t="n"/>
      <c r="K34" s="2">
        <f>IF(OR(N34&lt;&gt;"VERIFIED",COUNT(C34:J34)&lt;8),"",SUM(C34:E34)-SUM(F34:J34))</f>
        <v/>
      </c>
      <c r="L34" s="2">
        <f>IF(COUNT(K$2:K34)&lt;33,"",SUM(K$2:K34))</f>
        <v/>
      </c>
      <c r="M34" s="2">
        <f>IF(OR('Financial Basis'!B2="",L34=""),"",'Financial Basis'!B2+L34)</f>
        <v/>
      </c>
      <c r="N34" s="2" t="n"/>
    </row>
    <row r="35">
      <c r="A35" s="2" t="n">
        <v>34</v>
      </c>
      <c r="B35" s="2" t="inlineStr">
        <is>
          <t>2027-06-20</t>
        </is>
      </c>
      <c r="C35" s="2" t="n"/>
      <c r="D35" s="2" t="n"/>
      <c r="E35" s="2" t="n"/>
      <c r="F35" s="2" t="n"/>
      <c r="G35" s="2" t="n"/>
      <c r="H35" s="2" t="n"/>
      <c r="I35" s="2" t="n"/>
      <c r="J35" s="2" t="n"/>
      <c r="K35" s="2">
        <f>IF(OR(N35&lt;&gt;"VERIFIED",COUNT(C35:J35)&lt;8),"",SUM(C35:E35)-SUM(F35:J35))</f>
        <v/>
      </c>
      <c r="L35" s="2">
        <f>IF(COUNT(K$2:K35)&lt;34,"",SUM(K$2:K35))</f>
        <v/>
      </c>
      <c r="M35" s="2">
        <f>IF(OR('Financial Basis'!B2="",L35=""),"",'Financial Basis'!B2+L35)</f>
        <v/>
      </c>
      <c r="N35" s="2" t="n"/>
    </row>
    <row r="36">
      <c r="A36" s="2" t="n">
        <v>35</v>
      </c>
      <c r="B36" s="2" t="inlineStr">
        <is>
          <t>2027-06-27</t>
        </is>
      </c>
      <c r="C36" s="2" t="n"/>
      <c r="D36" s="2" t="n"/>
      <c r="E36" s="2" t="n"/>
      <c r="F36" s="2" t="n"/>
      <c r="G36" s="2" t="n"/>
      <c r="H36" s="2" t="n"/>
      <c r="I36" s="2" t="n"/>
      <c r="J36" s="2" t="n"/>
      <c r="K36" s="2">
        <f>IF(OR(N36&lt;&gt;"VERIFIED",COUNT(C36:J36)&lt;8),"",SUM(C36:E36)-SUM(F36:J36))</f>
        <v/>
      </c>
      <c r="L36" s="2">
        <f>IF(COUNT(K$2:K36)&lt;35,"",SUM(K$2:K36))</f>
        <v/>
      </c>
      <c r="M36" s="2">
        <f>IF(OR('Financial Basis'!B2="",L36=""),"",'Financial Basis'!B2+L36)</f>
        <v/>
      </c>
      <c r="N36" s="2" t="n"/>
    </row>
    <row r="37">
      <c r="A37" s="2" t="n">
        <v>36</v>
      </c>
      <c r="B37" s="2" t="inlineStr">
        <is>
          <t>2027-07-04</t>
        </is>
      </c>
      <c r="C37" s="2" t="n"/>
      <c r="D37" s="2" t="n"/>
      <c r="E37" s="2" t="n"/>
      <c r="F37" s="2" t="n"/>
      <c r="G37" s="2" t="n"/>
      <c r="H37" s="2" t="n"/>
      <c r="I37" s="2" t="n"/>
      <c r="J37" s="2" t="n"/>
      <c r="K37" s="2">
        <f>IF(OR(N37&lt;&gt;"VERIFIED",COUNT(C37:J37)&lt;8),"",SUM(C37:E37)-SUM(F37:J37))</f>
        <v/>
      </c>
      <c r="L37" s="2">
        <f>IF(COUNT(K$2:K37)&lt;36,"",SUM(K$2:K37))</f>
        <v/>
      </c>
      <c r="M37" s="2">
        <f>IF(OR('Financial Basis'!B2="",L37=""),"",'Financial Basis'!B2+L37)</f>
        <v/>
      </c>
      <c r="N37" s="2" t="n"/>
    </row>
    <row r="38">
      <c r="A38" s="2" t="n">
        <v>37</v>
      </c>
      <c r="B38" s="2" t="inlineStr">
        <is>
          <t>2027-07-11</t>
        </is>
      </c>
      <c r="C38" s="2" t="n"/>
      <c r="D38" s="2" t="n"/>
      <c r="E38" s="2" t="n"/>
      <c r="F38" s="2" t="n"/>
      <c r="G38" s="2" t="n"/>
      <c r="H38" s="2" t="n"/>
      <c r="I38" s="2" t="n"/>
      <c r="J38" s="2" t="n"/>
      <c r="K38" s="2">
        <f>IF(OR(N38&lt;&gt;"VERIFIED",COUNT(C38:J38)&lt;8),"",SUM(C38:E38)-SUM(F38:J38))</f>
        <v/>
      </c>
      <c r="L38" s="2">
        <f>IF(COUNT(K$2:K38)&lt;37,"",SUM(K$2:K38))</f>
        <v/>
      </c>
      <c r="M38" s="2">
        <f>IF(OR('Financial Basis'!B2="",L38=""),"",'Financial Basis'!B2+L38)</f>
        <v/>
      </c>
      <c r="N38" s="2" t="n"/>
    </row>
    <row r="39">
      <c r="A39" s="2" t="n">
        <v>38</v>
      </c>
      <c r="B39" s="2" t="inlineStr">
        <is>
          <t>2027-07-18</t>
        </is>
      </c>
      <c r="C39" s="2" t="n"/>
      <c r="D39" s="2" t="n"/>
      <c r="E39" s="2" t="n"/>
      <c r="F39" s="2" t="n"/>
      <c r="G39" s="2" t="n"/>
      <c r="H39" s="2" t="n"/>
      <c r="I39" s="2" t="n"/>
      <c r="J39" s="2" t="n"/>
      <c r="K39" s="2">
        <f>IF(OR(N39&lt;&gt;"VERIFIED",COUNT(C39:J39)&lt;8),"",SUM(C39:E39)-SUM(F39:J39))</f>
        <v/>
      </c>
      <c r="L39" s="2">
        <f>IF(COUNT(K$2:K39)&lt;38,"",SUM(K$2:K39))</f>
        <v/>
      </c>
      <c r="M39" s="2">
        <f>IF(OR('Financial Basis'!B2="",L39=""),"",'Financial Basis'!B2+L39)</f>
        <v/>
      </c>
      <c r="N39" s="2" t="n"/>
    </row>
    <row r="40">
      <c r="A40" s="2" t="n">
        <v>39</v>
      </c>
      <c r="B40" s="2" t="inlineStr">
        <is>
          <t>2027-07-25</t>
        </is>
      </c>
      <c r="C40" s="2" t="n"/>
      <c r="D40" s="2" t="n"/>
      <c r="E40" s="2" t="n"/>
      <c r="F40" s="2" t="n"/>
      <c r="G40" s="2" t="n"/>
      <c r="H40" s="2" t="n"/>
      <c r="I40" s="2" t="n"/>
      <c r="J40" s="2" t="n"/>
      <c r="K40" s="2">
        <f>IF(OR(N40&lt;&gt;"VERIFIED",COUNT(C40:J40)&lt;8),"",SUM(C40:E40)-SUM(F40:J40))</f>
        <v/>
      </c>
      <c r="L40" s="2">
        <f>IF(COUNT(K$2:K40)&lt;39,"",SUM(K$2:K40))</f>
        <v/>
      </c>
      <c r="M40" s="2">
        <f>IF(OR('Financial Basis'!B2="",L40=""),"",'Financial Basis'!B2+L40)</f>
        <v/>
      </c>
      <c r="N40" s="2" t="n"/>
    </row>
    <row r="41">
      <c r="A41" s="2" t="n">
        <v>40</v>
      </c>
      <c r="B41" s="2" t="inlineStr">
        <is>
          <t>2027-08-01</t>
        </is>
      </c>
      <c r="C41" s="2" t="n"/>
      <c r="D41" s="2" t="n"/>
      <c r="E41" s="2" t="n"/>
      <c r="F41" s="2" t="n"/>
      <c r="G41" s="2" t="n"/>
      <c r="H41" s="2" t="n"/>
      <c r="I41" s="2" t="n"/>
      <c r="J41" s="2" t="n"/>
      <c r="K41" s="2">
        <f>IF(OR(N41&lt;&gt;"VERIFIED",COUNT(C41:J41)&lt;8),"",SUM(C41:E41)-SUM(F41:J41))</f>
        <v/>
      </c>
      <c r="L41" s="2">
        <f>IF(COUNT(K$2:K41)&lt;40,"",SUM(K$2:K41))</f>
        <v/>
      </c>
      <c r="M41" s="2">
        <f>IF(OR('Financial Basis'!B2="",L41=""),"",'Financial Basis'!B2+L41)</f>
        <v/>
      </c>
      <c r="N41" s="2" t="n"/>
    </row>
    <row r="42">
      <c r="A42" s="2" t="n">
        <v>41</v>
      </c>
      <c r="B42" s="2" t="inlineStr">
        <is>
          <t>2027-08-08</t>
        </is>
      </c>
      <c r="C42" s="2" t="n"/>
      <c r="D42" s="2" t="n"/>
      <c r="E42" s="2" t="n"/>
      <c r="F42" s="2" t="n"/>
      <c r="G42" s="2" t="n"/>
      <c r="H42" s="2" t="n"/>
      <c r="I42" s="2" t="n"/>
      <c r="J42" s="2" t="n"/>
      <c r="K42" s="2">
        <f>IF(OR(N42&lt;&gt;"VERIFIED",COUNT(C42:J42)&lt;8),"",SUM(C42:E42)-SUM(F42:J42))</f>
        <v/>
      </c>
      <c r="L42" s="2">
        <f>IF(COUNT(K$2:K42)&lt;41,"",SUM(K$2:K42))</f>
        <v/>
      </c>
      <c r="M42" s="2">
        <f>IF(OR('Financial Basis'!B2="",L42=""),"",'Financial Basis'!B2+L42)</f>
        <v/>
      </c>
      <c r="N42" s="2" t="n"/>
    </row>
    <row r="43">
      <c r="A43" s="2" t="n">
        <v>42</v>
      </c>
      <c r="B43" s="2" t="inlineStr">
        <is>
          <t>2027-08-15</t>
        </is>
      </c>
      <c r="C43" s="2" t="n"/>
      <c r="D43" s="2" t="n"/>
      <c r="E43" s="2" t="n"/>
      <c r="F43" s="2" t="n"/>
      <c r="G43" s="2" t="n"/>
      <c r="H43" s="2" t="n"/>
      <c r="I43" s="2" t="n"/>
      <c r="J43" s="2" t="n"/>
      <c r="K43" s="2">
        <f>IF(OR(N43&lt;&gt;"VERIFIED",COUNT(C43:J43)&lt;8),"",SUM(C43:E43)-SUM(F43:J43))</f>
        <v/>
      </c>
      <c r="L43" s="2">
        <f>IF(COUNT(K$2:K43)&lt;42,"",SUM(K$2:K43))</f>
        <v/>
      </c>
      <c r="M43" s="2">
        <f>IF(OR('Financial Basis'!B2="",L43=""),"",'Financial Basis'!B2+L43)</f>
        <v/>
      </c>
      <c r="N43" s="2" t="n"/>
    </row>
    <row r="44">
      <c r="A44" s="2" t="n">
        <v>43</v>
      </c>
      <c r="B44" s="2" t="inlineStr">
        <is>
          <t>2027-08-22</t>
        </is>
      </c>
      <c r="C44" s="2" t="n"/>
      <c r="D44" s="2" t="n"/>
      <c r="E44" s="2" t="n"/>
      <c r="F44" s="2" t="n"/>
      <c r="G44" s="2" t="n"/>
      <c r="H44" s="2" t="n"/>
      <c r="I44" s="2" t="n"/>
      <c r="J44" s="2" t="n"/>
      <c r="K44" s="2">
        <f>IF(OR(N44&lt;&gt;"VERIFIED",COUNT(C44:J44)&lt;8),"",SUM(C44:E44)-SUM(F44:J44))</f>
        <v/>
      </c>
      <c r="L44" s="2">
        <f>IF(COUNT(K$2:K44)&lt;43,"",SUM(K$2:K44))</f>
        <v/>
      </c>
      <c r="M44" s="2">
        <f>IF(OR('Financial Basis'!B2="",L44=""),"",'Financial Basis'!B2+L44)</f>
        <v/>
      </c>
      <c r="N44" s="2" t="n"/>
    </row>
    <row r="45">
      <c r="A45" s="2" t="n">
        <v>44</v>
      </c>
      <c r="B45" s="2" t="inlineStr">
        <is>
          <t>2027-08-29</t>
        </is>
      </c>
      <c r="C45" s="2" t="n"/>
      <c r="D45" s="2" t="n"/>
      <c r="E45" s="2" t="n"/>
      <c r="F45" s="2" t="n"/>
      <c r="G45" s="2" t="n"/>
      <c r="H45" s="2" t="n"/>
      <c r="I45" s="2" t="n"/>
      <c r="J45" s="2" t="n"/>
      <c r="K45" s="2">
        <f>IF(OR(N45&lt;&gt;"VERIFIED",COUNT(C45:J45)&lt;8),"",SUM(C45:E45)-SUM(F45:J45))</f>
        <v/>
      </c>
      <c r="L45" s="2">
        <f>IF(COUNT(K$2:K45)&lt;44,"",SUM(K$2:K45))</f>
        <v/>
      </c>
      <c r="M45" s="2">
        <f>IF(OR('Financial Basis'!B2="",L45=""),"",'Financial Basis'!B2+L45)</f>
        <v/>
      </c>
      <c r="N45" s="2" t="n"/>
    </row>
    <row r="46">
      <c r="A46" s="2" t="n">
        <v>45</v>
      </c>
      <c r="B46" s="2" t="inlineStr">
        <is>
          <t>2027-09-05</t>
        </is>
      </c>
      <c r="C46" s="2" t="n"/>
      <c r="D46" s="2" t="n"/>
      <c r="E46" s="2" t="n"/>
      <c r="F46" s="2" t="n"/>
      <c r="G46" s="2" t="n"/>
      <c r="H46" s="2" t="n"/>
      <c r="I46" s="2" t="n"/>
      <c r="J46" s="2" t="n"/>
      <c r="K46" s="2">
        <f>IF(OR(N46&lt;&gt;"VERIFIED",COUNT(C46:J46)&lt;8),"",SUM(C46:E46)-SUM(F46:J46))</f>
        <v/>
      </c>
      <c r="L46" s="2">
        <f>IF(COUNT(K$2:K46)&lt;45,"",SUM(K$2:K46))</f>
        <v/>
      </c>
      <c r="M46" s="2">
        <f>IF(OR('Financial Basis'!B2="",L46=""),"",'Financial Basis'!B2+L46)</f>
        <v/>
      </c>
      <c r="N46" s="2" t="n"/>
    </row>
    <row r="47">
      <c r="A47" s="2" t="n">
        <v>46</v>
      </c>
      <c r="B47" s="2" t="inlineStr">
        <is>
          <t>2027-09-12</t>
        </is>
      </c>
      <c r="C47" s="2" t="n"/>
      <c r="D47" s="2" t="n"/>
      <c r="E47" s="2" t="n"/>
      <c r="F47" s="2" t="n"/>
      <c r="G47" s="2" t="n"/>
      <c r="H47" s="2" t="n"/>
      <c r="I47" s="2" t="n"/>
      <c r="J47" s="2" t="n"/>
      <c r="K47" s="2">
        <f>IF(OR(N47&lt;&gt;"VERIFIED",COUNT(C47:J47)&lt;8),"",SUM(C47:E47)-SUM(F47:J47))</f>
        <v/>
      </c>
      <c r="L47" s="2">
        <f>IF(COUNT(K$2:K47)&lt;46,"",SUM(K$2:K47))</f>
        <v/>
      </c>
      <c r="M47" s="2">
        <f>IF(OR('Financial Basis'!B2="",L47=""),"",'Financial Basis'!B2+L47)</f>
        <v/>
      </c>
      <c r="N47" s="2" t="n"/>
    </row>
    <row r="48">
      <c r="A48" s="2" t="n">
        <v>47</v>
      </c>
      <c r="B48" s="2" t="inlineStr">
        <is>
          <t>2027-09-19</t>
        </is>
      </c>
      <c r="C48" s="2" t="n"/>
      <c r="D48" s="2" t="n"/>
      <c r="E48" s="2" t="n"/>
      <c r="F48" s="2" t="n"/>
      <c r="G48" s="2" t="n"/>
      <c r="H48" s="2" t="n"/>
      <c r="I48" s="2" t="n"/>
      <c r="J48" s="2" t="n"/>
      <c r="K48" s="2">
        <f>IF(OR(N48&lt;&gt;"VERIFIED",COUNT(C48:J48)&lt;8),"",SUM(C48:E48)-SUM(F48:J48))</f>
        <v/>
      </c>
      <c r="L48" s="2">
        <f>IF(COUNT(K$2:K48)&lt;47,"",SUM(K$2:K48))</f>
        <v/>
      </c>
      <c r="M48" s="2">
        <f>IF(OR('Financial Basis'!B2="",L48=""),"",'Financial Basis'!B2+L48)</f>
        <v/>
      </c>
      <c r="N48" s="2" t="n"/>
    </row>
    <row r="49">
      <c r="A49" s="2" t="n">
        <v>48</v>
      </c>
      <c r="B49" s="2" t="inlineStr">
        <is>
          <t>2027-09-26</t>
        </is>
      </c>
      <c r="C49" s="2" t="n"/>
      <c r="D49" s="2" t="n"/>
      <c r="E49" s="2" t="n"/>
      <c r="F49" s="2" t="n"/>
      <c r="G49" s="2" t="n"/>
      <c r="H49" s="2" t="n"/>
      <c r="I49" s="2" t="n"/>
      <c r="J49" s="2" t="n"/>
      <c r="K49" s="2">
        <f>IF(OR(N49&lt;&gt;"VERIFIED",COUNT(C49:J49)&lt;8),"",SUM(C49:E49)-SUM(F49:J49))</f>
        <v/>
      </c>
      <c r="L49" s="2">
        <f>IF(COUNT(K$2:K49)&lt;48,"",SUM(K$2:K49))</f>
        <v/>
      </c>
      <c r="M49" s="2">
        <f>IF(OR('Financial Basis'!B2="",L49=""),"",'Financial Basis'!B2+L49)</f>
        <v/>
      </c>
      <c r="N49" s="2" t="n"/>
    </row>
    <row r="50">
      <c r="A50" s="2" t="n">
        <v>49</v>
      </c>
      <c r="B50" s="2" t="inlineStr">
        <is>
          <t>2027-10-03</t>
        </is>
      </c>
      <c r="C50" s="2" t="n"/>
      <c r="D50" s="2" t="n"/>
      <c r="E50" s="2" t="n"/>
      <c r="F50" s="2" t="n"/>
      <c r="G50" s="2" t="n"/>
      <c r="H50" s="2" t="n"/>
      <c r="I50" s="2" t="n"/>
      <c r="J50" s="2" t="n"/>
      <c r="K50" s="2">
        <f>IF(OR(N50&lt;&gt;"VERIFIED",COUNT(C50:J50)&lt;8),"",SUM(C50:E50)-SUM(F50:J50))</f>
        <v/>
      </c>
      <c r="L50" s="2">
        <f>IF(COUNT(K$2:K50)&lt;49,"",SUM(K$2:K50))</f>
        <v/>
      </c>
      <c r="M50" s="2">
        <f>IF(OR('Financial Basis'!B2="",L50=""),"",'Financial Basis'!B2+L50)</f>
        <v/>
      </c>
      <c r="N50" s="2" t="n"/>
    </row>
    <row r="51">
      <c r="A51" s="2" t="n">
        <v>50</v>
      </c>
      <c r="B51" s="2" t="inlineStr">
        <is>
          <t>2027-10-10</t>
        </is>
      </c>
      <c r="C51" s="2" t="n"/>
      <c r="D51" s="2" t="n"/>
      <c r="E51" s="2" t="n"/>
      <c r="F51" s="2" t="n"/>
      <c r="G51" s="2" t="n"/>
      <c r="H51" s="2" t="n"/>
      <c r="I51" s="2" t="n"/>
      <c r="J51" s="2" t="n"/>
      <c r="K51" s="2">
        <f>IF(OR(N51&lt;&gt;"VERIFIED",COUNT(C51:J51)&lt;8),"",SUM(C51:E51)-SUM(F51:J51))</f>
        <v/>
      </c>
      <c r="L51" s="2">
        <f>IF(COUNT(K$2:K51)&lt;50,"",SUM(K$2:K51))</f>
        <v/>
      </c>
      <c r="M51" s="2">
        <f>IF(OR('Financial Basis'!B2="",L51=""),"",'Financial Basis'!B2+L51)</f>
        <v/>
      </c>
      <c r="N51" s="2" t="n"/>
    </row>
    <row r="52">
      <c r="A52" s="2" t="n">
        <v>51</v>
      </c>
      <c r="B52" s="2" t="inlineStr">
        <is>
          <t>2027-10-17</t>
        </is>
      </c>
      <c r="C52" s="2" t="n"/>
      <c r="D52" s="2" t="n"/>
      <c r="E52" s="2" t="n"/>
      <c r="F52" s="2" t="n"/>
      <c r="G52" s="2" t="n"/>
      <c r="H52" s="2" t="n"/>
      <c r="I52" s="2" t="n"/>
      <c r="J52" s="2" t="n"/>
      <c r="K52" s="2">
        <f>IF(OR(N52&lt;&gt;"VERIFIED",COUNT(C52:J52)&lt;8),"",SUM(C52:E52)-SUM(F52:J52))</f>
        <v/>
      </c>
      <c r="L52" s="2">
        <f>IF(COUNT(K$2:K52)&lt;51,"",SUM(K$2:K52))</f>
        <v/>
      </c>
      <c r="M52" s="2">
        <f>IF(OR('Financial Basis'!B2="",L52=""),"",'Financial Basis'!B2+L52)</f>
        <v/>
      </c>
      <c r="N52" s="2" t="n"/>
    </row>
    <row r="53">
      <c r="A53" s="2" t="n">
        <v>52</v>
      </c>
      <c r="B53" s="2" t="inlineStr">
        <is>
          <t>2027-10-24</t>
        </is>
      </c>
      <c r="C53" s="2" t="n"/>
      <c r="D53" s="2" t="n"/>
      <c r="E53" s="2" t="n"/>
      <c r="F53" s="2" t="n"/>
      <c r="G53" s="2" t="n"/>
      <c r="H53" s="2" t="n"/>
      <c r="I53" s="2" t="n"/>
      <c r="J53" s="2" t="n"/>
      <c r="K53" s="2">
        <f>IF(OR(N53&lt;&gt;"VERIFIED",COUNT(C53:J53)&lt;8),"",SUM(C53:E53)-SUM(F53:J53))</f>
        <v/>
      </c>
      <c r="L53" s="2">
        <f>IF(COUNT(K$2:K53)&lt;52,"",SUM(K$2:K53))</f>
        <v/>
      </c>
      <c r="M53" s="2">
        <f>IF(OR('Financial Basis'!B2="",L53=""),"",'Financial Basis'!B2+L53)</f>
        <v/>
      </c>
      <c r="N53" s="2" t="n"/>
    </row>
    <row r="54">
      <c r="A54" s="2" t="n">
        <v>53</v>
      </c>
      <c r="B54" s="2" t="inlineStr">
        <is>
          <t>2027-10-31</t>
        </is>
      </c>
      <c r="C54" s="2" t="n"/>
      <c r="D54" s="2" t="n"/>
      <c r="E54" s="2" t="n"/>
      <c r="F54" s="2" t="n"/>
      <c r="G54" s="2" t="n"/>
      <c r="H54" s="2" t="n"/>
      <c r="I54" s="2" t="n"/>
      <c r="J54" s="2" t="n"/>
      <c r="K54" s="2">
        <f>IF(OR(N54&lt;&gt;"VERIFIED",COUNT(C54:J54)&lt;8),"",SUM(C54:E54)-SUM(F54:J54))</f>
        <v/>
      </c>
      <c r="L54" s="2">
        <f>IF(COUNT(K$2:K54)&lt;53,"",SUM(K$2:K54))</f>
        <v/>
      </c>
      <c r="M54" s="2">
        <f>IF(OR('Financial Basis'!B2="",L54=""),"",'Financial Basis'!B2+L54)</f>
        <v/>
      </c>
      <c r="N54" s="2" t="n"/>
    </row>
    <row r="55">
      <c r="A55" s="2" t="n">
        <v>54</v>
      </c>
      <c r="B55" s="2" t="inlineStr">
        <is>
          <t>2027-11-07</t>
        </is>
      </c>
      <c r="C55" s="2" t="n"/>
      <c r="D55" s="2" t="n"/>
      <c r="E55" s="2" t="n"/>
      <c r="F55" s="2" t="n"/>
      <c r="G55" s="2" t="n"/>
      <c r="H55" s="2" t="n"/>
      <c r="I55" s="2" t="n"/>
      <c r="J55" s="2" t="n"/>
      <c r="K55" s="2">
        <f>IF(OR(N55&lt;&gt;"VERIFIED",COUNT(C55:J55)&lt;8),"",SUM(C55:E55)-SUM(F55:J55))</f>
        <v/>
      </c>
      <c r="L55" s="2">
        <f>IF(COUNT(K$2:K55)&lt;54,"",SUM(K$2:K55))</f>
        <v/>
      </c>
      <c r="M55" s="2">
        <f>IF(OR('Financial Basis'!B2="",L55=""),"",'Financial Basis'!B2+L55)</f>
        <v/>
      </c>
      <c r="N55" s="2" t="n"/>
    </row>
    <row r="56">
      <c r="A56" s="2" t="n">
        <v>55</v>
      </c>
      <c r="B56" s="2" t="inlineStr">
        <is>
          <t>2027-11-14</t>
        </is>
      </c>
      <c r="C56" s="2" t="n"/>
      <c r="D56" s="2" t="n"/>
      <c r="E56" s="2" t="n"/>
      <c r="F56" s="2" t="n"/>
      <c r="G56" s="2" t="n"/>
      <c r="H56" s="2" t="n"/>
      <c r="I56" s="2" t="n"/>
      <c r="J56" s="2" t="n"/>
      <c r="K56" s="2">
        <f>IF(OR(N56&lt;&gt;"VERIFIED",COUNT(C56:J56)&lt;8),"",SUM(C56:E56)-SUM(F56:J56))</f>
        <v/>
      </c>
      <c r="L56" s="2">
        <f>IF(COUNT(K$2:K56)&lt;55,"",SUM(K$2:K56))</f>
        <v/>
      </c>
      <c r="M56" s="2">
        <f>IF(OR('Financial Basis'!B2="",L56=""),"",'Financial Basis'!B2+L56)</f>
        <v/>
      </c>
      <c r="N56" s="2" t="n"/>
    </row>
    <row r="57">
      <c r="A57" s="2" t="n">
        <v>56</v>
      </c>
      <c r="B57" s="2" t="inlineStr">
        <is>
          <t>2027-11-21</t>
        </is>
      </c>
      <c r="C57" s="2" t="n"/>
      <c r="D57" s="2" t="n"/>
      <c r="E57" s="2" t="n"/>
      <c r="F57" s="2" t="n"/>
      <c r="G57" s="2" t="n"/>
      <c r="H57" s="2" t="n"/>
      <c r="I57" s="2" t="n"/>
      <c r="J57" s="2" t="n"/>
      <c r="K57" s="2">
        <f>IF(OR(N57&lt;&gt;"VERIFIED",COUNT(C57:J57)&lt;8),"",SUM(C57:E57)-SUM(F57:J57))</f>
        <v/>
      </c>
      <c r="L57" s="2">
        <f>IF(COUNT(K$2:K57)&lt;56,"",SUM(K$2:K57))</f>
        <v/>
      </c>
      <c r="M57" s="2">
        <f>IF(OR('Financial Basis'!B2="",L57=""),"",'Financial Basis'!B2+L57)</f>
        <v/>
      </c>
      <c r="N57" s="2" t="n"/>
    </row>
    <row r="58">
      <c r="A58" s="2" t="n">
        <v>57</v>
      </c>
      <c r="B58" s="2" t="inlineStr">
        <is>
          <t>2027-11-28</t>
        </is>
      </c>
      <c r="C58" s="2" t="n"/>
      <c r="D58" s="2" t="n"/>
      <c r="E58" s="2" t="n"/>
      <c r="F58" s="2" t="n"/>
      <c r="G58" s="2" t="n"/>
      <c r="H58" s="2" t="n"/>
      <c r="I58" s="2" t="n"/>
      <c r="J58" s="2" t="n"/>
      <c r="K58" s="2">
        <f>IF(OR(N58&lt;&gt;"VERIFIED",COUNT(C58:J58)&lt;8),"",SUM(C58:E58)-SUM(F58:J58))</f>
        <v/>
      </c>
      <c r="L58" s="2">
        <f>IF(COUNT(K$2:K58)&lt;57,"",SUM(K$2:K58))</f>
        <v/>
      </c>
      <c r="M58" s="2">
        <f>IF(OR('Financial Basis'!B2="",L58=""),"",'Financial Basis'!B2+L58)</f>
        <v/>
      </c>
      <c r="N58" s="2" t="n"/>
    </row>
    <row r="59">
      <c r="A59" s="2" t="n">
        <v>58</v>
      </c>
      <c r="B59" s="2" t="inlineStr">
        <is>
          <t>2027-12-05</t>
        </is>
      </c>
      <c r="C59" s="2" t="n"/>
      <c r="D59" s="2" t="n"/>
      <c r="E59" s="2" t="n"/>
      <c r="F59" s="2" t="n"/>
      <c r="G59" s="2" t="n"/>
      <c r="H59" s="2" t="n"/>
      <c r="I59" s="2" t="n"/>
      <c r="J59" s="2" t="n"/>
      <c r="K59" s="2">
        <f>IF(OR(N59&lt;&gt;"VERIFIED",COUNT(C59:J59)&lt;8),"",SUM(C59:E59)-SUM(F59:J59))</f>
        <v/>
      </c>
      <c r="L59" s="2">
        <f>IF(COUNT(K$2:K59)&lt;58,"",SUM(K$2:K59))</f>
        <v/>
      </c>
      <c r="M59" s="2">
        <f>IF(OR('Financial Basis'!B2="",L59=""),"",'Financial Basis'!B2+L59)</f>
        <v/>
      </c>
      <c r="N59" s="2" t="n"/>
    </row>
    <row r="60">
      <c r="A60" s="2" t="n">
        <v>59</v>
      </c>
      <c r="B60" s="2" t="inlineStr">
        <is>
          <t>2027-12-12</t>
        </is>
      </c>
      <c r="C60" s="2" t="n"/>
      <c r="D60" s="2" t="n"/>
      <c r="E60" s="2" t="n"/>
      <c r="F60" s="2" t="n"/>
      <c r="G60" s="2" t="n"/>
      <c r="H60" s="2" t="n"/>
      <c r="I60" s="2" t="n"/>
      <c r="J60" s="2" t="n"/>
      <c r="K60" s="2">
        <f>IF(OR(N60&lt;&gt;"VERIFIED",COUNT(C60:J60)&lt;8),"",SUM(C60:E60)-SUM(F60:J60))</f>
        <v/>
      </c>
      <c r="L60" s="2">
        <f>IF(COUNT(K$2:K60)&lt;59,"",SUM(K$2:K60))</f>
        <v/>
      </c>
      <c r="M60" s="2">
        <f>IF(OR('Financial Basis'!B2="",L60=""),"",'Financial Basis'!B2+L60)</f>
        <v/>
      </c>
      <c r="N60" s="2" t="n"/>
    </row>
    <row r="61">
      <c r="A61" s="2" t="n">
        <v>60</v>
      </c>
      <c r="B61" s="2" t="inlineStr">
        <is>
          <t>2027-12-19</t>
        </is>
      </c>
      <c r="C61" s="2" t="n"/>
      <c r="D61" s="2" t="n"/>
      <c r="E61" s="2" t="n"/>
      <c r="F61" s="2" t="n"/>
      <c r="G61" s="2" t="n"/>
      <c r="H61" s="2" t="n"/>
      <c r="I61" s="2" t="n"/>
      <c r="J61" s="2" t="n"/>
      <c r="K61" s="2">
        <f>IF(OR(N61&lt;&gt;"VERIFIED",COUNT(C61:J61)&lt;8),"",SUM(C61:E61)-SUM(F61:J61))</f>
        <v/>
      </c>
      <c r="L61" s="2">
        <f>IF(COUNT(K$2:K61)&lt;60,"",SUM(K$2:K61))</f>
        <v/>
      </c>
      <c r="M61" s="2">
        <f>IF(OR('Financial Basis'!B2="",L61=""),"",'Financial Basis'!B2+L61)</f>
        <v/>
      </c>
      <c r="N61" s="2" t="n"/>
    </row>
    <row r="62">
      <c r="A62" s="2" t="n">
        <v>61</v>
      </c>
      <c r="B62" s="2" t="inlineStr">
        <is>
          <t>2027-12-26</t>
        </is>
      </c>
      <c r="C62" s="2" t="n"/>
      <c r="D62" s="2" t="n"/>
      <c r="E62" s="2" t="n"/>
      <c r="F62" s="2" t="n"/>
      <c r="G62" s="2" t="n"/>
      <c r="H62" s="2" t="n"/>
      <c r="I62" s="2" t="n"/>
      <c r="J62" s="2" t="n"/>
      <c r="K62" s="2">
        <f>IF(OR(N62&lt;&gt;"VERIFIED",COUNT(C62:J62)&lt;8),"",SUM(C62:E62)-SUM(F62:J62))</f>
        <v/>
      </c>
      <c r="L62" s="2">
        <f>IF(COUNT(K$2:K62)&lt;61,"",SUM(K$2:K62))</f>
        <v/>
      </c>
      <c r="M62" s="2">
        <f>IF(OR('Financial Basis'!B2="",L62=""),"",'Financial Basis'!B2+L62)</f>
        <v/>
      </c>
      <c r="N62" s="2" t="n"/>
    </row>
    <row r="63">
      <c r="A63" s="2" t="n">
        <v>62</v>
      </c>
      <c r="B63" s="2" t="inlineStr">
        <is>
          <t>2028-01-02</t>
        </is>
      </c>
      <c r="C63" s="2" t="n"/>
      <c r="D63" s="2" t="n"/>
      <c r="E63" s="2" t="n"/>
      <c r="F63" s="2" t="n"/>
      <c r="G63" s="2" t="n"/>
      <c r="H63" s="2" t="n"/>
      <c r="I63" s="2" t="n"/>
      <c r="J63" s="2" t="n"/>
      <c r="K63" s="2">
        <f>IF(OR(N63&lt;&gt;"VERIFIED",COUNT(C63:J63)&lt;8),"",SUM(C63:E63)-SUM(F63:J63))</f>
        <v/>
      </c>
      <c r="L63" s="2">
        <f>IF(COUNT(K$2:K63)&lt;62,"",SUM(K$2:K63))</f>
        <v/>
      </c>
      <c r="M63" s="2">
        <f>IF(OR('Financial Basis'!B2="",L63=""),"",'Financial Basis'!B2+L63)</f>
        <v/>
      </c>
      <c r="N63" s="2" t="n"/>
    </row>
    <row r="64">
      <c r="A64" s="2" t="n">
        <v>63</v>
      </c>
      <c r="B64" s="2" t="inlineStr">
        <is>
          <t>2028-01-09</t>
        </is>
      </c>
      <c r="C64" s="2" t="n"/>
      <c r="D64" s="2" t="n"/>
      <c r="E64" s="2" t="n"/>
      <c r="F64" s="2" t="n"/>
      <c r="G64" s="2" t="n"/>
      <c r="H64" s="2" t="n"/>
      <c r="I64" s="2" t="n"/>
      <c r="J64" s="2" t="n"/>
      <c r="K64" s="2">
        <f>IF(OR(N64&lt;&gt;"VERIFIED",COUNT(C64:J64)&lt;8),"",SUM(C64:E64)-SUM(F64:J64))</f>
        <v/>
      </c>
      <c r="L64" s="2">
        <f>IF(COUNT(K$2:K64)&lt;63,"",SUM(K$2:K64))</f>
        <v/>
      </c>
      <c r="M64" s="2">
        <f>IF(OR('Financial Basis'!B2="",L64=""),"",'Financial Basis'!B2+L64)</f>
        <v/>
      </c>
      <c r="N64" s="2" t="n"/>
    </row>
    <row r="65">
      <c r="A65" s="2" t="n">
        <v>64</v>
      </c>
      <c r="B65" s="2" t="inlineStr">
        <is>
          <t>2028-01-16</t>
        </is>
      </c>
      <c r="C65" s="2" t="n"/>
      <c r="D65" s="2" t="n"/>
      <c r="E65" s="2" t="n"/>
      <c r="F65" s="2" t="n"/>
      <c r="G65" s="2" t="n"/>
      <c r="H65" s="2" t="n"/>
      <c r="I65" s="2" t="n"/>
      <c r="J65" s="2" t="n"/>
      <c r="K65" s="2">
        <f>IF(OR(N65&lt;&gt;"VERIFIED",COUNT(C65:J65)&lt;8),"",SUM(C65:E65)-SUM(F65:J65))</f>
        <v/>
      </c>
      <c r="L65" s="2">
        <f>IF(COUNT(K$2:K65)&lt;64,"",SUM(K$2:K65))</f>
        <v/>
      </c>
      <c r="M65" s="2">
        <f>IF(OR('Financial Basis'!B2="",L65=""),"",'Financial Basis'!B2+L65)</f>
        <v/>
      </c>
      <c r="N65" s="2" t="n"/>
    </row>
    <row r="66">
      <c r="A66" s="2" t="n">
        <v>65</v>
      </c>
      <c r="B66" s="2" t="inlineStr">
        <is>
          <t>2028-01-23</t>
        </is>
      </c>
      <c r="C66" s="2" t="n"/>
      <c r="D66" s="2" t="n"/>
      <c r="E66" s="2" t="n"/>
      <c r="F66" s="2" t="n"/>
      <c r="G66" s="2" t="n"/>
      <c r="H66" s="2" t="n"/>
      <c r="I66" s="2" t="n"/>
      <c r="J66" s="2" t="n"/>
      <c r="K66" s="2">
        <f>IF(OR(N66&lt;&gt;"VERIFIED",COUNT(C66:J66)&lt;8),"",SUM(C66:E66)-SUM(F66:J66))</f>
        <v/>
      </c>
      <c r="L66" s="2">
        <f>IF(COUNT(K$2:K66)&lt;65,"",SUM(K$2:K66))</f>
        <v/>
      </c>
      <c r="M66" s="2">
        <f>IF(OR('Financial Basis'!B2="",L66=""),"",'Financial Basis'!B2+L66)</f>
        <v/>
      </c>
      <c r="N66" s="2" t="n"/>
    </row>
    <row r="67">
      <c r="A67" s="2" t="n">
        <v>66</v>
      </c>
      <c r="B67" s="2" t="inlineStr">
        <is>
          <t>2028-01-30</t>
        </is>
      </c>
      <c r="C67" s="2" t="n"/>
      <c r="D67" s="2" t="n"/>
      <c r="E67" s="2" t="n"/>
      <c r="F67" s="2" t="n"/>
      <c r="G67" s="2" t="n"/>
      <c r="H67" s="2" t="n"/>
      <c r="I67" s="2" t="n"/>
      <c r="J67" s="2" t="n"/>
      <c r="K67" s="2">
        <f>IF(OR(N67&lt;&gt;"VERIFIED",COUNT(C67:J67)&lt;8),"",SUM(C67:E67)-SUM(F67:J67))</f>
        <v/>
      </c>
      <c r="L67" s="2">
        <f>IF(COUNT(K$2:K67)&lt;66,"",SUM(K$2:K67))</f>
        <v/>
      </c>
      <c r="M67" s="2">
        <f>IF(OR('Financial Basis'!B2="",L67=""),"",'Financial Basis'!B2+L67)</f>
        <v/>
      </c>
      <c r="N67" s="2" t="n"/>
    </row>
    <row r="68">
      <c r="A68" s="2" t="n">
        <v>67</v>
      </c>
      <c r="B68" s="2" t="inlineStr">
        <is>
          <t>2028-02-06</t>
        </is>
      </c>
      <c r="C68" s="2" t="n"/>
      <c r="D68" s="2" t="n"/>
      <c r="E68" s="2" t="n"/>
      <c r="F68" s="2" t="n"/>
      <c r="G68" s="2" t="n"/>
      <c r="H68" s="2" t="n"/>
      <c r="I68" s="2" t="n"/>
      <c r="J68" s="2" t="n"/>
      <c r="K68" s="2">
        <f>IF(OR(N68&lt;&gt;"VERIFIED",COUNT(C68:J68)&lt;8),"",SUM(C68:E68)-SUM(F68:J68))</f>
        <v/>
      </c>
      <c r="L68" s="2">
        <f>IF(COUNT(K$2:K68)&lt;67,"",SUM(K$2:K68))</f>
        <v/>
      </c>
      <c r="M68" s="2">
        <f>IF(OR('Financial Basis'!B2="",L68=""),"",'Financial Basis'!B2+L68)</f>
        <v/>
      </c>
      <c r="N68" s="2" t="n"/>
    </row>
    <row r="69">
      <c r="A69" s="2" t="n">
        <v>68</v>
      </c>
      <c r="B69" s="2" t="inlineStr">
        <is>
          <t>2028-02-13</t>
        </is>
      </c>
      <c r="C69" s="2" t="n"/>
      <c r="D69" s="2" t="n"/>
      <c r="E69" s="2" t="n"/>
      <c r="F69" s="2" t="n"/>
      <c r="G69" s="2" t="n"/>
      <c r="H69" s="2" t="n"/>
      <c r="I69" s="2" t="n"/>
      <c r="J69" s="2" t="n"/>
      <c r="K69" s="2">
        <f>IF(OR(N69&lt;&gt;"VERIFIED",COUNT(C69:J69)&lt;8),"",SUM(C69:E69)-SUM(F69:J69))</f>
        <v/>
      </c>
      <c r="L69" s="2">
        <f>IF(COUNT(K$2:K69)&lt;68,"",SUM(K$2:K69))</f>
        <v/>
      </c>
      <c r="M69" s="2">
        <f>IF(OR('Financial Basis'!B2="",L69=""),"",'Financial Basis'!B2+L69)</f>
        <v/>
      </c>
      <c r="N69" s="2" t="n"/>
    </row>
    <row r="70">
      <c r="A70" s="2" t="n">
        <v>69</v>
      </c>
      <c r="B70" s="2" t="inlineStr">
        <is>
          <t>2028-02-20</t>
        </is>
      </c>
      <c r="C70" s="2" t="n"/>
      <c r="D70" s="2" t="n"/>
      <c r="E70" s="2" t="n"/>
      <c r="F70" s="2" t="n"/>
      <c r="G70" s="2" t="n"/>
      <c r="H70" s="2" t="n"/>
      <c r="I70" s="2" t="n"/>
      <c r="J70" s="2" t="n"/>
      <c r="K70" s="2">
        <f>IF(OR(N70&lt;&gt;"VERIFIED",COUNT(C70:J70)&lt;8),"",SUM(C70:E70)-SUM(F70:J70))</f>
        <v/>
      </c>
      <c r="L70" s="2">
        <f>IF(COUNT(K$2:K70)&lt;69,"",SUM(K$2:K70))</f>
        <v/>
      </c>
      <c r="M70" s="2">
        <f>IF(OR('Financial Basis'!B2="",L70=""),"",'Financial Basis'!B2+L70)</f>
        <v/>
      </c>
      <c r="N70" s="2" t="n"/>
    </row>
    <row r="71">
      <c r="A71" s="2" t="n">
        <v>70</v>
      </c>
      <c r="B71" s="2" t="inlineStr">
        <is>
          <t>2028-02-27</t>
        </is>
      </c>
      <c r="C71" s="2" t="n"/>
      <c r="D71" s="2" t="n"/>
      <c r="E71" s="2" t="n"/>
      <c r="F71" s="2" t="n"/>
      <c r="G71" s="2" t="n"/>
      <c r="H71" s="2" t="n"/>
      <c r="I71" s="2" t="n"/>
      <c r="J71" s="2" t="n"/>
      <c r="K71" s="2">
        <f>IF(OR(N71&lt;&gt;"VERIFIED",COUNT(C71:J71)&lt;8),"",SUM(C71:E71)-SUM(F71:J71))</f>
        <v/>
      </c>
      <c r="L71" s="2">
        <f>IF(COUNT(K$2:K71)&lt;70,"",SUM(K$2:K71))</f>
        <v/>
      </c>
      <c r="M71" s="2">
        <f>IF(OR('Financial Basis'!B2="",L71=""),"",'Financial Basis'!B2+L71)</f>
        <v/>
      </c>
      <c r="N71" s="2" t="n"/>
    </row>
    <row r="72">
      <c r="A72" s="2" t="n">
        <v>71</v>
      </c>
      <c r="B72" s="2" t="inlineStr">
        <is>
          <t>2028-03-05</t>
        </is>
      </c>
      <c r="C72" s="2" t="n"/>
      <c r="D72" s="2" t="n"/>
      <c r="E72" s="2" t="n"/>
      <c r="F72" s="2" t="n"/>
      <c r="G72" s="2" t="n"/>
      <c r="H72" s="2" t="n"/>
      <c r="I72" s="2" t="n"/>
      <c r="J72" s="2" t="n"/>
      <c r="K72" s="2">
        <f>IF(OR(N72&lt;&gt;"VERIFIED",COUNT(C72:J72)&lt;8),"",SUM(C72:E72)-SUM(F72:J72))</f>
        <v/>
      </c>
      <c r="L72" s="2">
        <f>IF(COUNT(K$2:K72)&lt;71,"",SUM(K$2:K72))</f>
        <v/>
      </c>
      <c r="M72" s="2">
        <f>IF(OR('Financial Basis'!B2="",L72=""),"",'Financial Basis'!B2+L72)</f>
        <v/>
      </c>
      <c r="N72" s="2" t="n"/>
    </row>
    <row r="73">
      <c r="A73" s="2" t="n">
        <v>72</v>
      </c>
      <c r="B73" s="2" t="inlineStr">
        <is>
          <t>2028-03-12</t>
        </is>
      </c>
      <c r="C73" s="2" t="n"/>
      <c r="D73" s="2" t="n"/>
      <c r="E73" s="2" t="n"/>
      <c r="F73" s="2" t="n"/>
      <c r="G73" s="2" t="n"/>
      <c r="H73" s="2" t="n"/>
      <c r="I73" s="2" t="n"/>
      <c r="J73" s="2" t="n"/>
      <c r="K73" s="2">
        <f>IF(OR(N73&lt;&gt;"VERIFIED",COUNT(C73:J73)&lt;8),"",SUM(C73:E73)-SUM(F73:J73))</f>
        <v/>
      </c>
      <c r="L73" s="2">
        <f>IF(COUNT(K$2:K73)&lt;72,"",SUM(K$2:K73))</f>
        <v/>
      </c>
      <c r="M73" s="2">
        <f>IF(OR('Financial Basis'!B2="",L73=""),"",'Financial Basis'!B2+L73)</f>
        <v/>
      </c>
      <c r="N73" s="2" t="n"/>
    </row>
    <row r="74">
      <c r="A74" s="2" t="n">
        <v>73</v>
      </c>
      <c r="B74" s="2" t="inlineStr">
        <is>
          <t>2028-03-19</t>
        </is>
      </c>
      <c r="C74" s="2" t="n"/>
      <c r="D74" s="2" t="n"/>
      <c r="E74" s="2" t="n"/>
      <c r="F74" s="2" t="n"/>
      <c r="G74" s="2" t="n"/>
      <c r="H74" s="2" t="n"/>
      <c r="I74" s="2" t="n"/>
      <c r="J74" s="2" t="n"/>
      <c r="K74" s="2">
        <f>IF(OR(N74&lt;&gt;"VERIFIED",COUNT(C74:J74)&lt;8),"",SUM(C74:E74)-SUM(F74:J74))</f>
        <v/>
      </c>
      <c r="L74" s="2">
        <f>IF(COUNT(K$2:K74)&lt;73,"",SUM(K$2:K74))</f>
        <v/>
      </c>
      <c r="M74" s="2">
        <f>IF(OR('Financial Basis'!B2="",L74=""),"",'Financial Basis'!B2+L74)</f>
        <v/>
      </c>
      <c r="N74" s="2" t="n"/>
    </row>
    <row r="75">
      <c r="A75" s="2" t="n">
        <v>74</v>
      </c>
      <c r="B75" s="2" t="inlineStr">
        <is>
          <t>2028-03-26</t>
        </is>
      </c>
      <c r="C75" s="2" t="n"/>
      <c r="D75" s="2" t="n"/>
      <c r="E75" s="2" t="n"/>
      <c r="F75" s="2" t="n"/>
      <c r="G75" s="2" t="n"/>
      <c r="H75" s="2" t="n"/>
      <c r="I75" s="2" t="n"/>
      <c r="J75" s="2" t="n"/>
      <c r="K75" s="2">
        <f>IF(OR(N75&lt;&gt;"VERIFIED",COUNT(C75:J75)&lt;8),"",SUM(C75:E75)-SUM(F75:J75))</f>
        <v/>
      </c>
      <c r="L75" s="2">
        <f>IF(COUNT(K$2:K75)&lt;74,"",SUM(K$2:K75))</f>
        <v/>
      </c>
      <c r="M75" s="2">
        <f>IF(OR('Financial Basis'!B2="",L75=""),"",'Financial Basis'!B2+L75)</f>
        <v/>
      </c>
      <c r="N75" s="2" t="n"/>
    </row>
    <row r="76">
      <c r="A76" s="2" t="n">
        <v>75</v>
      </c>
      <c r="B76" s="2" t="inlineStr">
        <is>
          <t>2028-04-02</t>
        </is>
      </c>
      <c r="C76" s="2" t="n"/>
      <c r="D76" s="2" t="n"/>
      <c r="E76" s="2" t="n"/>
      <c r="F76" s="2" t="n"/>
      <c r="G76" s="2" t="n"/>
      <c r="H76" s="2" t="n"/>
      <c r="I76" s="2" t="n"/>
      <c r="J76" s="2" t="n"/>
      <c r="K76" s="2">
        <f>IF(OR(N76&lt;&gt;"VERIFIED",COUNT(C76:J76)&lt;8),"",SUM(C76:E76)-SUM(F76:J76))</f>
        <v/>
      </c>
      <c r="L76" s="2">
        <f>IF(COUNT(K$2:K76)&lt;75,"",SUM(K$2:K76))</f>
        <v/>
      </c>
      <c r="M76" s="2">
        <f>IF(OR('Financial Basis'!B2="",L76=""),"",'Financial Basis'!B2+L76)</f>
        <v/>
      </c>
      <c r="N76" s="2" t="n"/>
    </row>
    <row r="77">
      <c r="A77" s="2" t="n">
        <v>76</v>
      </c>
      <c r="B77" s="2" t="inlineStr">
        <is>
          <t>2028-04-09</t>
        </is>
      </c>
      <c r="C77" s="2" t="n"/>
      <c r="D77" s="2" t="n"/>
      <c r="E77" s="2" t="n"/>
      <c r="F77" s="2" t="n"/>
      <c r="G77" s="2" t="n"/>
      <c r="H77" s="2" t="n"/>
      <c r="I77" s="2" t="n"/>
      <c r="J77" s="2" t="n"/>
      <c r="K77" s="2">
        <f>IF(OR(N77&lt;&gt;"VERIFIED",COUNT(C77:J77)&lt;8),"",SUM(C77:E77)-SUM(F77:J77))</f>
        <v/>
      </c>
      <c r="L77" s="2">
        <f>IF(COUNT(K$2:K77)&lt;76,"",SUM(K$2:K77))</f>
        <v/>
      </c>
      <c r="M77" s="2">
        <f>IF(OR('Financial Basis'!B2="",L77=""),"",'Financial Basis'!B2+L77)</f>
        <v/>
      </c>
      <c r="N77" s="2" t="n"/>
    </row>
    <row r="78">
      <c r="A78" s="2" t="n">
        <v>77</v>
      </c>
      <c r="B78" s="2" t="inlineStr">
        <is>
          <t>2028-04-16</t>
        </is>
      </c>
      <c r="C78" s="2" t="n"/>
      <c r="D78" s="2" t="n"/>
      <c r="E78" s="2" t="n"/>
      <c r="F78" s="2" t="n"/>
      <c r="G78" s="2" t="n"/>
      <c r="H78" s="2" t="n"/>
      <c r="I78" s="2" t="n"/>
      <c r="J78" s="2" t="n"/>
      <c r="K78" s="2">
        <f>IF(OR(N78&lt;&gt;"VERIFIED",COUNT(C78:J78)&lt;8),"",SUM(C78:E78)-SUM(F78:J78))</f>
        <v/>
      </c>
      <c r="L78" s="2">
        <f>IF(COUNT(K$2:K78)&lt;77,"",SUM(K$2:K78))</f>
        <v/>
      </c>
      <c r="M78" s="2">
        <f>IF(OR('Financial Basis'!B2="",L78=""),"",'Financial Basis'!B2+L78)</f>
        <v/>
      </c>
      <c r="N78" s="2" t="n"/>
    </row>
    <row r="79">
      <c r="A79" s="2" t="n">
        <v>78</v>
      </c>
      <c r="B79" s="2" t="inlineStr">
        <is>
          <t>2028-04-23</t>
        </is>
      </c>
      <c r="C79" s="2" t="n"/>
      <c r="D79" s="2" t="n"/>
      <c r="E79" s="2" t="n"/>
      <c r="F79" s="2" t="n"/>
      <c r="G79" s="2" t="n"/>
      <c r="H79" s="2" t="n"/>
      <c r="I79" s="2" t="n"/>
      <c r="J79" s="2" t="n"/>
      <c r="K79" s="2">
        <f>IF(OR(N79&lt;&gt;"VERIFIED",COUNT(C79:J79)&lt;8),"",SUM(C79:E79)-SUM(F79:J79))</f>
        <v/>
      </c>
      <c r="L79" s="2">
        <f>IF(COUNT(K$2:K79)&lt;78,"",SUM(K$2:K79))</f>
        <v/>
      </c>
      <c r="M79" s="2">
        <f>IF(OR('Financial Basis'!B2="",L79=""),"",'Financial Basis'!B2+L79)</f>
        <v/>
      </c>
      <c r="N79" s="2" t="n"/>
    </row>
    <row r="80">
      <c r="A80" s="2" t="n">
        <v>79</v>
      </c>
      <c r="B80" s="2" t="inlineStr">
        <is>
          <t>2028-04-30</t>
        </is>
      </c>
      <c r="C80" s="2" t="n"/>
      <c r="D80" s="2" t="n"/>
      <c r="E80" s="2" t="n"/>
      <c r="F80" s="2" t="n"/>
      <c r="G80" s="2" t="n"/>
      <c r="H80" s="2" t="n"/>
      <c r="I80" s="2" t="n"/>
      <c r="J80" s="2" t="n"/>
      <c r="K80" s="2">
        <f>IF(OR(N80&lt;&gt;"VERIFIED",COUNT(C80:J80)&lt;8),"",SUM(C80:E80)-SUM(F80:J80))</f>
        <v/>
      </c>
      <c r="L80" s="2">
        <f>IF(COUNT(K$2:K80)&lt;79,"",SUM(K$2:K80))</f>
        <v/>
      </c>
      <c r="M80" s="2">
        <f>IF(OR('Financial Basis'!B2="",L80=""),"",'Financial Basis'!B2+L80)</f>
        <v/>
      </c>
      <c r="N80" s="2" t="n"/>
    </row>
    <row r="81">
      <c r="A81" s="2" t="n">
        <v>80</v>
      </c>
      <c r="B81" s="2" t="inlineStr">
        <is>
          <t>2028-05-07</t>
        </is>
      </c>
      <c r="C81" s="2" t="n"/>
      <c r="D81" s="2" t="n"/>
      <c r="E81" s="2" t="n"/>
      <c r="F81" s="2" t="n"/>
      <c r="G81" s="2" t="n"/>
      <c r="H81" s="2" t="n"/>
      <c r="I81" s="2" t="n"/>
      <c r="J81" s="2" t="n"/>
      <c r="K81" s="2">
        <f>IF(OR(N81&lt;&gt;"VERIFIED",COUNT(C81:J81)&lt;8),"",SUM(C81:E81)-SUM(F81:J81))</f>
        <v/>
      </c>
      <c r="L81" s="2">
        <f>IF(COUNT(K$2:K81)&lt;80,"",SUM(K$2:K81))</f>
        <v/>
      </c>
      <c r="M81" s="2">
        <f>IF(OR('Financial Basis'!B2="",L81=""),"",'Financial Basis'!B2+L81)</f>
        <v/>
      </c>
      <c r="N81" s="2" t="n"/>
    </row>
    <row r="82">
      <c r="A82" s="2" t="n">
        <v>81</v>
      </c>
      <c r="B82" s="2" t="inlineStr">
        <is>
          <t>2028-05-14</t>
        </is>
      </c>
      <c r="C82" s="2" t="n"/>
      <c r="D82" s="2" t="n"/>
      <c r="E82" s="2" t="n"/>
      <c r="F82" s="2" t="n"/>
      <c r="G82" s="2" t="n"/>
      <c r="H82" s="2" t="n"/>
      <c r="I82" s="2" t="n"/>
      <c r="J82" s="2" t="n"/>
      <c r="K82" s="2">
        <f>IF(OR(N82&lt;&gt;"VERIFIED",COUNT(C82:J82)&lt;8),"",SUM(C82:E82)-SUM(F82:J82))</f>
        <v/>
      </c>
      <c r="L82" s="2">
        <f>IF(COUNT(K$2:K82)&lt;81,"",SUM(K$2:K82))</f>
        <v/>
      </c>
      <c r="M82" s="2">
        <f>IF(OR('Financial Basis'!B2="",L82=""),"",'Financial Basis'!B2+L82)</f>
        <v/>
      </c>
      <c r="N82" s="2" t="n"/>
    </row>
    <row r="83">
      <c r="A83" s="2" t="n">
        <v>82</v>
      </c>
      <c r="B83" s="2" t="inlineStr">
        <is>
          <t>2028-05-21</t>
        </is>
      </c>
      <c r="C83" s="2" t="n"/>
      <c r="D83" s="2" t="n"/>
      <c r="E83" s="2" t="n"/>
      <c r="F83" s="2" t="n"/>
      <c r="G83" s="2" t="n"/>
      <c r="H83" s="2" t="n"/>
      <c r="I83" s="2" t="n"/>
      <c r="J83" s="2" t="n"/>
      <c r="K83" s="2">
        <f>IF(OR(N83&lt;&gt;"VERIFIED",COUNT(C83:J83)&lt;8),"",SUM(C83:E83)-SUM(F83:J83))</f>
        <v/>
      </c>
      <c r="L83" s="2">
        <f>IF(COUNT(K$2:K83)&lt;82,"",SUM(K$2:K83))</f>
        <v/>
      </c>
      <c r="M83" s="2">
        <f>IF(OR('Financial Basis'!B2="",L83=""),"",'Financial Basis'!B2+L83)</f>
        <v/>
      </c>
      <c r="N83" s="2" t="n"/>
    </row>
    <row r="84">
      <c r="A84" s="2" t="n">
        <v>83</v>
      </c>
      <c r="B84" s="2" t="inlineStr">
        <is>
          <t>2028-05-28</t>
        </is>
      </c>
      <c r="C84" s="2" t="n"/>
      <c r="D84" s="2" t="n"/>
      <c r="E84" s="2" t="n"/>
      <c r="F84" s="2" t="n"/>
      <c r="G84" s="2" t="n"/>
      <c r="H84" s="2" t="n"/>
      <c r="I84" s="2" t="n"/>
      <c r="J84" s="2" t="n"/>
      <c r="K84" s="2">
        <f>IF(OR(N84&lt;&gt;"VERIFIED",COUNT(C84:J84)&lt;8),"",SUM(C84:E84)-SUM(F84:J84))</f>
        <v/>
      </c>
      <c r="L84" s="2">
        <f>IF(COUNT(K$2:K84)&lt;83,"",SUM(K$2:K84))</f>
        <v/>
      </c>
      <c r="M84" s="2">
        <f>IF(OR('Financial Basis'!B2="",L84=""),"",'Financial Basis'!B2+L84)</f>
        <v/>
      </c>
      <c r="N84" s="2" t="n"/>
    </row>
    <row r="85">
      <c r="A85" s="2" t="n">
        <v>84</v>
      </c>
      <c r="B85" s="2" t="inlineStr">
        <is>
          <t>2028-06-04</t>
        </is>
      </c>
      <c r="C85" s="2" t="n"/>
      <c r="D85" s="2" t="n"/>
      <c r="E85" s="2" t="n"/>
      <c r="F85" s="2" t="n"/>
      <c r="G85" s="2" t="n"/>
      <c r="H85" s="2" t="n"/>
      <c r="I85" s="2" t="n"/>
      <c r="J85" s="2" t="n"/>
      <c r="K85" s="2">
        <f>IF(OR(N85&lt;&gt;"VERIFIED",COUNT(C85:J85)&lt;8),"",SUM(C85:E85)-SUM(F85:J85))</f>
        <v/>
      </c>
      <c r="L85" s="2">
        <f>IF(COUNT(K$2:K85)&lt;84,"",SUM(K$2:K85))</f>
        <v/>
      </c>
      <c r="M85" s="2">
        <f>IF(OR('Financial Basis'!B2="",L85=""),"",'Financial Basis'!B2+L85)</f>
        <v/>
      </c>
      <c r="N85" s="2" t="n"/>
    </row>
    <row r="86">
      <c r="A86" s="2" t="n">
        <v>85</v>
      </c>
      <c r="B86" s="2" t="inlineStr">
        <is>
          <t>2028-06-11</t>
        </is>
      </c>
      <c r="C86" s="2" t="n"/>
      <c r="D86" s="2" t="n"/>
      <c r="E86" s="2" t="n"/>
      <c r="F86" s="2" t="n"/>
      <c r="G86" s="2" t="n"/>
      <c r="H86" s="2" t="n"/>
      <c r="I86" s="2" t="n"/>
      <c r="J86" s="2" t="n"/>
      <c r="K86" s="2">
        <f>IF(OR(N86&lt;&gt;"VERIFIED",COUNT(C86:J86)&lt;8),"",SUM(C86:E86)-SUM(F86:J86))</f>
        <v/>
      </c>
      <c r="L86" s="2">
        <f>IF(COUNT(K$2:K86)&lt;85,"",SUM(K$2:K86))</f>
        <v/>
      </c>
      <c r="M86" s="2">
        <f>IF(OR('Financial Basis'!B2="",L86=""),"",'Financial Basis'!B2+L86)</f>
        <v/>
      </c>
      <c r="N86" s="2" t="n"/>
    </row>
    <row r="87">
      <c r="A87" s="2" t="n">
        <v>86</v>
      </c>
      <c r="B87" s="2" t="inlineStr">
        <is>
          <t>2028-06-18</t>
        </is>
      </c>
      <c r="C87" s="2" t="n"/>
      <c r="D87" s="2" t="n"/>
      <c r="E87" s="2" t="n"/>
      <c r="F87" s="2" t="n"/>
      <c r="G87" s="2" t="n"/>
      <c r="H87" s="2" t="n"/>
      <c r="I87" s="2" t="n"/>
      <c r="J87" s="2" t="n"/>
      <c r="K87" s="2">
        <f>IF(OR(N87&lt;&gt;"VERIFIED",COUNT(C87:J87)&lt;8),"",SUM(C87:E87)-SUM(F87:J87))</f>
        <v/>
      </c>
      <c r="L87" s="2">
        <f>IF(COUNT(K$2:K87)&lt;86,"",SUM(K$2:K87))</f>
        <v/>
      </c>
      <c r="M87" s="2">
        <f>IF(OR('Financial Basis'!B2="",L87=""),"",'Financial Basis'!B2+L87)</f>
        <v/>
      </c>
      <c r="N87" s="2" t="n"/>
    </row>
    <row r="88">
      <c r="A88" s="2" t="n">
        <v>87</v>
      </c>
      <c r="B88" s="2" t="inlineStr">
        <is>
          <t>2028-06-25</t>
        </is>
      </c>
      <c r="C88" s="2" t="n"/>
      <c r="D88" s="2" t="n"/>
      <c r="E88" s="2" t="n"/>
      <c r="F88" s="2" t="n"/>
      <c r="G88" s="2" t="n"/>
      <c r="H88" s="2" t="n"/>
      <c r="I88" s="2" t="n"/>
      <c r="J88" s="2" t="n"/>
      <c r="K88" s="2">
        <f>IF(OR(N88&lt;&gt;"VERIFIED",COUNT(C88:J88)&lt;8),"",SUM(C88:E88)-SUM(F88:J88))</f>
        <v/>
      </c>
      <c r="L88" s="2">
        <f>IF(COUNT(K$2:K88)&lt;87,"",SUM(K$2:K88))</f>
        <v/>
      </c>
      <c r="M88" s="2">
        <f>IF(OR('Financial Basis'!B2="",L88=""),"",'Financial Basis'!B2+L88)</f>
        <v/>
      </c>
      <c r="N88" s="2" t="n"/>
    </row>
    <row r="89">
      <c r="A89" s="2" t="n">
        <v>88</v>
      </c>
      <c r="B89" s="2" t="inlineStr">
        <is>
          <t>2028-07-02</t>
        </is>
      </c>
      <c r="C89" s="2" t="n"/>
      <c r="D89" s="2" t="n"/>
      <c r="E89" s="2" t="n"/>
      <c r="F89" s="2" t="n"/>
      <c r="G89" s="2" t="n"/>
      <c r="H89" s="2" t="n"/>
      <c r="I89" s="2" t="n"/>
      <c r="J89" s="2" t="n"/>
      <c r="K89" s="2">
        <f>IF(OR(N89&lt;&gt;"VERIFIED",COUNT(C89:J89)&lt;8),"",SUM(C89:E89)-SUM(F89:J89))</f>
        <v/>
      </c>
      <c r="L89" s="2">
        <f>IF(COUNT(K$2:K89)&lt;88,"",SUM(K$2:K89))</f>
        <v/>
      </c>
      <c r="M89" s="2">
        <f>IF(OR('Financial Basis'!B2="",L89=""),"",'Financial Basis'!B2+L89)</f>
        <v/>
      </c>
      <c r="N89" s="2" t="n"/>
    </row>
    <row r="90">
      <c r="A90" s="2" t="n">
        <v>89</v>
      </c>
      <c r="B90" s="2" t="inlineStr">
        <is>
          <t>2028-07-09</t>
        </is>
      </c>
      <c r="C90" s="2" t="n"/>
      <c r="D90" s="2" t="n"/>
      <c r="E90" s="2" t="n"/>
      <c r="F90" s="2" t="n"/>
      <c r="G90" s="2" t="n"/>
      <c r="H90" s="2" t="n"/>
      <c r="I90" s="2" t="n"/>
      <c r="J90" s="2" t="n"/>
      <c r="K90" s="2">
        <f>IF(OR(N90&lt;&gt;"VERIFIED",COUNT(C90:J90)&lt;8),"",SUM(C90:E90)-SUM(F90:J90))</f>
        <v/>
      </c>
      <c r="L90" s="2">
        <f>IF(COUNT(K$2:K90)&lt;89,"",SUM(K$2:K90))</f>
        <v/>
      </c>
      <c r="M90" s="2">
        <f>IF(OR('Financial Basis'!B2="",L90=""),"",'Financial Basis'!B2+L90)</f>
        <v/>
      </c>
      <c r="N90" s="2" t="n"/>
    </row>
    <row r="91">
      <c r="A91" s="2" t="n">
        <v>90</v>
      </c>
      <c r="B91" s="2" t="inlineStr">
        <is>
          <t>2028-07-16</t>
        </is>
      </c>
      <c r="C91" s="2" t="n"/>
      <c r="D91" s="2" t="n"/>
      <c r="E91" s="2" t="n"/>
      <c r="F91" s="2" t="n"/>
      <c r="G91" s="2" t="n"/>
      <c r="H91" s="2" t="n"/>
      <c r="I91" s="2" t="n"/>
      <c r="J91" s="2" t="n"/>
      <c r="K91" s="2">
        <f>IF(OR(N91&lt;&gt;"VERIFIED",COUNT(C91:J91)&lt;8),"",SUM(C91:E91)-SUM(F91:J91))</f>
        <v/>
      </c>
      <c r="L91" s="2">
        <f>IF(COUNT(K$2:K91)&lt;90,"",SUM(K$2:K91))</f>
        <v/>
      </c>
      <c r="M91" s="2">
        <f>IF(OR('Financial Basis'!B2="",L91=""),"",'Financial Basis'!B2+L91)</f>
        <v/>
      </c>
      <c r="N91" s="2" t="n"/>
    </row>
    <row r="92">
      <c r="A92" s="2" t="n">
        <v>91</v>
      </c>
      <c r="B92" s="2" t="inlineStr">
        <is>
          <t>2028-07-23</t>
        </is>
      </c>
      <c r="C92" s="2" t="n"/>
      <c r="D92" s="2" t="n"/>
      <c r="E92" s="2" t="n"/>
      <c r="F92" s="2" t="n"/>
      <c r="G92" s="2" t="n"/>
      <c r="H92" s="2" t="n"/>
      <c r="I92" s="2" t="n"/>
      <c r="J92" s="2" t="n"/>
      <c r="K92" s="2">
        <f>IF(OR(N92&lt;&gt;"VERIFIED",COUNT(C92:J92)&lt;8),"",SUM(C92:E92)-SUM(F92:J92))</f>
        <v/>
      </c>
      <c r="L92" s="2">
        <f>IF(COUNT(K$2:K92)&lt;91,"",SUM(K$2:K92))</f>
        <v/>
      </c>
      <c r="M92" s="2">
        <f>IF(OR('Financial Basis'!B2="",L92=""),"",'Financial Basis'!B2+L92)</f>
        <v/>
      </c>
      <c r="N92" s="2" t="n"/>
    </row>
    <row r="93">
      <c r="A93" s="2" t="n">
        <v>92</v>
      </c>
      <c r="B93" s="2" t="inlineStr">
        <is>
          <t>2028-07-30</t>
        </is>
      </c>
      <c r="C93" s="2" t="n"/>
      <c r="D93" s="2" t="n"/>
      <c r="E93" s="2" t="n"/>
      <c r="F93" s="2" t="n"/>
      <c r="G93" s="2" t="n"/>
      <c r="H93" s="2" t="n"/>
      <c r="I93" s="2" t="n"/>
      <c r="J93" s="2" t="n"/>
      <c r="K93" s="2">
        <f>IF(OR(N93&lt;&gt;"VERIFIED",COUNT(C93:J93)&lt;8),"",SUM(C93:E93)-SUM(F93:J93))</f>
        <v/>
      </c>
      <c r="L93" s="2">
        <f>IF(COUNT(K$2:K93)&lt;92,"",SUM(K$2:K93))</f>
        <v/>
      </c>
      <c r="M93" s="2">
        <f>IF(OR('Financial Basis'!B2="",L93=""),"",'Financial Basis'!B2+L93)</f>
        <v/>
      </c>
      <c r="N93" s="2" t="n"/>
    </row>
    <row r="94">
      <c r="A94" s="2" t="n">
        <v>93</v>
      </c>
      <c r="B94" s="2" t="inlineStr">
        <is>
          <t>2028-08-06</t>
        </is>
      </c>
      <c r="C94" s="2" t="n"/>
      <c r="D94" s="2" t="n"/>
      <c r="E94" s="2" t="n"/>
      <c r="F94" s="2" t="n"/>
      <c r="G94" s="2" t="n"/>
      <c r="H94" s="2" t="n"/>
      <c r="I94" s="2" t="n"/>
      <c r="J94" s="2" t="n"/>
      <c r="K94" s="2">
        <f>IF(OR(N94&lt;&gt;"VERIFIED",COUNT(C94:J94)&lt;8),"",SUM(C94:E94)-SUM(F94:J94))</f>
        <v/>
      </c>
      <c r="L94" s="2">
        <f>IF(COUNT(K$2:K94)&lt;93,"",SUM(K$2:K94))</f>
        <v/>
      </c>
      <c r="M94" s="2">
        <f>IF(OR('Financial Basis'!B2="",L94=""),"",'Financial Basis'!B2+L94)</f>
        <v/>
      </c>
      <c r="N94" s="2" t="n"/>
    </row>
    <row r="95">
      <c r="A95" s="2" t="n">
        <v>94</v>
      </c>
      <c r="B95" s="2" t="inlineStr">
        <is>
          <t>2028-08-13</t>
        </is>
      </c>
      <c r="C95" s="2" t="n"/>
      <c r="D95" s="2" t="n"/>
      <c r="E95" s="2" t="n"/>
      <c r="F95" s="2" t="n"/>
      <c r="G95" s="2" t="n"/>
      <c r="H95" s="2" t="n"/>
      <c r="I95" s="2" t="n"/>
      <c r="J95" s="2" t="n"/>
      <c r="K95" s="2">
        <f>IF(OR(N95&lt;&gt;"VERIFIED",COUNT(C95:J95)&lt;8),"",SUM(C95:E95)-SUM(F95:J95))</f>
        <v/>
      </c>
      <c r="L95" s="2">
        <f>IF(COUNT(K$2:K95)&lt;94,"",SUM(K$2:K95))</f>
        <v/>
      </c>
      <c r="M95" s="2">
        <f>IF(OR('Financial Basis'!B2="",L95=""),"",'Financial Basis'!B2+L95)</f>
        <v/>
      </c>
      <c r="N95" s="2" t="n"/>
    </row>
    <row r="96">
      <c r="A96" s="2" t="n">
        <v>95</v>
      </c>
      <c r="B96" s="2" t="inlineStr">
        <is>
          <t>2028-08-20</t>
        </is>
      </c>
      <c r="C96" s="2" t="n"/>
      <c r="D96" s="2" t="n"/>
      <c r="E96" s="2" t="n"/>
      <c r="F96" s="2" t="n"/>
      <c r="G96" s="2" t="n"/>
      <c r="H96" s="2" t="n"/>
      <c r="I96" s="2" t="n"/>
      <c r="J96" s="2" t="n"/>
      <c r="K96" s="2">
        <f>IF(OR(N96&lt;&gt;"VERIFIED",COUNT(C96:J96)&lt;8),"",SUM(C96:E96)-SUM(F96:J96))</f>
        <v/>
      </c>
      <c r="L96" s="2">
        <f>IF(COUNT(K$2:K96)&lt;95,"",SUM(K$2:K96))</f>
        <v/>
      </c>
      <c r="M96" s="2">
        <f>IF(OR('Financial Basis'!B2="",L96=""),"",'Financial Basis'!B2+L96)</f>
        <v/>
      </c>
      <c r="N96" s="2" t="n"/>
    </row>
    <row r="97">
      <c r="A97" s="2" t="n">
        <v>96</v>
      </c>
      <c r="B97" s="2" t="inlineStr">
        <is>
          <t>2028-08-27</t>
        </is>
      </c>
      <c r="C97" s="2" t="n"/>
      <c r="D97" s="2" t="n"/>
      <c r="E97" s="2" t="n"/>
      <c r="F97" s="2" t="n"/>
      <c r="G97" s="2" t="n"/>
      <c r="H97" s="2" t="n"/>
      <c r="I97" s="2" t="n"/>
      <c r="J97" s="2" t="n"/>
      <c r="K97" s="2">
        <f>IF(OR(N97&lt;&gt;"VERIFIED",COUNT(C97:J97)&lt;8),"",SUM(C97:E97)-SUM(F97:J97))</f>
        <v/>
      </c>
      <c r="L97" s="2">
        <f>IF(COUNT(K$2:K97)&lt;96,"",SUM(K$2:K97))</f>
        <v/>
      </c>
      <c r="M97" s="2">
        <f>IF(OR('Financial Basis'!B2="",L97=""),"",'Financial Basis'!B2+L97)</f>
        <v/>
      </c>
      <c r="N97" s="2" t="n"/>
    </row>
    <row r="98">
      <c r="A98" s="2" t="n">
        <v>97</v>
      </c>
      <c r="B98" s="2" t="inlineStr">
        <is>
          <t>2028-09-03</t>
        </is>
      </c>
      <c r="C98" s="2" t="n"/>
      <c r="D98" s="2" t="n"/>
      <c r="E98" s="2" t="n"/>
      <c r="F98" s="2" t="n"/>
      <c r="G98" s="2" t="n"/>
      <c r="H98" s="2" t="n"/>
      <c r="I98" s="2" t="n"/>
      <c r="J98" s="2" t="n"/>
      <c r="K98" s="2">
        <f>IF(OR(N98&lt;&gt;"VERIFIED",COUNT(C98:J98)&lt;8),"",SUM(C98:E98)-SUM(F98:J98))</f>
        <v/>
      </c>
      <c r="L98" s="2">
        <f>IF(COUNT(K$2:K98)&lt;97,"",SUM(K$2:K98))</f>
        <v/>
      </c>
      <c r="M98" s="2">
        <f>IF(OR('Financial Basis'!B2="",L98=""),"",'Financial Basis'!B2+L98)</f>
        <v/>
      </c>
      <c r="N98" s="2" t="n"/>
    </row>
    <row r="99">
      <c r="A99" s="2" t="n">
        <v>98</v>
      </c>
      <c r="B99" s="2" t="inlineStr">
        <is>
          <t>2028-09-10</t>
        </is>
      </c>
      <c r="C99" s="2" t="n"/>
      <c r="D99" s="2" t="n"/>
      <c r="E99" s="2" t="n"/>
      <c r="F99" s="2" t="n"/>
      <c r="G99" s="2" t="n"/>
      <c r="H99" s="2" t="n"/>
      <c r="I99" s="2" t="n"/>
      <c r="J99" s="2" t="n"/>
      <c r="K99" s="2">
        <f>IF(OR(N99&lt;&gt;"VERIFIED",COUNT(C99:J99)&lt;8),"",SUM(C99:E99)-SUM(F99:J99))</f>
        <v/>
      </c>
      <c r="L99" s="2">
        <f>IF(COUNT(K$2:K99)&lt;98,"",SUM(K$2:K99))</f>
        <v/>
      </c>
      <c r="M99" s="2">
        <f>IF(OR('Financial Basis'!B2="",L99=""),"",'Financial Basis'!B2+L99)</f>
        <v/>
      </c>
      <c r="N99" s="2" t="n"/>
    </row>
    <row r="100">
      <c r="A100" s="2" t="n">
        <v>99</v>
      </c>
      <c r="B100" s="2" t="inlineStr">
        <is>
          <t>2028-09-17</t>
        </is>
      </c>
      <c r="C100" s="2" t="n"/>
      <c r="D100" s="2" t="n"/>
      <c r="E100" s="2" t="n"/>
      <c r="F100" s="2" t="n"/>
      <c r="G100" s="2" t="n"/>
      <c r="H100" s="2" t="n"/>
      <c r="I100" s="2" t="n"/>
      <c r="J100" s="2" t="n"/>
      <c r="K100" s="2">
        <f>IF(OR(N100&lt;&gt;"VERIFIED",COUNT(C100:J100)&lt;8),"",SUM(C100:E100)-SUM(F100:J100))</f>
        <v/>
      </c>
      <c r="L100" s="2">
        <f>IF(COUNT(K$2:K100)&lt;99,"",SUM(K$2:K100))</f>
        <v/>
      </c>
      <c r="M100" s="2">
        <f>IF(OR('Financial Basis'!B2="",L100=""),"",'Financial Basis'!B2+L100)</f>
        <v/>
      </c>
      <c r="N100" s="2" t="n"/>
    </row>
    <row r="101">
      <c r="A101" s="2" t="n">
        <v>100</v>
      </c>
      <c r="B101" s="2" t="inlineStr">
        <is>
          <t>2028-09-24</t>
        </is>
      </c>
      <c r="C101" s="2" t="n"/>
      <c r="D101" s="2" t="n"/>
      <c r="E101" s="2" t="n"/>
      <c r="F101" s="2" t="n"/>
      <c r="G101" s="2" t="n"/>
      <c r="H101" s="2" t="n"/>
      <c r="I101" s="2" t="n"/>
      <c r="J101" s="2" t="n"/>
      <c r="K101" s="2">
        <f>IF(OR(N101&lt;&gt;"VERIFIED",COUNT(C101:J101)&lt;8),"",SUM(C101:E101)-SUM(F101:J101))</f>
        <v/>
      </c>
      <c r="L101" s="2">
        <f>IF(COUNT(K$2:K101)&lt;100,"",SUM(K$2:K101))</f>
        <v/>
      </c>
      <c r="M101" s="2">
        <f>IF(OR('Financial Basis'!B2="",L101=""),"",'Financial Basis'!B2+L101)</f>
        <v/>
      </c>
      <c r="N101" s="2" t="n"/>
    </row>
    <row r="102">
      <c r="A102" s="2" t="n">
        <v>101</v>
      </c>
      <c r="B102" s="2" t="inlineStr">
        <is>
          <t>2028-10-01</t>
        </is>
      </c>
      <c r="C102" s="2" t="n"/>
      <c r="D102" s="2" t="n"/>
      <c r="E102" s="2" t="n"/>
      <c r="F102" s="2" t="n"/>
      <c r="G102" s="2" t="n"/>
      <c r="H102" s="2" t="n"/>
      <c r="I102" s="2" t="n"/>
      <c r="J102" s="2" t="n"/>
      <c r="K102" s="2">
        <f>IF(OR(N102&lt;&gt;"VERIFIED",COUNT(C102:J102)&lt;8),"",SUM(C102:E102)-SUM(F102:J102))</f>
        <v/>
      </c>
      <c r="L102" s="2">
        <f>IF(COUNT(K$2:K102)&lt;101,"",SUM(K$2:K102))</f>
        <v/>
      </c>
      <c r="M102" s="2">
        <f>IF(OR('Financial Basis'!B2="",L102=""),"",'Financial Basis'!B2+L102)</f>
        <v/>
      </c>
      <c r="N102" s="2" t="n"/>
    </row>
    <row r="103">
      <c r="A103" s="2" t="n">
        <v>102</v>
      </c>
      <c r="B103" s="2" t="inlineStr">
        <is>
          <t>2028-10-08</t>
        </is>
      </c>
      <c r="C103" s="2" t="n"/>
      <c r="D103" s="2" t="n"/>
      <c r="E103" s="2" t="n"/>
      <c r="F103" s="2" t="n"/>
      <c r="G103" s="2" t="n"/>
      <c r="H103" s="2" t="n"/>
      <c r="I103" s="2" t="n"/>
      <c r="J103" s="2" t="n"/>
      <c r="K103" s="2">
        <f>IF(OR(N103&lt;&gt;"VERIFIED",COUNT(C103:J103)&lt;8),"",SUM(C103:E103)-SUM(F103:J103))</f>
        <v/>
      </c>
      <c r="L103" s="2">
        <f>IF(COUNT(K$2:K103)&lt;102,"",SUM(K$2:K103))</f>
        <v/>
      </c>
      <c r="M103" s="2">
        <f>IF(OR('Financial Basis'!B2="",L103=""),"",'Financial Basis'!B2+L103)</f>
        <v/>
      </c>
      <c r="N103" s="2" t="n"/>
    </row>
    <row r="104">
      <c r="A104" s="2" t="n">
        <v>103</v>
      </c>
      <c r="B104" s="2" t="inlineStr">
        <is>
          <t>2028-10-15</t>
        </is>
      </c>
      <c r="C104" s="2" t="n"/>
      <c r="D104" s="2" t="n"/>
      <c r="E104" s="2" t="n"/>
      <c r="F104" s="2" t="n"/>
      <c r="G104" s="2" t="n"/>
      <c r="H104" s="2" t="n"/>
      <c r="I104" s="2" t="n"/>
      <c r="J104" s="2" t="n"/>
      <c r="K104" s="2">
        <f>IF(OR(N104&lt;&gt;"VERIFIED",COUNT(C104:J104)&lt;8),"",SUM(C104:E104)-SUM(F104:J104))</f>
        <v/>
      </c>
      <c r="L104" s="2">
        <f>IF(COUNT(K$2:K104)&lt;103,"",SUM(K$2:K104))</f>
        <v/>
      </c>
      <c r="M104" s="2">
        <f>IF(OR('Financial Basis'!B2="",L104=""),"",'Financial Basis'!B2+L104)</f>
        <v/>
      </c>
      <c r="N104" s="2" t="n"/>
    </row>
    <row r="105">
      <c r="A105" s="2" t="n">
        <v>104</v>
      </c>
      <c r="B105" s="2" t="inlineStr">
        <is>
          <t>2028-10-22</t>
        </is>
      </c>
      <c r="C105" s="2" t="n"/>
      <c r="D105" s="2" t="n"/>
      <c r="E105" s="2" t="n"/>
      <c r="F105" s="2" t="n"/>
      <c r="G105" s="2" t="n"/>
      <c r="H105" s="2" t="n"/>
      <c r="I105" s="2" t="n"/>
      <c r="J105" s="2" t="n"/>
      <c r="K105" s="2">
        <f>IF(OR(N105&lt;&gt;"VERIFIED",COUNT(C105:J105)&lt;8),"",SUM(C105:E105)-SUM(F105:J105))</f>
        <v/>
      </c>
      <c r="L105" s="2">
        <f>IF(COUNT(K$2:K105)&lt;104,"",SUM(K$2:K105))</f>
        <v/>
      </c>
      <c r="M105" s="2">
        <f>IF(OR('Financial Basis'!B2="",L105=""),"",'Financial Basis'!B2+L105)</f>
        <v/>
      </c>
      <c r="N105" s="2" t="n"/>
    </row>
    <row r="106">
      <c r="A106" s="2" t="n">
        <v>105</v>
      </c>
      <c r="B106" s="2" t="inlineStr">
        <is>
          <t>2028-10-29</t>
        </is>
      </c>
      <c r="C106" s="2" t="n"/>
      <c r="D106" s="2" t="n"/>
      <c r="E106" s="2" t="n"/>
      <c r="F106" s="2" t="n"/>
      <c r="G106" s="2" t="n"/>
      <c r="H106" s="2" t="n"/>
      <c r="I106" s="2" t="n"/>
      <c r="J106" s="2" t="n"/>
      <c r="K106" s="2">
        <f>IF(OR(N106&lt;&gt;"VERIFIED",COUNT(C106:J106)&lt;8),"",SUM(C106:E106)-SUM(F106:J106))</f>
        <v/>
      </c>
      <c r="L106" s="2">
        <f>IF(COUNT(K$2:K106)&lt;105,"",SUM(K$2:K106))</f>
        <v/>
      </c>
      <c r="M106" s="2">
        <f>IF(OR('Financial Basis'!B2="",L106=""),"",'Financial Basis'!B2+L106)</f>
        <v/>
      </c>
      <c r="N106" s="2" t="n"/>
    </row>
    <row r="107">
      <c r="A107" s="2" t="n">
        <v>106</v>
      </c>
      <c r="B107" s="2" t="inlineStr">
        <is>
          <t>2028-11-05</t>
        </is>
      </c>
      <c r="C107" s="2" t="n"/>
      <c r="D107" s="2" t="n"/>
      <c r="E107" s="2" t="n"/>
      <c r="F107" s="2" t="n"/>
      <c r="G107" s="2" t="n"/>
      <c r="H107" s="2" t="n"/>
      <c r="I107" s="2" t="n"/>
      <c r="J107" s="2" t="n"/>
      <c r="K107" s="2">
        <f>IF(OR(N107&lt;&gt;"VERIFIED",COUNT(C107:J107)&lt;8),"",SUM(C107:E107)-SUM(F107:J107))</f>
        <v/>
      </c>
      <c r="L107" s="2">
        <f>IF(COUNT(K$2:K107)&lt;106,"",SUM(K$2:K107))</f>
        <v/>
      </c>
      <c r="M107" s="2">
        <f>IF(OR('Financial Basis'!B2="",L107=""),"",'Financial Basis'!B2+L107)</f>
        <v/>
      </c>
      <c r="N107" s="2" t="n"/>
    </row>
    <row r="108">
      <c r="A108" s="2" t="n">
        <v>107</v>
      </c>
      <c r="B108" s="2" t="inlineStr">
        <is>
          <t>2028-11-12</t>
        </is>
      </c>
      <c r="C108" s="2" t="n"/>
      <c r="D108" s="2" t="n"/>
      <c r="E108" s="2" t="n"/>
      <c r="F108" s="2" t="n"/>
      <c r="G108" s="2" t="n"/>
      <c r="H108" s="2" t="n"/>
      <c r="I108" s="2" t="n"/>
      <c r="J108" s="2" t="n"/>
      <c r="K108" s="2">
        <f>IF(OR(N108&lt;&gt;"VERIFIED",COUNT(C108:J108)&lt;8),"",SUM(C108:E108)-SUM(F108:J108))</f>
        <v/>
      </c>
      <c r="L108" s="2">
        <f>IF(COUNT(K$2:K108)&lt;107,"",SUM(K$2:K108))</f>
        <v/>
      </c>
      <c r="M108" s="2">
        <f>IF(OR('Financial Basis'!B2="",L108=""),"",'Financial Basis'!B2+L108)</f>
        <v/>
      </c>
      <c r="N108" s="2" t="n"/>
    </row>
    <row r="109">
      <c r="A109" s="2" t="n">
        <v>108</v>
      </c>
      <c r="B109" s="2" t="inlineStr">
        <is>
          <t>2028-11-19</t>
        </is>
      </c>
      <c r="C109" s="2" t="n"/>
      <c r="D109" s="2" t="n"/>
      <c r="E109" s="2" t="n"/>
      <c r="F109" s="2" t="n"/>
      <c r="G109" s="2" t="n"/>
      <c r="H109" s="2" t="n"/>
      <c r="I109" s="2" t="n"/>
      <c r="J109" s="2" t="n"/>
      <c r="K109" s="2">
        <f>IF(OR(N109&lt;&gt;"VERIFIED",COUNT(C109:J109)&lt;8),"",SUM(C109:E109)-SUM(F109:J109))</f>
        <v/>
      </c>
      <c r="L109" s="2">
        <f>IF(COUNT(K$2:K109)&lt;108,"",SUM(K$2:K109))</f>
        <v/>
      </c>
      <c r="M109" s="2">
        <f>IF(OR('Financial Basis'!B2="",L109=""),"",'Financial Basis'!B2+L109)</f>
        <v/>
      </c>
      <c r="N109" s="2" t="n"/>
    </row>
    <row r="110">
      <c r="A110" s="2" t="n">
        <v>109</v>
      </c>
      <c r="B110" s="2" t="inlineStr">
        <is>
          <t>2028-11-26</t>
        </is>
      </c>
      <c r="C110" s="2" t="n"/>
      <c r="D110" s="2" t="n"/>
      <c r="E110" s="2" t="n"/>
      <c r="F110" s="2" t="n"/>
      <c r="G110" s="2" t="n"/>
      <c r="H110" s="2" t="n"/>
      <c r="I110" s="2" t="n"/>
      <c r="J110" s="2" t="n"/>
      <c r="K110" s="2">
        <f>IF(OR(N110&lt;&gt;"VERIFIED",COUNT(C110:J110)&lt;8),"",SUM(C110:E110)-SUM(F110:J110))</f>
        <v/>
      </c>
      <c r="L110" s="2">
        <f>IF(COUNT(K$2:K110)&lt;109,"",SUM(K$2:K110))</f>
        <v/>
      </c>
      <c r="M110" s="2">
        <f>IF(OR('Financial Basis'!B2="",L110=""),"",'Financial Basis'!B2+L110)</f>
        <v/>
      </c>
      <c r="N110" s="2" t="n"/>
    </row>
    <row r="111">
      <c r="A111" s="2" t="n">
        <v>110</v>
      </c>
      <c r="B111" s="2" t="inlineStr">
        <is>
          <t>2028-12-03</t>
        </is>
      </c>
      <c r="C111" s="2" t="n"/>
      <c r="D111" s="2" t="n"/>
      <c r="E111" s="2" t="n"/>
      <c r="F111" s="2" t="n"/>
      <c r="G111" s="2" t="n"/>
      <c r="H111" s="2" t="n"/>
      <c r="I111" s="2" t="n"/>
      <c r="J111" s="2" t="n"/>
      <c r="K111" s="2">
        <f>IF(OR(N111&lt;&gt;"VERIFIED",COUNT(C111:J111)&lt;8),"",SUM(C111:E111)-SUM(F111:J111))</f>
        <v/>
      </c>
      <c r="L111" s="2">
        <f>IF(COUNT(K$2:K111)&lt;110,"",SUM(K$2:K111))</f>
        <v/>
      </c>
      <c r="M111" s="2">
        <f>IF(OR('Financial Basis'!B2="",L111=""),"",'Financial Basis'!B2+L111)</f>
        <v/>
      </c>
      <c r="N111" s="2" t="n"/>
    </row>
    <row r="112">
      <c r="A112" s="2" t="n">
        <v>111</v>
      </c>
      <c r="B112" s="2" t="inlineStr">
        <is>
          <t>2028-12-10</t>
        </is>
      </c>
      <c r="C112" s="2" t="n"/>
      <c r="D112" s="2" t="n"/>
      <c r="E112" s="2" t="n"/>
      <c r="F112" s="2" t="n"/>
      <c r="G112" s="2" t="n"/>
      <c r="H112" s="2" t="n"/>
      <c r="I112" s="2" t="n"/>
      <c r="J112" s="2" t="n"/>
      <c r="K112" s="2">
        <f>IF(OR(N112&lt;&gt;"VERIFIED",COUNT(C112:J112)&lt;8),"",SUM(C112:E112)-SUM(F112:J112))</f>
        <v/>
      </c>
      <c r="L112" s="2">
        <f>IF(COUNT(K$2:K112)&lt;111,"",SUM(K$2:K112))</f>
        <v/>
      </c>
      <c r="M112" s="2">
        <f>IF(OR('Financial Basis'!B2="",L112=""),"",'Financial Basis'!B2+L112)</f>
        <v/>
      </c>
      <c r="N112" s="2" t="n"/>
    </row>
    <row r="113">
      <c r="A113" s="2" t="n">
        <v>112</v>
      </c>
      <c r="B113" s="2" t="inlineStr">
        <is>
          <t>2028-12-17</t>
        </is>
      </c>
      <c r="C113" s="2" t="n"/>
      <c r="D113" s="2" t="n"/>
      <c r="E113" s="2" t="n"/>
      <c r="F113" s="2" t="n"/>
      <c r="G113" s="2" t="n"/>
      <c r="H113" s="2" t="n"/>
      <c r="I113" s="2" t="n"/>
      <c r="J113" s="2" t="n"/>
      <c r="K113" s="2">
        <f>IF(OR(N113&lt;&gt;"VERIFIED",COUNT(C113:J113)&lt;8),"",SUM(C113:E113)-SUM(F113:J113))</f>
        <v/>
      </c>
      <c r="L113" s="2">
        <f>IF(COUNT(K$2:K113)&lt;112,"",SUM(K$2:K113))</f>
        <v/>
      </c>
      <c r="M113" s="2">
        <f>IF(OR('Financial Basis'!B2="",L113=""),"",'Financial Basis'!B2+L113)</f>
        <v/>
      </c>
      <c r="N113" s="2" t="n"/>
    </row>
    <row r="114">
      <c r="A114" s="2" t="n">
        <v>113</v>
      </c>
      <c r="B114" s="2" t="inlineStr">
        <is>
          <t>2028-12-24</t>
        </is>
      </c>
      <c r="C114" s="2" t="n"/>
      <c r="D114" s="2" t="n"/>
      <c r="E114" s="2" t="n"/>
      <c r="F114" s="2" t="n"/>
      <c r="G114" s="2" t="n"/>
      <c r="H114" s="2" t="n"/>
      <c r="I114" s="2" t="n"/>
      <c r="J114" s="2" t="n"/>
      <c r="K114" s="2">
        <f>IF(OR(N114&lt;&gt;"VERIFIED",COUNT(C114:J114)&lt;8),"",SUM(C114:E114)-SUM(F114:J114))</f>
        <v/>
      </c>
      <c r="L114" s="2">
        <f>IF(COUNT(K$2:K114)&lt;113,"",SUM(K$2:K114))</f>
        <v/>
      </c>
      <c r="M114" s="2">
        <f>IF(OR('Financial Basis'!B2="",L114=""),"",'Financial Basis'!B2+L114)</f>
        <v/>
      </c>
      <c r="N114" s="2" t="n"/>
    </row>
    <row r="115">
      <c r="A115" s="2" t="n">
        <v>114</v>
      </c>
      <c r="B115" s="2" t="inlineStr">
        <is>
          <t>2028-12-31</t>
        </is>
      </c>
      <c r="C115" s="2" t="n"/>
      <c r="D115" s="2" t="n"/>
      <c r="E115" s="2" t="n"/>
      <c r="F115" s="2" t="n"/>
      <c r="G115" s="2" t="n"/>
      <c r="H115" s="2" t="n"/>
      <c r="I115" s="2" t="n"/>
      <c r="J115" s="2" t="n"/>
      <c r="K115" s="2">
        <f>IF(OR(N115&lt;&gt;"VERIFIED",COUNT(C115:J115)&lt;8),"",SUM(C115:E115)-SUM(F115:J115))</f>
        <v/>
      </c>
      <c r="L115" s="2">
        <f>IF(COUNT(K$2:K115)&lt;114,"",SUM(K$2:K115))</f>
        <v/>
      </c>
      <c r="M115" s="2">
        <f>IF(OR('Financial Basis'!B2="",L115=""),"",'Financial Basis'!B2+L115)</f>
        <v/>
      </c>
      <c r="N115" s="2" t="n"/>
    </row>
    <row r="116">
      <c r="A116" s="2" t="n">
        <v>115</v>
      </c>
      <c r="B116" s="2" t="inlineStr">
        <is>
          <t>2029-01-07</t>
        </is>
      </c>
      <c r="C116" s="2" t="n"/>
      <c r="D116" s="2" t="n"/>
      <c r="E116" s="2" t="n"/>
      <c r="F116" s="2" t="n"/>
      <c r="G116" s="2" t="n"/>
      <c r="H116" s="2" t="n"/>
      <c r="I116" s="2" t="n"/>
      <c r="J116" s="2" t="n"/>
      <c r="K116" s="2">
        <f>IF(OR(N116&lt;&gt;"VERIFIED",COUNT(C116:J116)&lt;8),"",SUM(C116:E116)-SUM(F116:J116))</f>
        <v/>
      </c>
      <c r="L116" s="2">
        <f>IF(COUNT(K$2:K116)&lt;115,"",SUM(K$2:K116))</f>
        <v/>
      </c>
      <c r="M116" s="2">
        <f>IF(OR('Financial Basis'!B2="",L116=""),"",'Financial Basis'!B2+L116)</f>
        <v/>
      </c>
      <c r="N116" s="2" t="n"/>
    </row>
    <row r="117">
      <c r="A117" s="2" t="n">
        <v>116</v>
      </c>
      <c r="B117" s="2" t="inlineStr">
        <is>
          <t>2029-01-14</t>
        </is>
      </c>
      <c r="C117" s="2" t="n"/>
      <c r="D117" s="2" t="n"/>
      <c r="E117" s="2" t="n"/>
      <c r="F117" s="2" t="n"/>
      <c r="G117" s="2" t="n"/>
      <c r="H117" s="2" t="n"/>
      <c r="I117" s="2" t="n"/>
      <c r="J117" s="2" t="n"/>
      <c r="K117" s="2">
        <f>IF(OR(N117&lt;&gt;"VERIFIED",COUNT(C117:J117)&lt;8),"",SUM(C117:E117)-SUM(F117:J117))</f>
        <v/>
      </c>
      <c r="L117" s="2">
        <f>IF(COUNT(K$2:K117)&lt;116,"",SUM(K$2:K117))</f>
        <v/>
      </c>
      <c r="M117" s="2">
        <f>IF(OR('Financial Basis'!B2="",L117=""),"",'Financial Basis'!B2+L117)</f>
        <v/>
      </c>
      <c r="N117" s="2" t="n"/>
    </row>
    <row r="118">
      <c r="A118" s="2" t="n">
        <v>117</v>
      </c>
      <c r="B118" s="2" t="inlineStr">
        <is>
          <t>2029-01-21</t>
        </is>
      </c>
      <c r="C118" s="2" t="n"/>
      <c r="D118" s="2" t="n"/>
      <c r="E118" s="2" t="n"/>
      <c r="F118" s="2" t="n"/>
      <c r="G118" s="2" t="n"/>
      <c r="H118" s="2" t="n"/>
      <c r="I118" s="2" t="n"/>
      <c r="J118" s="2" t="n"/>
      <c r="K118" s="2">
        <f>IF(OR(N118&lt;&gt;"VERIFIED",COUNT(C118:J118)&lt;8),"",SUM(C118:E118)-SUM(F118:J118))</f>
        <v/>
      </c>
      <c r="L118" s="2">
        <f>IF(COUNT(K$2:K118)&lt;117,"",SUM(K$2:K118))</f>
        <v/>
      </c>
      <c r="M118" s="2">
        <f>IF(OR('Financial Basis'!B2="",L118=""),"",'Financial Basis'!B2+L118)</f>
        <v/>
      </c>
      <c r="N118" s="2" t="n"/>
    </row>
    <row r="119">
      <c r="A119" s="2" t="n">
        <v>118</v>
      </c>
      <c r="B119" s="2" t="inlineStr">
        <is>
          <t>2029-01-28</t>
        </is>
      </c>
      <c r="C119" s="2" t="n"/>
      <c r="D119" s="2" t="n"/>
      <c r="E119" s="2" t="n"/>
      <c r="F119" s="2" t="n"/>
      <c r="G119" s="2" t="n"/>
      <c r="H119" s="2" t="n"/>
      <c r="I119" s="2" t="n"/>
      <c r="J119" s="2" t="n"/>
      <c r="K119" s="2">
        <f>IF(OR(N119&lt;&gt;"VERIFIED",COUNT(C119:J119)&lt;8),"",SUM(C119:E119)-SUM(F119:J119))</f>
        <v/>
      </c>
      <c r="L119" s="2">
        <f>IF(COUNT(K$2:K119)&lt;118,"",SUM(K$2:K119))</f>
        <v/>
      </c>
      <c r="M119" s="2">
        <f>IF(OR('Financial Basis'!B2="",L119=""),"",'Financial Basis'!B2+L119)</f>
        <v/>
      </c>
      <c r="N119" s="2" t="n"/>
    </row>
    <row r="120">
      <c r="A120" s="2" t="n">
        <v>119</v>
      </c>
      <c r="B120" s="2" t="inlineStr">
        <is>
          <t>2029-02-04</t>
        </is>
      </c>
      <c r="C120" s="2" t="n"/>
      <c r="D120" s="2" t="n"/>
      <c r="E120" s="2" t="n"/>
      <c r="F120" s="2" t="n"/>
      <c r="G120" s="2" t="n"/>
      <c r="H120" s="2" t="n"/>
      <c r="I120" s="2" t="n"/>
      <c r="J120" s="2" t="n"/>
      <c r="K120" s="2">
        <f>IF(OR(N120&lt;&gt;"VERIFIED",COUNT(C120:J120)&lt;8),"",SUM(C120:E120)-SUM(F120:J120))</f>
        <v/>
      </c>
      <c r="L120" s="2">
        <f>IF(COUNT(K$2:K120)&lt;119,"",SUM(K$2:K120))</f>
        <v/>
      </c>
      <c r="M120" s="2">
        <f>IF(OR('Financial Basis'!B2="",L120=""),"",'Financial Basis'!B2+L120)</f>
        <v/>
      </c>
      <c r="N120" s="2" t="n"/>
    </row>
    <row r="121">
      <c r="A121" s="2" t="n">
        <v>120</v>
      </c>
      <c r="B121" s="2" t="inlineStr">
        <is>
          <t>2029-02-11</t>
        </is>
      </c>
      <c r="C121" s="2" t="n"/>
      <c r="D121" s="2" t="n"/>
      <c r="E121" s="2" t="n"/>
      <c r="F121" s="2" t="n"/>
      <c r="G121" s="2" t="n"/>
      <c r="H121" s="2" t="n"/>
      <c r="I121" s="2" t="n"/>
      <c r="J121" s="2" t="n"/>
      <c r="K121" s="2">
        <f>IF(OR(N121&lt;&gt;"VERIFIED",COUNT(C121:J121)&lt;8),"",SUM(C121:E121)-SUM(F121:J121))</f>
        <v/>
      </c>
      <c r="L121" s="2">
        <f>IF(COUNT(K$2:K121)&lt;120,"",SUM(K$2:K121))</f>
        <v/>
      </c>
      <c r="M121" s="2">
        <f>IF(OR('Financial Basis'!B2="",L121=""),"",'Financial Basis'!B2+L121)</f>
        <v/>
      </c>
      <c r="N121" s="2" t="n"/>
    </row>
    <row r="122">
      <c r="A122" s="2" t="n">
        <v>121</v>
      </c>
      <c r="B122" s="2" t="inlineStr">
        <is>
          <t>2029-02-18</t>
        </is>
      </c>
      <c r="C122" s="2" t="n"/>
      <c r="D122" s="2" t="n"/>
      <c r="E122" s="2" t="n"/>
      <c r="F122" s="2" t="n"/>
      <c r="G122" s="2" t="n"/>
      <c r="H122" s="2" t="n"/>
      <c r="I122" s="2" t="n"/>
      <c r="J122" s="2" t="n"/>
      <c r="K122" s="2">
        <f>IF(OR(N122&lt;&gt;"VERIFIED",COUNT(C122:J122)&lt;8),"",SUM(C122:E122)-SUM(F122:J122))</f>
        <v/>
      </c>
      <c r="L122" s="2">
        <f>IF(COUNT(K$2:K122)&lt;121,"",SUM(K$2:K122))</f>
        <v/>
      </c>
      <c r="M122" s="2">
        <f>IF(OR('Financial Basis'!B2="",L122=""),"",'Financial Basis'!B2+L122)</f>
        <v/>
      </c>
      <c r="N122" s="2" t="n"/>
    </row>
    <row r="123">
      <c r="A123" s="2" t="n">
        <v>122</v>
      </c>
      <c r="B123" s="2" t="inlineStr">
        <is>
          <t>2029-02-25</t>
        </is>
      </c>
      <c r="C123" s="2" t="n"/>
      <c r="D123" s="2" t="n"/>
      <c r="E123" s="2" t="n"/>
      <c r="F123" s="2" t="n"/>
      <c r="G123" s="2" t="n"/>
      <c r="H123" s="2" t="n"/>
      <c r="I123" s="2" t="n"/>
      <c r="J123" s="2" t="n"/>
      <c r="K123" s="2">
        <f>IF(OR(N123&lt;&gt;"VERIFIED",COUNT(C123:J123)&lt;8),"",SUM(C123:E123)-SUM(F123:J123))</f>
        <v/>
      </c>
      <c r="L123" s="2">
        <f>IF(COUNT(K$2:K123)&lt;122,"",SUM(K$2:K123))</f>
        <v/>
      </c>
      <c r="M123" s="2">
        <f>IF(OR('Financial Basis'!B2="",L123=""),"",'Financial Basis'!B2+L123)</f>
        <v/>
      </c>
      <c r="N123" s="2" t="n"/>
    </row>
    <row r="124">
      <c r="A124" s="2" t="n">
        <v>123</v>
      </c>
      <c r="B124" s="2" t="inlineStr">
        <is>
          <t>2029-03-04</t>
        </is>
      </c>
      <c r="C124" s="2" t="n"/>
      <c r="D124" s="2" t="n"/>
      <c r="E124" s="2" t="n"/>
      <c r="F124" s="2" t="n"/>
      <c r="G124" s="2" t="n"/>
      <c r="H124" s="2" t="n"/>
      <c r="I124" s="2" t="n"/>
      <c r="J124" s="2" t="n"/>
      <c r="K124" s="2">
        <f>IF(OR(N124&lt;&gt;"VERIFIED",COUNT(C124:J124)&lt;8),"",SUM(C124:E124)-SUM(F124:J124))</f>
        <v/>
      </c>
      <c r="L124" s="2">
        <f>IF(COUNT(K$2:K124)&lt;123,"",SUM(K$2:K124))</f>
        <v/>
      </c>
      <c r="M124" s="2">
        <f>IF(OR('Financial Basis'!B2="",L124=""),"",'Financial Basis'!B2+L124)</f>
        <v/>
      </c>
      <c r="N124" s="2" t="n"/>
    </row>
    <row r="125">
      <c r="A125" s="2" t="n">
        <v>124</v>
      </c>
      <c r="B125" s="2" t="inlineStr">
        <is>
          <t>2029-03-11</t>
        </is>
      </c>
      <c r="C125" s="2" t="n"/>
      <c r="D125" s="2" t="n"/>
      <c r="E125" s="2" t="n"/>
      <c r="F125" s="2" t="n"/>
      <c r="G125" s="2" t="n"/>
      <c r="H125" s="2" t="n"/>
      <c r="I125" s="2" t="n"/>
      <c r="J125" s="2" t="n"/>
      <c r="K125" s="2">
        <f>IF(OR(N125&lt;&gt;"VERIFIED",COUNT(C125:J125)&lt;8),"",SUM(C125:E125)-SUM(F125:J125))</f>
        <v/>
      </c>
      <c r="L125" s="2">
        <f>IF(COUNT(K$2:K125)&lt;124,"",SUM(K$2:K125))</f>
        <v/>
      </c>
      <c r="M125" s="2">
        <f>IF(OR('Financial Basis'!B2="",L125=""),"",'Financial Basis'!B2+L125)</f>
        <v/>
      </c>
      <c r="N125" s="2" t="n"/>
    </row>
    <row r="126">
      <c r="A126" s="2" t="n">
        <v>125</v>
      </c>
      <c r="B126" s="2" t="inlineStr">
        <is>
          <t>2029-03-18</t>
        </is>
      </c>
      <c r="C126" s="2" t="n"/>
      <c r="D126" s="2" t="n"/>
      <c r="E126" s="2" t="n"/>
      <c r="F126" s="2" t="n"/>
      <c r="G126" s="2" t="n"/>
      <c r="H126" s="2" t="n"/>
      <c r="I126" s="2" t="n"/>
      <c r="J126" s="2" t="n"/>
      <c r="K126" s="2">
        <f>IF(OR(N126&lt;&gt;"VERIFIED",COUNT(C126:J126)&lt;8),"",SUM(C126:E126)-SUM(F126:J126))</f>
        <v/>
      </c>
      <c r="L126" s="2">
        <f>IF(COUNT(K$2:K126)&lt;125,"",SUM(K$2:K126))</f>
        <v/>
      </c>
      <c r="M126" s="2">
        <f>IF(OR('Financial Basis'!B2="",L126=""),"",'Financial Basis'!B2+L126)</f>
        <v/>
      </c>
      <c r="N126" s="2" t="n"/>
    </row>
    <row r="127">
      <c r="A127" s="2" t="n">
        <v>126</v>
      </c>
      <c r="B127" s="2" t="inlineStr">
        <is>
          <t>2029-03-25</t>
        </is>
      </c>
      <c r="C127" s="2" t="n"/>
      <c r="D127" s="2" t="n"/>
      <c r="E127" s="2" t="n"/>
      <c r="F127" s="2" t="n"/>
      <c r="G127" s="2" t="n"/>
      <c r="H127" s="2" t="n"/>
      <c r="I127" s="2" t="n"/>
      <c r="J127" s="2" t="n"/>
      <c r="K127" s="2">
        <f>IF(OR(N127&lt;&gt;"VERIFIED",COUNT(C127:J127)&lt;8),"",SUM(C127:E127)-SUM(F127:J127))</f>
        <v/>
      </c>
      <c r="L127" s="2">
        <f>IF(COUNT(K$2:K127)&lt;126,"",SUM(K$2:K127))</f>
        <v/>
      </c>
      <c r="M127" s="2">
        <f>IF(OR('Financial Basis'!B2="",L127=""),"",'Financial Basis'!B2+L127)</f>
        <v/>
      </c>
      <c r="N127" s="2" t="n"/>
    </row>
    <row r="128">
      <c r="A128" s="2" t="n">
        <v>127</v>
      </c>
      <c r="B128" s="2" t="inlineStr">
        <is>
          <t>2029-04-01</t>
        </is>
      </c>
      <c r="C128" s="2" t="n"/>
      <c r="D128" s="2" t="n"/>
      <c r="E128" s="2" t="n"/>
      <c r="F128" s="2" t="n"/>
      <c r="G128" s="2" t="n"/>
      <c r="H128" s="2" t="n"/>
      <c r="I128" s="2" t="n"/>
      <c r="J128" s="2" t="n"/>
      <c r="K128" s="2">
        <f>IF(OR(N128&lt;&gt;"VERIFIED",COUNT(C128:J128)&lt;8),"",SUM(C128:E128)-SUM(F128:J128))</f>
        <v/>
      </c>
      <c r="L128" s="2">
        <f>IF(COUNT(K$2:K128)&lt;127,"",SUM(K$2:K128))</f>
        <v/>
      </c>
      <c r="M128" s="2">
        <f>IF(OR('Financial Basis'!B2="",L128=""),"",'Financial Basis'!B2+L128)</f>
        <v/>
      </c>
      <c r="N128" s="2" t="n"/>
    </row>
    <row r="129">
      <c r="A129" s="2" t="n">
        <v>128</v>
      </c>
      <c r="B129" s="2" t="inlineStr">
        <is>
          <t>2029-04-08</t>
        </is>
      </c>
      <c r="C129" s="2" t="n"/>
      <c r="D129" s="2" t="n"/>
      <c r="E129" s="2" t="n"/>
      <c r="F129" s="2" t="n"/>
      <c r="G129" s="2" t="n"/>
      <c r="H129" s="2" t="n"/>
      <c r="I129" s="2" t="n"/>
      <c r="J129" s="2" t="n"/>
      <c r="K129" s="2">
        <f>IF(OR(N129&lt;&gt;"VERIFIED",COUNT(C129:J129)&lt;8),"",SUM(C129:E129)-SUM(F129:J129))</f>
        <v/>
      </c>
      <c r="L129" s="2">
        <f>IF(COUNT(K$2:K129)&lt;128,"",SUM(K$2:K129))</f>
        <v/>
      </c>
      <c r="M129" s="2">
        <f>IF(OR('Financial Basis'!B2="",L129=""),"",'Financial Basis'!B2+L129)</f>
        <v/>
      </c>
      <c r="N129" s="2" t="n"/>
    </row>
    <row r="130">
      <c r="A130" s="2" t="n">
        <v>129</v>
      </c>
      <c r="B130" s="2" t="inlineStr">
        <is>
          <t>2029-04-15</t>
        </is>
      </c>
      <c r="C130" s="2" t="n"/>
      <c r="D130" s="2" t="n"/>
      <c r="E130" s="2" t="n"/>
      <c r="F130" s="2" t="n"/>
      <c r="G130" s="2" t="n"/>
      <c r="H130" s="2" t="n"/>
      <c r="I130" s="2" t="n"/>
      <c r="J130" s="2" t="n"/>
      <c r="K130" s="2">
        <f>IF(OR(N130&lt;&gt;"VERIFIED",COUNT(C130:J130)&lt;8),"",SUM(C130:E130)-SUM(F130:J130))</f>
        <v/>
      </c>
      <c r="L130" s="2">
        <f>IF(COUNT(K$2:K130)&lt;129,"",SUM(K$2:K130))</f>
        <v/>
      </c>
      <c r="M130" s="2">
        <f>IF(OR('Financial Basis'!B2="",L130=""),"",'Financial Basis'!B2+L130)</f>
        <v/>
      </c>
      <c r="N130" s="2" t="n"/>
    </row>
    <row r="131">
      <c r="A131" s="2" t="n">
        <v>130</v>
      </c>
      <c r="B131" s="2" t="inlineStr">
        <is>
          <t>2029-04-22</t>
        </is>
      </c>
      <c r="C131" s="2" t="n"/>
      <c r="D131" s="2" t="n"/>
      <c r="E131" s="2" t="n"/>
      <c r="F131" s="2" t="n"/>
      <c r="G131" s="2" t="n"/>
      <c r="H131" s="2" t="n"/>
      <c r="I131" s="2" t="n"/>
      <c r="J131" s="2" t="n"/>
      <c r="K131" s="2">
        <f>IF(OR(N131&lt;&gt;"VERIFIED",COUNT(C131:J131)&lt;8),"",SUM(C131:E131)-SUM(F131:J131))</f>
        <v/>
      </c>
      <c r="L131" s="2">
        <f>IF(COUNT(K$2:K131)&lt;130,"",SUM(K$2:K131))</f>
        <v/>
      </c>
      <c r="M131" s="2">
        <f>IF(OR('Financial Basis'!B2="",L131=""),"",'Financial Basis'!B2+L131)</f>
        <v/>
      </c>
      <c r="N131" s="2" t="n"/>
    </row>
    <row r="132">
      <c r="A132" s="2" t="n">
        <v>131</v>
      </c>
      <c r="B132" s="2" t="inlineStr">
        <is>
          <t>2029-04-29</t>
        </is>
      </c>
      <c r="C132" s="2" t="n"/>
      <c r="D132" s="2" t="n"/>
      <c r="E132" s="2" t="n"/>
      <c r="F132" s="2" t="n"/>
      <c r="G132" s="2" t="n"/>
      <c r="H132" s="2" t="n"/>
      <c r="I132" s="2" t="n"/>
      <c r="J132" s="2" t="n"/>
      <c r="K132" s="2">
        <f>IF(OR(N132&lt;&gt;"VERIFIED",COUNT(C132:J132)&lt;8),"",SUM(C132:E132)-SUM(F132:J132))</f>
        <v/>
      </c>
      <c r="L132" s="2">
        <f>IF(COUNT(K$2:K132)&lt;131,"",SUM(K$2:K132))</f>
        <v/>
      </c>
      <c r="M132" s="2">
        <f>IF(OR('Financial Basis'!B2="",L132=""),"",'Financial Basis'!B2+L132)</f>
        <v/>
      </c>
      <c r="N132" s="2" t="n"/>
    </row>
    <row r="133">
      <c r="A133" s="2" t="n">
        <v>132</v>
      </c>
      <c r="B133" s="2" t="inlineStr">
        <is>
          <t>2029-05-06</t>
        </is>
      </c>
      <c r="C133" s="2" t="n"/>
      <c r="D133" s="2" t="n"/>
      <c r="E133" s="2" t="n"/>
      <c r="F133" s="2" t="n"/>
      <c r="G133" s="2" t="n"/>
      <c r="H133" s="2" t="n"/>
      <c r="I133" s="2" t="n"/>
      <c r="J133" s="2" t="n"/>
      <c r="K133" s="2">
        <f>IF(OR(N133&lt;&gt;"VERIFIED",COUNT(C133:J133)&lt;8),"",SUM(C133:E133)-SUM(F133:J133))</f>
        <v/>
      </c>
      <c r="L133" s="2">
        <f>IF(COUNT(K$2:K133)&lt;132,"",SUM(K$2:K133))</f>
        <v/>
      </c>
      <c r="M133" s="2">
        <f>IF(OR('Financial Basis'!B2="",L133=""),"",'Financial Basis'!B2+L133)</f>
        <v/>
      </c>
      <c r="N133" s="2" t="n"/>
    </row>
    <row r="134">
      <c r="A134" s="2" t="n">
        <v>133</v>
      </c>
      <c r="B134" s="2" t="inlineStr">
        <is>
          <t>2029-05-13</t>
        </is>
      </c>
      <c r="C134" s="2" t="n"/>
      <c r="D134" s="2" t="n"/>
      <c r="E134" s="2" t="n"/>
      <c r="F134" s="2" t="n"/>
      <c r="G134" s="2" t="n"/>
      <c r="H134" s="2" t="n"/>
      <c r="I134" s="2" t="n"/>
      <c r="J134" s="2" t="n"/>
      <c r="K134" s="2">
        <f>IF(OR(N134&lt;&gt;"VERIFIED",COUNT(C134:J134)&lt;8),"",SUM(C134:E134)-SUM(F134:J134))</f>
        <v/>
      </c>
      <c r="L134" s="2">
        <f>IF(COUNT(K$2:K134)&lt;133,"",SUM(K$2:K134))</f>
        <v/>
      </c>
      <c r="M134" s="2">
        <f>IF(OR('Financial Basis'!B2="",L134=""),"",'Financial Basis'!B2+L134)</f>
        <v/>
      </c>
      <c r="N134" s="2" t="n"/>
    </row>
    <row r="135">
      <c r="A135" s="2" t="n">
        <v>134</v>
      </c>
      <c r="B135" s="2" t="inlineStr">
        <is>
          <t>2029-05-20</t>
        </is>
      </c>
      <c r="C135" s="2" t="n"/>
      <c r="D135" s="2" t="n"/>
      <c r="E135" s="2" t="n"/>
      <c r="F135" s="2" t="n"/>
      <c r="G135" s="2" t="n"/>
      <c r="H135" s="2" t="n"/>
      <c r="I135" s="2" t="n"/>
      <c r="J135" s="2" t="n"/>
      <c r="K135" s="2">
        <f>IF(OR(N135&lt;&gt;"VERIFIED",COUNT(C135:J135)&lt;8),"",SUM(C135:E135)-SUM(F135:J135))</f>
        <v/>
      </c>
      <c r="L135" s="2">
        <f>IF(COUNT(K$2:K135)&lt;134,"",SUM(K$2:K135))</f>
        <v/>
      </c>
      <c r="M135" s="2">
        <f>IF(OR('Financial Basis'!B2="",L135=""),"",'Financial Basis'!B2+L135)</f>
        <v/>
      </c>
      <c r="N135" s="2" t="n"/>
    </row>
    <row r="136">
      <c r="A136" s="2" t="n">
        <v>135</v>
      </c>
      <c r="B136" s="2" t="inlineStr">
        <is>
          <t>2029-05-27</t>
        </is>
      </c>
      <c r="C136" s="2" t="n"/>
      <c r="D136" s="2" t="n"/>
      <c r="E136" s="2" t="n"/>
      <c r="F136" s="2" t="n"/>
      <c r="G136" s="2" t="n"/>
      <c r="H136" s="2" t="n"/>
      <c r="I136" s="2" t="n"/>
      <c r="J136" s="2" t="n"/>
      <c r="K136" s="2">
        <f>IF(OR(N136&lt;&gt;"VERIFIED",COUNT(C136:J136)&lt;8),"",SUM(C136:E136)-SUM(F136:J136))</f>
        <v/>
      </c>
      <c r="L136" s="2">
        <f>IF(COUNT(K$2:K136)&lt;135,"",SUM(K$2:K136))</f>
        <v/>
      </c>
      <c r="M136" s="2">
        <f>IF(OR('Financial Basis'!B2="",L136=""),"",'Financial Basis'!B2+L136)</f>
        <v/>
      </c>
      <c r="N136" s="2" t="n"/>
    </row>
    <row r="137">
      <c r="A137" s="2" t="n">
        <v>136</v>
      </c>
      <c r="B137" s="2" t="inlineStr">
        <is>
          <t>2029-06-03</t>
        </is>
      </c>
      <c r="C137" s="2" t="n"/>
      <c r="D137" s="2" t="n"/>
      <c r="E137" s="2" t="n"/>
      <c r="F137" s="2" t="n"/>
      <c r="G137" s="2" t="n"/>
      <c r="H137" s="2" t="n"/>
      <c r="I137" s="2" t="n"/>
      <c r="J137" s="2" t="n"/>
      <c r="K137" s="2">
        <f>IF(OR(N137&lt;&gt;"VERIFIED",COUNT(C137:J137)&lt;8),"",SUM(C137:E137)-SUM(F137:J137))</f>
        <v/>
      </c>
      <c r="L137" s="2">
        <f>IF(COUNT(K$2:K137)&lt;136,"",SUM(K$2:K137))</f>
        <v/>
      </c>
      <c r="M137" s="2">
        <f>IF(OR('Financial Basis'!B2="",L137=""),"",'Financial Basis'!B2+L137)</f>
        <v/>
      </c>
      <c r="N137" s="2" t="n"/>
    </row>
    <row r="138">
      <c r="A138" s="2" t="n">
        <v>137</v>
      </c>
      <c r="B138" s="2" t="inlineStr">
        <is>
          <t>2029-06-10</t>
        </is>
      </c>
      <c r="C138" s="2" t="n"/>
      <c r="D138" s="2" t="n"/>
      <c r="E138" s="2" t="n"/>
      <c r="F138" s="2" t="n"/>
      <c r="G138" s="2" t="n"/>
      <c r="H138" s="2" t="n"/>
      <c r="I138" s="2" t="n"/>
      <c r="J138" s="2" t="n"/>
      <c r="K138" s="2">
        <f>IF(OR(N138&lt;&gt;"VERIFIED",COUNT(C138:J138)&lt;8),"",SUM(C138:E138)-SUM(F138:J138))</f>
        <v/>
      </c>
      <c r="L138" s="2">
        <f>IF(COUNT(K$2:K138)&lt;137,"",SUM(K$2:K138))</f>
        <v/>
      </c>
      <c r="M138" s="2">
        <f>IF(OR('Financial Basis'!B2="",L138=""),"",'Financial Basis'!B2+L138)</f>
        <v/>
      </c>
      <c r="N138" s="2" t="n"/>
    </row>
    <row r="139">
      <c r="A139" s="2" t="n">
        <v>138</v>
      </c>
      <c r="B139" s="2" t="inlineStr">
        <is>
          <t>2029-06-17</t>
        </is>
      </c>
      <c r="C139" s="2" t="n"/>
      <c r="D139" s="2" t="n"/>
      <c r="E139" s="2" t="n"/>
      <c r="F139" s="2" t="n"/>
      <c r="G139" s="2" t="n"/>
      <c r="H139" s="2" t="n"/>
      <c r="I139" s="2" t="n"/>
      <c r="J139" s="2" t="n"/>
      <c r="K139" s="2">
        <f>IF(OR(N139&lt;&gt;"VERIFIED",COUNT(C139:J139)&lt;8),"",SUM(C139:E139)-SUM(F139:J139))</f>
        <v/>
      </c>
      <c r="L139" s="2">
        <f>IF(COUNT(K$2:K139)&lt;138,"",SUM(K$2:K139))</f>
        <v/>
      </c>
      <c r="M139" s="2">
        <f>IF(OR('Financial Basis'!B2="",L139=""),"",'Financial Basis'!B2+L139)</f>
        <v/>
      </c>
      <c r="N139" s="2" t="n"/>
    </row>
    <row r="140">
      <c r="A140" s="2" t="n">
        <v>139</v>
      </c>
      <c r="B140" s="2" t="inlineStr">
        <is>
          <t>2029-06-24</t>
        </is>
      </c>
      <c r="C140" s="2" t="n"/>
      <c r="D140" s="2" t="n"/>
      <c r="E140" s="2" t="n"/>
      <c r="F140" s="2" t="n"/>
      <c r="G140" s="2" t="n"/>
      <c r="H140" s="2" t="n"/>
      <c r="I140" s="2" t="n"/>
      <c r="J140" s="2" t="n"/>
      <c r="K140" s="2">
        <f>IF(OR(N140&lt;&gt;"VERIFIED",COUNT(C140:J140)&lt;8),"",SUM(C140:E140)-SUM(F140:J140))</f>
        <v/>
      </c>
      <c r="L140" s="2">
        <f>IF(COUNT(K$2:K140)&lt;139,"",SUM(K$2:K140))</f>
        <v/>
      </c>
      <c r="M140" s="2">
        <f>IF(OR('Financial Basis'!B2="",L140=""),"",'Financial Basis'!B2+L140)</f>
        <v/>
      </c>
      <c r="N140" s="2" t="n"/>
    </row>
    <row r="141">
      <c r="A141" s="2" t="n">
        <v>140</v>
      </c>
      <c r="B141" s="2" t="inlineStr">
        <is>
          <t>2029-07-01</t>
        </is>
      </c>
      <c r="C141" s="2" t="n"/>
      <c r="D141" s="2" t="n"/>
      <c r="E141" s="2" t="n"/>
      <c r="F141" s="2" t="n"/>
      <c r="G141" s="2" t="n"/>
      <c r="H141" s="2" t="n"/>
      <c r="I141" s="2" t="n"/>
      <c r="J141" s="2" t="n"/>
      <c r="K141" s="2">
        <f>IF(OR(N141&lt;&gt;"VERIFIED",COUNT(C141:J141)&lt;8),"",SUM(C141:E141)-SUM(F141:J141))</f>
        <v/>
      </c>
      <c r="L141" s="2">
        <f>IF(COUNT(K$2:K141)&lt;140,"",SUM(K$2:K141))</f>
        <v/>
      </c>
      <c r="M141" s="2">
        <f>IF(OR('Financial Basis'!B2="",L141=""),"",'Financial Basis'!B2+L141)</f>
        <v/>
      </c>
      <c r="N141" s="2" t="n"/>
    </row>
    <row r="142">
      <c r="A142" s="2" t="n">
        <v>141</v>
      </c>
      <c r="B142" s="2" t="inlineStr">
        <is>
          <t>2029-07-08</t>
        </is>
      </c>
      <c r="C142" s="2" t="n"/>
      <c r="D142" s="2" t="n"/>
      <c r="E142" s="2" t="n"/>
      <c r="F142" s="2" t="n"/>
      <c r="G142" s="2" t="n"/>
      <c r="H142" s="2" t="n"/>
      <c r="I142" s="2" t="n"/>
      <c r="J142" s="2" t="n"/>
      <c r="K142" s="2">
        <f>IF(OR(N142&lt;&gt;"VERIFIED",COUNT(C142:J142)&lt;8),"",SUM(C142:E142)-SUM(F142:J142))</f>
        <v/>
      </c>
      <c r="L142" s="2">
        <f>IF(COUNT(K$2:K142)&lt;141,"",SUM(K$2:K142))</f>
        <v/>
      </c>
      <c r="M142" s="2">
        <f>IF(OR('Financial Basis'!B2="",L142=""),"",'Financial Basis'!B2+L142)</f>
        <v/>
      </c>
      <c r="N142" s="2" t="n"/>
    </row>
    <row r="143">
      <c r="A143" s="2" t="n">
        <v>142</v>
      </c>
      <c r="B143" s="2" t="inlineStr">
        <is>
          <t>2029-07-15</t>
        </is>
      </c>
      <c r="C143" s="2" t="n"/>
      <c r="D143" s="2" t="n"/>
      <c r="E143" s="2" t="n"/>
      <c r="F143" s="2" t="n"/>
      <c r="G143" s="2" t="n"/>
      <c r="H143" s="2" t="n"/>
      <c r="I143" s="2" t="n"/>
      <c r="J143" s="2" t="n"/>
      <c r="K143" s="2">
        <f>IF(OR(N143&lt;&gt;"VERIFIED",COUNT(C143:J143)&lt;8),"",SUM(C143:E143)-SUM(F143:J143))</f>
        <v/>
      </c>
      <c r="L143" s="2">
        <f>IF(COUNT(K$2:K143)&lt;142,"",SUM(K$2:K143))</f>
        <v/>
      </c>
      <c r="M143" s="2">
        <f>IF(OR('Financial Basis'!B2="",L143=""),"",'Financial Basis'!B2+L143)</f>
        <v/>
      </c>
      <c r="N143" s="2" t="n"/>
    </row>
    <row r="144">
      <c r="A144" s="2" t="n">
        <v>143</v>
      </c>
      <c r="B144" s="2" t="inlineStr">
        <is>
          <t>2029-07-22</t>
        </is>
      </c>
      <c r="C144" s="2" t="n"/>
      <c r="D144" s="2" t="n"/>
      <c r="E144" s="2" t="n"/>
      <c r="F144" s="2" t="n"/>
      <c r="G144" s="2" t="n"/>
      <c r="H144" s="2" t="n"/>
      <c r="I144" s="2" t="n"/>
      <c r="J144" s="2" t="n"/>
      <c r="K144" s="2">
        <f>IF(OR(N144&lt;&gt;"VERIFIED",COUNT(C144:J144)&lt;8),"",SUM(C144:E144)-SUM(F144:J144))</f>
        <v/>
      </c>
      <c r="L144" s="2">
        <f>IF(COUNT(K$2:K144)&lt;143,"",SUM(K$2:K144))</f>
        <v/>
      </c>
      <c r="M144" s="2">
        <f>IF(OR('Financial Basis'!B2="",L144=""),"",'Financial Basis'!B2+L144)</f>
        <v/>
      </c>
      <c r="N144" s="2" t="n"/>
    </row>
    <row r="145">
      <c r="A145" s="2" t="n">
        <v>144</v>
      </c>
      <c r="B145" s="2" t="inlineStr">
        <is>
          <t>2029-07-29</t>
        </is>
      </c>
      <c r="C145" s="2" t="n"/>
      <c r="D145" s="2" t="n"/>
      <c r="E145" s="2" t="n"/>
      <c r="F145" s="2" t="n"/>
      <c r="G145" s="2" t="n"/>
      <c r="H145" s="2" t="n"/>
      <c r="I145" s="2" t="n"/>
      <c r="J145" s="2" t="n"/>
      <c r="K145" s="2">
        <f>IF(OR(N145&lt;&gt;"VERIFIED",COUNT(C145:J145)&lt;8),"",SUM(C145:E145)-SUM(F145:J145))</f>
        <v/>
      </c>
      <c r="L145" s="2">
        <f>IF(COUNT(K$2:K145)&lt;144,"",SUM(K$2:K145))</f>
        <v/>
      </c>
      <c r="M145" s="2">
        <f>IF(OR('Financial Basis'!B2="",L145=""),"",'Financial Basis'!B2+L145)</f>
        <v/>
      </c>
      <c r="N145" s="2" t="n"/>
    </row>
    <row r="146">
      <c r="A146" s="2" t="n">
        <v>145</v>
      </c>
      <c r="B146" s="2" t="inlineStr">
        <is>
          <t>2029-08-05</t>
        </is>
      </c>
      <c r="C146" s="2" t="n"/>
      <c r="D146" s="2" t="n"/>
      <c r="E146" s="2" t="n"/>
      <c r="F146" s="2" t="n"/>
      <c r="G146" s="2" t="n"/>
      <c r="H146" s="2" t="n"/>
      <c r="I146" s="2" t="n"/>
      <c r="J146" s="2" t="n"/>
      <c r="K146" s="2">
        <f>IF(OR(N146&lt;&gt;"VERIFIED",COUNT(C146:J146)&lt;8),"",SUM(C146:E146)-SUM(F146:J146))</f>
        <v/>
      </c>
      <c r="L146" s="2">
        <f>IF(COUNT(K$2:K146)&lt;145,"",SUM(K$2:K146))</f>
        <v/>
      </c>
      <c r="M146" s="2">
        <f>IF(OR('Financial Basis'!B2="",L146=""),"",'Financial Basis'!B2+L146)</f>
        <v/>
      </c>
      <c r="N146" s="2" t="n"/>
    </row>
    <row r="147">
      <c r="A147" s="2" t="n">
        <v>146</v>
      </c>
      <c r="B147" s="2" t="inlineStr">
        <is>
          <t>2029-08-12</t>
        </is>
      </c>
      <c r="C147" s="2" t="n"/>
      <c r="D147" s="2" t="n"/>
      <c r="E147" s="2" t="n"/>
      <c r="F147" s="2" t="n"/>
      <c r="G147" s="2" t="n"/>
      <c r="H147" s="2" t="n"/>
      <c r="I147" s="2" t="n"/>
      <c r="J147" s="2" t="n"/>
      <c r="K147" s="2">
        <f>IF(OR(N147&lt;&gt;"VERIFIED",COUNT(C147:J147)&lt;8),"",SUM(C147:E147)-SUM(F147:J147))</f>
        <v/>
      </c>
      <c r="L147" s="2">
        <f>IF(COUNT(K$2:K147)&lt;146,"",SUM(K$2:K147))</f>
        <v/>
      </c>
      <c r="M147" s="2">
        <f>IF(OR('Financial Basis'!B2="",L147=""),"",'Financial Basis'!B2+L147)</f>
        <v/>
      </c>
      <c r="N147" s="2" t="n"/>
    </row>
    <row r="148">
      <c r="A148" s="2" t="n">
        <v>147</v>
      </c>
      <c r="B148" s="2" t="inlineStr">
        <is>
          <t>2029-08-19</t>
        </is>
      </c>
      <c r="C148" s="2" t="n"/>
      <c r="D148" s="2" t="n"/>
      <c r="E148" s="2" t="n"/>
      <c r="F148" s="2" t="n"/>
      <c r="G148" s="2" t="n"/>
      <c r="H148" s="2" t="n"/>
      <c r="I148" s="2" t="n"/>
      <c r="J148" s="2" t="n"/>
      <c r="K148" s="2">
        <f>IF(OR(N148&lt;&gt;"VERIFIED",COUNT(C148:J148)&lt;8),"",SUM(C148:E148)-SUM(F148:J148))</f>
        <v/>
      </c>
      <c r="L148" s="2">
        <f>IF(COUNT(K$2:K148)&lt;147,"",SUM(K$2:K148))</f>
        <v/>
      </c>
      <c r="M148" s="2">
        <f>IF(OR('Financial Basis'!B2="",L148=""),"",'Financial Basis'!B2+L148)</f>
        <v/>
      </c>
      <c r="N148" s="2" t="n"/>
    </row>
    <row r="149">
      <c r="A149" s="2" t="n">
        <v>148</v>
      </c>
      <c r="B149" s="2" t="inlineStr">
        <is>
          <t>2029-08-26</t>
        </is>
      </c>
      <c r="C149" s="2" t="n"/>
      <c r="D149" s="2" t="n"/>
      <c r="E149" s="2" t="n"/>
      <c r="F149" s="2" t="n"/>
      <c r="G149" s="2" t="n"/>
      <c r="H149" s="2" t="n"/>
      <c r="I149" s="2" t="n"/>
      <c r="J149" s="2" t="n"/>
      <c r="K149" s="2">
        <f>IF(OR(N149&lt;&gt;"VERIFIED",COUNT(C149:J149)&lt;8),"",SUM(C149:E149)-SUM(F149:J149))</f>
        <v/>
      </c>
      <c r="L149" s="2">
        <f>IF(COUNT(K$2:K149)&lt;148,"",SUM(K$2:K149))</f>
        <v/>
      </c>
      <c r="M149" s="2">
        <f>IF(OR('Financial Basis'!B2="",L149=""),"",'Financial Basis'!B2+L149)</f>
        <v/>
      </c>
      <c r="N149" s="2" t="n"/>
    </row>
    <row r="150">
      <c r="A150" s="2" t="n">
        <v>149</v>
      </c>
      <c r="B150" s="2" t="inlineStr">
        <is>
          <t>2029-09-02</t>
        </is>
      </c>
      <c r="C150" s="2" t="n"/>
      <c r="D150" s="2" t="n"/>
      <c r="E150" s="2" t="n"/>
      <c r="F150" s="2" t="n"/>
      <c r="G150" s="2" t="n"/>
      <c r="H150" s="2" t="n"/>
      <c r="I150" s="2" t="n"/>
      <c r="J150" s="2" t="n"/>
      <c r="K150" s="2">
        <f>IF(OR(N150&lt;&gt;"VERIFIED",COUNT(C150:J150)&lt;8),"",SUM(C150:E150)-SUM(F150:J150))</f>
        <v/>
      </c>
      <c r="L150" s="2">
        <f>IF(COUNT(K$2:K150)&lt;149,"",SUM(K$2:K150))</f>
        <v/>
      </c>
      <c r="M150" s="2">
        <f>IF(OR('Financial Basis'!B2="",L150=""),"",'Financial Basis'!B2+L150)</f>
        <v/>
      </c>
      <c r="N150" s="2" t="n"/>
    </row>
    <row r="151">
      <c r="A151" s="2" t="n">
        <v>150</v>
      </c>
      <c r="B151" s="2" t="inlineStr">
        <is>
          <t>2029-09-09</t>
        </is>
      </c>
      <c r="C151" s="2" t="n"/>
      <c r="D151" s="2" t="n"/>
      <c r="E151" s="2" t="n"/>
      <c r="F151" s="2" t="n"/>
      <c r="G151" s="2" t="n"/>
      <c r="H151" s="2" t="n"/>
      <c r="I151" s="2" t="n"/>
      <c r="J151" s="2" t="n"/>
      <c r="K151" s="2">
        <f>IF(OR(N151&lt;&gt;"VERIFIED",COUNT(C151:J151)&lt;8),"",SUM(C151:E151)-SUM(F151:J151))</f>
        <v/>
      </c>
      <c r="L151" s="2">
        <f>IF(COUNT(K$2:K151)&lt;150,"",SUM(K$2:K151))</f>
        <v/>
      </c>
      <c r="M151" s="2">
        <f>IF(OR('Financial Basis'!B2="",L151=""),"",'Financial Basis'!B2+L151)</f>
        <v/>
      </c>
      <c r="N151" s="2" t="n"/>
    </row>
    <row r="152">
      <c r="A152" s="2" t="n">
        <v>151</v>
      </c>
      <c r="B152" s="2" t="inlineStr">
        <is>
          <t>2029-09-16</t>
        </is>
      </c>
      <c r="C152" s="2" t="n"/>
      <c r="D152" s="2" t="n"/>
      <c r="E152" s="2" t="n"/>
      <c r="F152" s="2" t="n"/>
      <c r="G152" s="2" t="n"/>
      <c r="H152" s="2" t="n"/>
      <c r="I152" s="2" t="n"/>
      <c r="J152" s="2" t="n"/>
      <c r="K152" s="2">
        <f>IF(OR(N152&lt;&gt;"VERIFIED",COUNT(C152:J152)&lt;8),"",SUM(C152:E152)-SUM(F152:J152))</f>
        <v/>
      </c>
      <c r="L152" s="2">
        <f>IF(COUNT(K$2:K152)&lt;151,"",SUM(K$2:K152))</f>
        <v/>
      </c>
      <c r="M152" s="2">
        <f>IF(OR('Financial Basis'!B2="",L152=""),"",'Financial Basis'!B2+L152)</f>
        <v/>
      </c>
      <c r="N152" s="2" t="n"/>
    </row>
    <row r="153">
      <c r="A153" s="2" t="n">
        <v>152</v>
      </c>
      <c r="B153" s="2" t="inlineStr">
        <is>
          <t>2029-09-23</t>
        </is>
      </c>
      <c r="C153" s="2" t="n"/>
      <c r="D153" s="2" t="n"/>
      <c r="E153" s="2" t="n"/>
      <c r="F153" s="2" t="n"/>
      <c r="G153" s="2" t="n"/>
      <c r="H153" s="2" t="n"/>
      <c r="I153" s="2" t="n"/>
      <c r="J153" s="2" t="n"/>
      <c r="K153" s="2">
        <f>IF(OR(N153&lt;&gt;"VERIFIED",COUNT(C153:J153)&lt;8),"",SUM(C153:E153)-SUM(F153:J153))</f>
        <v/>
      </c>
      <c r="L153" s="2">
        <f>IF(COUNT(K$2:K153)&lt;152,"",SUM(K$2:K153))</f>
        <v/>
      </c>
      <c r="M153" s="2">
        <f>IF(OR('Financial Basis'!B2="",L153=""),"",'Financial Basis'!B2+L153)</f>
        <v/>
      </c>
      <c r="N153" s="2" t="n"/>
    </row>
    <row r="154">
      <c r="A154" s="2" t="n">
        <v>153</v>
      </c>
      <c r="B154" s="2" t="inlineStr">
        <is>
          <t>2029-09-30</t>
        </is>
      </c>
      <c r="C154" s="2" t="n"/>
      <c r="D154" s="2" t="n"/>
      <c r="E154" s="2" t="n"/>
      <c r="F154" s="2" t="n"/>
      <c r="G154" s="2" t="n"/>
      <c r="H154" s="2" t="n"/>
      <c r="I154" s="2" t="n"/>
      <c r="J154" s="2" t="n"/>
      <c r="K154" s="2">
        <f>IF(OR(N154&lt;&gt;"VERIFIED",COUNT(C154:J154)&lt;8),"",SUM(C154:E154)-SUM(F154:J154))</f>
        <v/>
      </c>
      <c r="L154" s="2">
        <f>IF(COUNT(K$2:K154)&lt;153,"",SUM(K$2:K154))</f>
        <v/>
      </c>
      <c r="M154" s="2">
        <f>IF(OR('Financial Basis'!B2="",L154=""),"",'Financial Basis'!B2+L154)</f>
        <v/>
      </c>
      <c r="N154" s="2" t="n"/>
    </row>
    <row r="155">
      <c r="A155" s="2" t="n">
        <v>154</v>
      </c>
      <c r="B155" s="2" t="inlineStr">
        <is>
          <t>2029-10-07</t>
        </is>
      </c>
      <c r="C155" s="2" t="n"/>
      <c r="D155" s="2" t="n"/>
      <c r="E155" s="2" t="n"/>
      <c r="F155" s="2" t="n"/>
      <c r="G155" s="2" t="n"/>
      <c r="H155" s="2" t="n"/>
      <c r="I155" s="2" t="n"/>
      <c r="J155" s="2" t="n"/>
      <c r="K155" s="2">
        <f>IF(OR(N155&lt;&gt;"VERIFIED",COUNT(C155:J155)&lt;8),"",SUM(C155:E155)-SUM(F155:J155))</f>
        <v/>
      </c>
      <c r="L155" s="2">
        <f>IF(COUNT(K$2:K155)&lt;154,"",SUM(K$2:K155))</f>
        <v/>
      </c>
      <c r="M155" s="2">
        <f>IF(OR('Financial Basis'!B2="",L155=""),"",'Financial Basis'!B2+L155)</f>
        <v/>
      </c>
      <c r="N155" s="2" t="n"/>
    </row>
    <row r="156">
      <c r="A156" s="2" t="n">
        <v>155</v>
      </c>
      <c r="B156" s="2" t="inlineStr">
        <is>
          <t>2029-10-14</t>
        </is>
      </c>
      <c r="C156" s="2" t="n"/>
      <c r="D156" s="2" t="n"/>
      <c r="E156" s="2" t="n"/>
      <c r="F156" s="2" t="n"/>
      <c r="G156" s="2" t="n"/>
      <c r="H156" s="2" t="n"/>
      <c r="I156" s="2" t="n"/>
      <c r="J156" s="2" t="n"/>
      <c r="K156" s="2">
        <f>IF(OR(N156&lt;&gt;"VERIFIED",COUNT(C156:J156)&lt;8),"",SUM(C156:E156)-SUM(F156:J156))</f>
        <v/>
      </c>
      <c r="L156" s="2">
        <f>IF(COUNT(K$2:K156)&lt;155,"",SUM(K$2:K156))</f>
        <v/>
      </c>
      <c r="M156" s="2">
        <f>IF(OR('Financial Basis'!B2="",L156=""),"",'Financial Basis'!B2+L156)</f>
        <v/>
      </c>
      <c r="N156" s="2" t="n"/>
    </row>
    <row r="157">
      <c r="A157" s="2" t="n">
        <v>156</v>
      </c>
      <c r="B157" s="2" t="inlineStr">
        <is>
          <t>2029-10-21</t>
        </is>
      </c>
      <c r="C157" s="2" t="n"/>
      <c r="D157" s="2" t="n"/>
      <c r="E157" s="2" t="n"/>
      <c r="F157" s="2" t="n"/>
      <c r="G157" s="2" t="n"/>
      <c r="H157" s="2" t="n"/>
      <c r="I157" s="2" t="n"/>
      <c r="J157" s="2" t="n"/>
      <c r="K157" s="2">
        <f>IF(OR(N157&lt;&gt;"VERIFIED",COUNT(C157:J157)&lt;8),"",SUM(C157:E157)-SUM(F157:J157))</f>
        <v/>
      </c>
      <c r="L157" s="2">
        <f>IF(COUNT(K$2:K157)&lt;156,"",SUM(K$2:K157))</f>
        <v/>
      </c>
      <c r="M157" s="2">
        <f>IF(OR('Financial Basis'!B2="",L157=""),"",'Financial Basis'!B2+L157)</f>
        <v/>
      </c>
      <c r="N157" s="2" t="n"/>
    </row>
  </sheetData>
  <autoFilter ref="A1:N15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21"/>
  <sheetViews>
    <sheetView zoomScale="80"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 width="27" customWidth="1" min="11" max="11"/>
    <col width="27" customWidth="1" min="12" max="12"/>
  </cols>
  <sheetData>
    <row r="1">
      <c r="A1" s="1" t="inlineStr">
        <is>
          <t>Event ID</t>
        </is>
      </c>
      <c r="B1" s="1" t="inlineStr">
        <is>
          <t>Date</t>
        </is>
      </c>
      <c r="C1" s="1" t="inlineStr">
        <is>
          <t>Source instruction</t>
        </is>
      </c>
      <c r="D1" s="1" t="inlineStr">
        <is>
          <t>Scope/bridge</t>
        </is>
      </c>
      <c r="E1" s="1" t="inlineStr">
        <is>
          <t>Notice deadline</t>
        </is>
      </c>
      <c r="F1" s="1" t="inlineStr">
        <is>
          <t>Owner</t>
        </is>
      </c>
      <c r="G1" s="1" t="inlineStr">
        <is>
          <t>Baseline activity</t>
        </is>
      </c>
      <c r="H1" s="1" t="inlineStr">
        <is>
          <t>Cause/attribution</t>
        </is>
      </c>
      <c r="I1" s="1" t="inlineStr">
        <is>
          <t>Cost evidence</t>
        </is>
      </c>
      <c r="J1" s="1" t="inlineStr">
        <is>
          <t>Schedule evidence</t>
        </is>
      </c>
      <c r="K1" s="1" t="inlineStr">
        <is>
          <t>Decision</t>
        </is>
      </c>
      <c r="L1" s="1" t="inlineStr">
        <is>
          <t>Status</t>
        </is>
      </c>
    </row>
    <row r="2">
      <c r="A2" s="2" t="n"/>
      <c r="B2" s="2" t="n"/>
      <c r="C2" s="2" t="n"/>
      <c r="D2" s="2" t="n"/>
      <c r="E2" s="2" t="n"/>
      <c r="F2" s="2" t="n"/>
      <c r="G2" s="2" t="n"/>
      <c r="H2" s="2" t="n"/>
      <c r="I2" s="2" t="n"/>
      <c r="J2" s="2" t="n"/>
      <c r="K2" s="2" t="n"/>
      <c r="L2" s="2" t="inlineStr">
        <is>
          <t>OPEN</t>
        </is>
      </c>
    </row>
    <row r="3">
      <c r="A3" s="2" t="n"/>
      <c r="B3" s="2" t="n"/>
      <c r="C3" s="2" t="n"/>
      <c r="D3" s="2" t="n"/>
      <c r="E3" s="2" t="n"/>
      <c r="F3" s="2" t="n"/>
      <c r="G3" s="2" t="n"/>
      <c r="H3" s="2" t="n"/>
      <c r="I3" s="2" t="n"/>
      <c r="J3" s="2" t="n"/>
      <c r="K3" s="2" t="n"/>
      <c r="L3" s="2" t="inlineStr">
        <is>
          <t>OPEN</t>
        </is>
      </c>
    </row>
    <row r="4">
      <c r="A4" s="2" t="n"/>
      <c r="B4" s="2" t="n"/>
      <c r="C4" s="2" t="n"/>
      <c r="D4" s="2" t="n"/>
      <c r="E4" s="2" t="n"/>
      <c r="F4" s="2" t="n"/>
      <c r="G4" s="2" t="n"/>
      <c r="H4" s="2" t="n"/>
      <c r="I4" s="2" t="n"/>
      <c r="J4" s="2" t="n"/>
      <c r="K4" s="2" t="n"/>
      <c r="L4" s="2" t="inlineStr">
        <is>
          <t>OPEN</t>
        </is>
      </c>
    </row>
    <row r="5">
      <c r="A5" s="2" t="n"/>
      <c r="B5" s="2" t="n"/>
      <c r="C5" s="2" t="n"/>
      <c r="D5" s="2" t="n"/>
      <c r="E5" s="2" t="n"/>
      <c r="F5" s="2" t="n"/>
      <c r="G5" s="2" t="n"/>
      <c r="H5" s="2" t="n"/>
      <c r="I5" s="2" t="n"/>
      <c r="J5" s="2" t="n"/>
      <c r="K5" s="2" t="n"/>
      <c r="L5" s="2" t="inlineStr">
        <is>
          <t>OPEN</t>
        </is>
      </c>
    </row>
    <row r="6">
      <c r="A6" s="2" t="n"/>
      <c r="B6" s="2" t="n"/>
      <c r="C6" s="2" t="n"/>
      <c r="D6" s="2" t="n"/>
      <c r="E6" s="2" t="n"/>
      <c r="F6" s="2" t="n"/>
      <c r="G6" s="2" t="n"/>
      <c r="H6" s="2" t="n"/>
      <c r="I6" s="2" t="n"/>
      <c r="J6" s="2" t="n"/>
      <c r="K6" s="2" t="n"/>
      <c r="L6" s="2" t="inlineStr">
        <is>
          <t>OPEN</t>
        </is>
      </c>
    </row>
    <row r="7">
      <c r="A7" s="2" t="n"/>
      <c r="B7" s="2" t="n"/>
      <c r="C7" s="2" t="n"/>
      <c r="D7" s="2" t="n"/>
      <c r="E7" s="2" t="n"/>
      <c r="F7" s="2" t="n"/>
      <c r="G7" s="2" t="n"/>
      <c r="H7" s="2" t="n"/>
      <c r="I7" s="2" t="n"/>
      <c r="J7" s="2" t="n"/>
      <c r="K7" s="2" t="n"/>
      <c r="L7" s="2" t="inlineStr">
        <is>
          <t>OPEN</t>
        </is>
      </c>
    </row>
    <row r="8">
      <c r="A8" s="2" t="n"/>
      <c r="B8" s="2" t="n"/>
      <c r="C8" s="2" t="n"/>
      <c r="D8" s="2" t="n"/>
      <c r="E8" s="2" t="n"/>
      <c r="F8" s="2" t="n"/>
      <c r="G8" s="2" t="n"/>
      <c r="H8" s="2" t="n"/>
      <c r="I8" s="2" t="n"/>
      <c r="J8" s="2" t="n"/>
      <c r="K8" s="2" t="n"/>
      <c r="L8" s="2" t="inlineStr">
        <is>
          <t>OPEN</t>
        </is>
      </c>
    </row>
    <row r="9">
      <c r="A9" s="2" t="n"/>
      <c r="B9" s="2" t="n"/>
      <c r="C9" s="2" t="n"/>
      <c r="D9" s="2" t="n"/>
      <c r="E9" s="2" t="n"/>
      <c r="F9" s="2" t="n"/>
      <c r="G9" s="2" t="n"/>
      <c r="H9" s="2" t="n"/>
      <c r="I9" s="2" t="n"/>
      <c r="J9" s="2" t="n"/>
      <c r="K9" s="2" t="n"/>
      <c r="L9" s="2" t="inlineStr">
        <is>
          <t>OPEN</t>
        </is>
      </c>
    </row>
    <row r="10">
      <c r="A10" s="2" t="n"/>
      <c r="B10" s="2" t="n"/>
      <c r="C10" s="2" t="n"/>
      <c r="D10" s="2" t="n"/>
      <c r="E10" s="2" t="n"/>
      <c r="F10" s="2" t="n"/>
      <c r="G10" s="2" t="n"/>
      <c r="H10" s="2" t="n"/>
      <c r="I10" s="2" t="n"/>
      <c r="J10" s="2" t="n"/>
      <c r="K10" s="2" t="n"/>
      <c r="L10" s="2" t="inlineStr">
        <is>
          <t>OPEN</t>
        </is>
      </c>
    </row>
    <row r="11">
      <c r="A11" s="2" t="n"/>
      <c r="B11" s="2" t="n"/>
      <c r="C11" s="2" t="n"/>
      <c r="D11" s="2" t="n"/>
      <c r="E11" s="2" t="n"/>
      <c r="F11" s="2" t="n"/>
      <c r="G11" s="2" t="n"/>
      <c r="H11" s="2" t="n"/>
      <c r="I11" s="2" t="n"/>
      <c r="J11" s="2" t="n"/>
      <c r="K11" s="2" t="n"/>
      <c r="L11" s="2" t="inlineStr">
        <is>
          <t>OPEN</t>
        </is>
      </c>
    </row>
    <row r="12">
      <c r="A12" s="2" t="n"/>
      <c r="B12" s="2" t="n"/>
      <c r="C12" s="2" t="n"/>
      <c r="D12" s="2" t="n"/>
      <c r="E12" s="2" t="n"/>
      <c r="F12" s="2" t="n"/>
      <c r="G12" s="2" t="n"/>
      <c r="H12" s="2" t="n"/>
      <c r="I12" s="2" t="n"/>
      <c r="J12" s="2" t="n"/>
      <c r="K12" s="2" t="n"/>
      <c r="L12" s="2" t="inlineStr">
        <is>
          <t>OPEN</t>
        </is>
      </c>
    </row>
    <row r="13">
      <c r="A13" s="2" t="n"/>
      <c r="B13" s="2" t="n"/>
      <c r="C13" s="2" t="n"/>
      <c r="D13" s="2" t="n"/>
      <c r="E13" s="2" t="n"/>
      <c r="F13" s="2" t="n"/>
      <c r="G13" s="2" t="n"/>
      <c r="H13" s="2" t="n"/>
      <c r="I13" s="2" t="n"/>
      <c r="J13" s="2" t="n"/>
      <c r="K13" s="2" t="n"/>
      <c r="L13" s="2" t="inlineStr">
        <is>
          <t>OPEN</t>
        </is>
      </c>
    </row>
    <row r="14">
      <c r="A14" s="2" t="n"/>
      <c r="B14" s="2" t="n"/>
      <c r="C14" s="2" t="n"/>
      <c r="D14" s="2" t="n"/>
      <c r="E14" s="2" t="n"/>
      <c r="F14" s="2" t="n"/>
      <c r="G14" s="2" t="n"/>
      <c r="H14" s="2" t="n"/>
      <c r="I14" s="2" t="n"/>
      <c r="J14" s="2" t="n"/>
      <c r="K14" s="2" t="n"/>
      <c r="L14" s="2" t="inlineStr">
        <is>
          <t>OPEN</t>
        </is>
      </c>
    </row>
    <row r="15">
      <c r="A15" s="2" t="n"/>
      <c r="B15" s="2" t="n"/>
      <c r="C15" s="2" t="n"/>
      <c r="D15" s="2" t="n"/>
      <c r="E15" s="2" t="n"/>
      <c r="F15" s="2" t="n"/>
      <c r="G15" s="2" t="n"/>
      <c r="H15" s="2" t="n"/>
      <c r="I15" s="2" t="n"/>
      <c r="J15" s="2" t="n"/>
      <c r="K15" s="2" t="n"/>
      <c r="L15" s="2" t="inlineStr">
        <is>
          <t>OPEN</t>
        </is>
      </c>
    </row>
    <row r="16">
      <c r="A16" s="2" t="n"/>
      <c r="B16" s="2" t="n"/>
      <c r="C16" s="2" t="n"/>
      <c r="D16" s="2" t="n"/>
      <c r="E16" s="2" t="n"/>
      <c r="F16" s="2" t="n"/>
      <c r="G16" s="2" t="n"/>
      <c r="H16" s="2" t="n"/>
      <c r="I16" s="2" t="n"/>
      <c r="J16" s="2" t="n"/>
      <c r="K16" s="2" t="n"/>
      <c r="L16" s="2" t="inlineStr">
        <is>
          <t>OPEN</t>
        </is>
      </c>
    </row>
    <row r="17">
      <c r="A17" s="2" t="n"/>
      <c r="B17" s="2" t="n"/>
      <c r="C17" s="2" t="n"/>
      <c r="D17" s="2" t="n"/>
      <c r="E17" s="2" t="n"/>
      <c r="F17" s="2" t="n"/>
      <c r="G17" s="2" t="n"/>
      <c r="H17" s="2" t="n"/>
      <c r="I17" s="2" t="n"/>
      <c r="J17" s="2" t="n"/>
      <c r="K17" s="2" t="n"/>
      <c r="L17" s="2" t="inlineStr">
        <is>
          <t>OPEN</t>
        </is>
      </c>
    </row>
    <row r="18">
      <c r="A18" s="2" t="n"/>
      <c r="B18" s="2" t="n"/>
      <c r="C18" s="2" t="n"/>
      <c r="D18" s="2" t="n"/>
      <c r="E18" s="2" t="n"/>
      <c r="F18" s="2" t="n"/>
      <c r="G18" s="2" t="n"/>
      <c r="H18" s="2" t="n"/>
      <c r="I18" s="2" t="n"/>
      <c r="J18" s="2" t="n"/>
      <c r="K18" s="2" t="n"/>
      <c r="L18" s="2" t="inlineStr">
        <is>
          <t>OPEN</t>
        </is>
      </c>
    </row>
    <row r="19">
      <c r="A19" s="2" t="n"/>
      <c r="B19" s="2" t="n"/>
      <c r="C19" s="2" t="n"/>
      <c r="D19" s="2" t="n"/>
      <c r="E19" s="2" t="n"/>
      <c r="F19" s="2" t="n"/>
      <c r="G19" s="2" t="n"/>
      <c r="H19" s="2" t="n"/>
      <c r="I19" s="2" t="n"/>
      <c r="J19" s="2" t="n"/>
      <c r="K19" s="2" t="n"/>
      <c r="L19" s="2" t="inlineStr">
        <is>
          <t>OPEN</t>
        </is>
      </c>
    </row>
    <row r="20">
      <c r="A20" s="2" t="n"/>
      <c r="B20" s="2" t="n"/>
      <c r="C20" s="2" t="n"/>
      <c r="D20" s="2" t="n"/>
      <c r="E20" s="2" t="n"/>
      <c r="F20" s="2" t="n"/>
      <c r="G20" s="2" t="n"/>
      <c r="H20" s="2" t="n"/>
      <c r="I20" s="2" t="n"/>
      <c r="J20" s="2" t="n"/>
      <c r="K20" s="2" t="n"/>
      <c r="L20" s="2" t="inlineStr">
        <is>
          <t>OPEN</t>
        </is>
      </c>
    </row>
    <row r="21">
      <c r="A21" s="2" t="n"/>
      <c r="B21" s="2" t="n"/>
      <c r="C21" s="2" t="n"/>
      <c r="D21" s="2" t="n"/>
      <c r="E21" s="2" t="n"/>
      <c r="F21" s="2" t="n"/>
      <c r="G21" s="2" t="n"/>
      <c r="H21" s="2" t="n"/>
      <c r="I21" s="2" t="n"/>
      <c r="J21" s="2" t="n"/>
      <c r="K21" s="2" t="n"/>
      <c r="L21" s="2" t="inlineStr">
        <is>
          <t>OPEN</t>
        </is>
      </c>
    </row>
  </sheetData>
  <autoFilter ref="A1:L2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41"/>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s>
  <sheetData>
    <row r="1">
      <c r="A1" s="1" t="inlineStr">
        <is>
          <t>Bridge</t>
        </is>
      </c>
      <c r="B1" s="1" t="inlineStr">
        <is>
          <t>Boundary</t>
        </is>
      </c>
      <c r="C1" s="1" t="inlineStr">
        <is>
          <t>Required dossier</t>
        </is>
      </c>
      <c r="D1" s="1" t="inlineStr">
        <is>
          <t>Owner</t>
        </is>
      </c>
      <c r="E1" s="1" t="inlineStr">
        <is>
          <t>Blocking punch status</t>
        </is>
      </c>
      <c r="F1" s="1" t="inlineStr">
        <is>
          <t>Company acceptance</t>
        </is>
      </c>
      <c r="G1" s="1" t="inlineStr">
        <is>
          <t>Evidence</t>
        </is>
      </c>
    </row>
    <row r="2">
      <c r="A2" s="2" t="inlineStr">
        <is>
          <t>ICW-ICG UD</t>
        </is>
      </c>
      <c r="B2" s="2" t="inlineStr">
        <is>
          <t>Structure/bearings</t>
        </is>
      </c>
      <c r="C2" s="2" t="inlineStr">
        <is>
          <t>As-built geometry, weld/NDT/coating, MTC, bearing setting and inspection</t>
        </is>
      </c>
      <c r="D2" s="2" t="inlineStr">
        <is>
          <t>Completions</t>
        </is>
      </c>
      <c r="E2" s="2" t="inlineStr">
        <is>
          <t>NOT ESTABLISHED</t>
        </is>
      </c>
      <c r="F2" s="2" t="inlineStr">
        <is>
          <t>NOT ACCEPTED</t>
        </is>
      </c>
      <c r="G2" s="2" t="n"/>
    </row>
    <row r="3">
      <c r="A3" s="2" t="inlineStr">
        <is>
          <t>ICW-ICG UD</t>
        </is>
      </c>
      <c r="B3" s="2" t="inlineStr">
        <is>
          <t>Services</t>
        </is>
      </c>
      <c r="C3" s="2" t="inlineStr">
        <is>
          <t>Isolation/transfer and accepted pressure/electrical/instrument functional tests as applicable</t>
        </is>
      </c>
      <c r="D3" s="2" t="inlineStr">
        <is>
          <t>Completions</t>
        </is>
      </c>
      <c r="E3" s="2" t="inlineStr">
        <is>
          <t>NOT ESTABLISHED</t>
        </is>
      </c>
      <c r="F3" s="2" t="inlineStr">
        <is>
          <t>NOT ACCEPTED</t>
        </is>
      </c>
      <c r="G3" s="2" t="n"/>
    </row>
    <row r="4">
      <c r="A4" s="2" t="inlineStr">
        <is>
          <t>ICW-ICG UD</t>
        </is>
      </c>
      <c r="B4" s="2" t="inlineStr">
        <is>
          <t>Scrap</t>
        </is>
      </c>
      <c r="C4" s="2" t="inlineStr">
        <is>
          <t>Removal/backload/transport and ONGC yard receipt</t>
        </is>
      </c>
      <c r="D4" s="2" t="inlineStr">
        <is>
          <t>Completions</t>
        </is>
      </c>
      <c r="E4" s="2" t="inlineStr">
        <is>
          <t>NOT ESTABLISHED</t>
        </is>
      </c>
      <c r="F4" s="2" t="inlineStr">
        <is>
          <t>NOT ACCEPTED</t>
        </is>
      </c>
      <c r="G4" s="2" t="n"/>
    </row>
    <row r="5">
      <c r="A5" s="2" t="inlineStr">
        <is>
          <t>ICW-ICG UD</t>
        </is>
      </c>
      <c r="B5" s="2" t="inlineStr">
        <is>
          <t>Documentation</t>
        </is>
      </c>
      <c r="C5" s="2" t="inlineStr">
        <is>
          <t>Native/as-built drawings/calculations/vendor data and accepted dossier index</t>
        </is>
      </c>
      <c r="D5" s="2" t="inlineStr">
        <is>
          <t>Completions</t>
        </is>
      </c>
      <c r="E5" s="2" t="inlineStr">
        <is>
          <t>NOT ESTABLISHED</t>
        </is>
      </c>
      <c r="F5" s="2" t="inlineStr">
        <is>
          <t>NOT ACCEPTED</t>
        </is>
      </c>
      <c r="G5" s="2" t="n"/>
    </row>
    <row r="6">
      <c r="A6" s="2" t="inlineStr">
        <is>
          <t>ICW-ICG LD</t>
        </is>
      </c>
      <c r="B6" s="2" t="inlineStr">
        <is>
          <t>Structure/bearings</t>
        </is>
      </c>
      <c r="C6" s="2" t="inlineStr">
        <is>
          <t>As-built geometry, weld/NDT/coating, MTC, bearing setting and inspection</t>
        </is>
      </c>
      <c r="D6" s="2" t="inlineStr">
        <is>
          <t>Completions</t>
        </is>
      </c>
      <c r="E6" s="2" t="inlineStr">
        <is>
          <t>NOT ESTABLISHED</t>
        </is>
      </c>
      <c r="F6" s="2" t="inlineStr">
        <is>
          <t>NOT ACCEPTED</t>
        </is>
      </c>
      <c r="G6" s="2" t="n"/>
    </row>
    <row r="7">
      <c r="A7" s="2" t="inlineStr">
        <is>
          <t>ICW-ICG LD</t>
        </is>
      </c>
      <c r="B7" s="2" t="inlineStr">
        <is>
          <t>Services</t>
        </is>
      </c>
      <c r="C7" s="2" t="inlineStr">
        <is>
          <t>Isolation/transfer and accepted pressure/electrical/instrument functional tests as applicable</t>
        </is>
      </c>
      <c r="D7" s="2" t="inlineStr">
        <is>
          <t>Completions</t>
        </is>
      </c>
      <c r="E7" s="2" t="inlineStr">
        <is>
          <t>NOT ESTABLISHED</t>
        </is>
      </c>
      <c r="F7" s="2" t="inlineStr">
        <is>
          <t>NOT ACCEPTED</t>
        </is>
      </c>
      <c r="G7" s="2" t="n"/>
    </row>
    <row r="8">
      <c r="A8" s="2" t="inlineStr">
        <is>
          <t>ICW-ICG LD</t>
        </is>
      </c>
      <c r="B8" s="2" t="inlineStr">
        <is>
          <t>Scrap</t>
        </is>
      </c>
      <c r="C8" s="2" t="inlineStr">
        <is>
          <t>Removal/backload/transport and ONGC yard receipt</t>
        </is>
      </c>
      <c r="D8" s="2" t="inlineStr">
        <is>
          <t>Completions</t>
        </is>
      </c>
      <c r="E8" s="2" t="inlineStr">
        <is>
          <t>NOT ESTABLISHED</t>
        </is>
      </c>
      <c r="F8" s="2" t="inlineStr">
        <is>
          <t>NOT ACCEPTED</t>
        </is>
      </c>
      <c r="G8" s="2" t="n"/>
    </row>
    <row r="9">
      <c r="A9" s="2" t="inlineStr">
        <is>
          <t>ICW-ICG LD</t>
        </is>
      </c>
      <c r="B9" s="2" t="inlineStr">
        <is>
          <t>Documentation</t>
        </is>
      </c>
      <c r="C9" s="2" t="inlineStr">
        <is>
          <t>Native/as-built drawings/calculations/vendor data and accepted dossier index</t>
        </is>
      </c>
      <c r="D9" s="2" t="inlineStr">
        <is>
          <t>Completions</t>
        </is>
      </c>
      <c r="E9" s="2" t="inlineStr">
        <is>
          <t>NOT ESTABLISHED</t>
        </is>
      </c>
      <c r="F9" s="2" t="inlineStr">
        <is>
          <t>NOT ACCEPTED</t>
        </is>
      </c>
      <c r="G9" s="2" t="n"/>
    </row>
    <row r="10">
      <c r="A10" s="2" t="inlineStr">
        <is>
          <t>ICG-ICP UD</t>
        </is>
      </c>
      <c r="B10" s="2" t="inlineStr">
        <is>
          <t>Structure/bearings</t>
        </is>
      </c>
      <c r="C10" s="2" t="inlineStr">
        <is>
          <t>As-built geometry, weld/NDT/coating, MTC, bearing setting and inspection</t>
        </is>
      </c>
      <c r="D10" s="2" t="inlineStr">
        <is>
          <t>Completions</t>
        </is>
      </c>
      <c r="E10" s="2" t="inlineStr">
        <is>
          <t>NOT ESTABLISHED</t>
        </is>
      </c>
      <c r="F10" s="2" t="inlineStr">
        <is>
          <t>NOT ACCEPTED</t>
        </is>
      </c>
      <c r="G10" s="2" t="n"/>
    </row>
    <row r="11">
      <c r="A11" s="2" t="inlineStr">
        <is>
          <t>ICG-ICP UD</t>
        </is>
      </c>
      <c r="B11" s="2" t="inlineStr">
        <is>
          <t>Services</t>
        </is>
      </c>
      <c r="C11" s="2" t="inlineStr">
        <is>
          <t>Isolation/transfer and accepted pressure/electrical/instrument functional tests as applicable</t>
        </is>
      </c>
      <c r="D11" s="2" t="inlineStr">
        <is>
          <t>Completions</t>
        </is>
      </c>
      <c r="E11" s="2" t="inlineStr">
        <is>
          <t>NOT ESTABLISHED</t>
        </is>
      </c>
      <c r="F11" s="2" t="inlineStr">
        <is>
          <t>NOT ACCEPTED</t>
        </is>
      </c>
      <c r="G11" s="2" t="n"/>
    </row>
    <row r="12">
      <c r="A12" s="2" t="inlineStr">
        <is>
          <t>ICG-ICP UD</t>
        </is>
      </c>
      <c r="B12" s="2" t="inlineStr">
        <is>
          <t>Scrap</t>
        </is>
      </c>
      <c r="C12" s="2" t="inlineStr">
        <is>
          <t>Removal/backload/transport and ONGC yard receipt</t>
        </is>
      </c>
      <c r="D12" s="2" t="inlineStr">
        <is>
          <t>Completions</t>
        </is>
      </c>
      <c r="E12" s="2" t="inlineStr">
        <is>
          <t>NOT ESTABLISHED</t>
        </is>
      </c>
      <c r="F12" s="2" t="inlineStr">
        <is>
          <t>NOT ACCEPTED</t>
        </is>
      </c>
      <c r="G12" s="2" t="n"/>
    </row>
    <row r="13">
      <c r="A13" s="2" t="inlineStr">
        <is>
          <t>ICG-ICP UD</t>
        </is>
      </c>
      <c r="B13" s="2" t="inlineStr">
        <is>
          <t>Documentation</t>
        </is>
      </c>
      <c r="C13" s="2" t="inlineStr">
        <is>
          <t>Native/as-built drawings/calculations/vendor data and accepted dossier index</t>
        </is>
      </c>
      <c r="D13" s="2" t="inlineStr">
        <is>
          <t>Completions</t>
        </is>
      </c>
      <c r="E13" s="2" t="inlineStr">
        <is>
          <t>NOT ESTABLISHED</t>
        </is>
      </c>
      <c r="F13" s="2" t="inlineStr">
        <is>
          <t>NOT ACCEPTED</t>
        </is>
      </c>
      <c r="G13" s="2" t="n"/>
    </row>
    <row r="14">
      <c r="A14" s="2" t="inlineStr">
        <is>
          <t>ICG-ICP LD</t>
        </is>
      </c>
      <c r="B14" s="2" t="inlineStr">
        <is>
          <t>Structure/bearings</t>
        </is>
      </c>
      <c r="C14" s="2" t="inlineStr">
        <is>
          <t>As-built geometry, weld/NDT/coating, MTC, bearing setting and inspection</t>
        </is>
      </c>
      <c r="D14" s="2" t="inlineStr">
        <is>
          <t>Completions</t>
        </is>
      </c>
      <c r="E14" s="2" t="inlineStr">
        <is>
          <t>NOT ESTABLISHED</t>
        </is>
      </c>
      <c r="F14" s="2" t="inlineStr">
        <is>
          <t>NOT ACCEPTED</t>
        </is>
      </c>
      <c r="G14" s="2" t="n"/>
    </row>
    <row r="15">
      <c r="A15" s="2" t="inlineStr">
        <is>
          <t>ICG-ICP LD</t>
        </is>
      </c>
      <c r="B15" s="2" t="inlineStr">
        <is>
          <t>Services</t>
        </is>
      </c>
      <c r="C15" s="2" t="inlineStr">
        <is>
          <t>Isolation/transfer and accepted pressure/electrical/instrument functional tests as applicable</t>
        </is>
      </c>
      <c r="D15" s="2" t="inlineStr">
        <is>
          <t>Completions</t>
        </is>
      </c>
      <c r="E15" s="2" t="inlineStr">
        <is>
          <t>NOT ESTABLISHED</t>
        </is>
      </c>
      <c r="F15" s="2" t="inlineStr">
        <is>
          <t>NOT ACCEPTED</t>
        </is>
      </c>
      <c r="G15" s="2" t="n"/>
    </row>
    <row r="16">
      <c r="A16" s="2" t="inlineStr">
        <is>
          <t>ICG-ICP LD</t>
        </is>
      </c>
      <c r="B16" s="2" t="inlineStr">
        <is>
          <t>Scrap</t>
        </is>
      </c>
      <c r="C16" s="2" t="inlineStr">
        <is>
          <t>Removal/backload/transport and ONGC yard receipt</t>
        </is>
      </c>
      <c r="D16" s="2" t="inlineStr">
        <is>
          <t>Completions</t>
        </is>
      </c>
      <c r="E16" s="2" t="inlineStr">
        <is>
          <t>NOT ESTABLISHED</t>
        </is>
      </c>
      <c r="F16" s="2" t="inlineStr">
        <is>
          <t>NOT ACCEPTED</t>
        </is>
      </c>
      <c r="G16" s="2" t="n"/>
    </row>
    <row r="17">
      <c r="A17" s="2" t="inlineStr">
        <is>
          <t>ICG-ICP LD</t>
        </is>
      </c>
      <c r="B17" s="2" t="inlineStr">
        <is>
          <t>Documentation</t>
        </is>
      </c>
      <c r="C17" s="2" t="inlineStr">
        <is>
          <t>Native/as-built drawings/calculations/vendor data and accepted dossier index</t>
        </is>
      </c>
      <c r="D17" s="2" t="inlineStr">
        <is>
          <t>Completions</t>
        </is>
      </c>
      <c r="E17" s="2" t="inlineStr">
        <is>
          <t>NOT ESTABLISHED</t>
        </is>
      </c>
      <c r="F17" s="2" t="inlineStr">
        <is>
          <t>NOT ACCEPTED</t>
        </is>
      </c>
      <c r="G17" s="2" t="n"/>
    </row>
    <row r="18">
      <c r="A18" s="2" t="inlineStr">
        <is>
          <t>BHS-SLQ</t>
        </is>
      </c>
      <c r="B18" s="2" t="inlineStr">
        <is>
          <t>Structure/bearings</t>
        </is>
      </c>
      <c r="C18" s="2" t="inlineStr">
        <is>
          <t>As-built geometry, weld/NDT/coating, MTC, bearing setting and inspection</t>
        </is>
      </c>
      <c r="D18" s="2" t="inlineStr">
        <is>
          <t>Completions</t>
        </is>
      </c>
      <c r="E18" s="2" t="inlineStr">
        <is>
          <t>NOT ESTABLISHED</t>
        </is>
      </c>
      <c r="F18" s="2" t="inlineStr">
        <is>
          <t>NOT ACCEPTED</t>
        </is>
      </c>
      <c r="G18" s="2" t="n"/>
    </row>
    <row r="19">
      <c r="A19" s="2" t="inlineStr">
        <is>
          <t>BHS-SLQ</t>
        </is>
      </c>
      <c r="B19" s="2" t="inlineStr">
        <is>
          <t>Services</t>
        </is>
      </c>
      <c r="C19" s="2" t="inlineStr">
        <is>
          <t>Isolation/transfer and accepted pressure/electrical/instrument functional tests as applicable</t>
        </is>
      </c>
      <c r="D19" s="2" t="inlineStr">
        <is>
          <t>Completions</t>
        </is>
      </c>
      <c r="E19" s="2" t="inlineStr">
        <is>
          <t>NOT ESTABLISHED</t>
        </is>
      </c>
      <c r="F19" s="2" t="inlineStr">
        <is>
          <t>NOT ACCEPTED</t>
        </is>
      </c>
      <c r="G19" s="2" t="n"/>
    </row>
    <row r="20">
      <c r="A20" s="2" t="inlineStr">
        <is>
          <t>BHS-SLQ</t>
        </is>
      </c>
      <c r="B20" s="2" t="inlineStr">
        <is>
          <t>Scrap</t>
        </is>
      </c>
      <c r="C20" s="2" t="inlineStr">
        <is>
          <t>Removal/backload/transport and ONGC yard receipt</t>
        </is>
      </c>
      <c r="D20" s="2" t="inlineStr">
        <is>
          <t>Completions</t>
        </is>
      </c>
      <c r="E20" s="2" t="inlineStr">
        <is>
          <t>NOT ESTABLISHED</t>
        </is>
      </c>
      <c r="F20" s="2" t="inlineStr">
        <is>
          <t>NOT ACCEPTED</t>
        </is>
      </c>
      <c r="G20" s="2" t="n"/>
    </row>
    <row r="21">
      <c r="A21" s="2" t="inlineStr">
        <is>
          <t>BHS-SLQ</t>
        </is>
      </c>
      <c r="B21" s="2" t="inlineStr">
        <is>
          <t>Documentation</t>
        </is>
      </c>
      <c r="C21" s="2" t="inlineStr">
        <is>
          <t>Native/as-built drawings/calculations/vendor data and accepted dossier index</t>
        </is>
      </c>
      <c r="D21" s="2" t="inlineStr">
        <is>
          <t>Completions</t>
        </is>
      </c>
      <c r="E21" s="2" t="inlineStr">
        <is>
          <t>NOT ESTABLISHED</t>
        </is>
      </c>
      <c r="F21" s="2" t="inlineStr">
        <is>
          <t>NOT ACCEPTED</t>
        </is>
      </c>
      <c r="G21" s="2" t="n"/>
    </row>
    <row r="22">
      <c r="A22" s="2" t="inlineStr">
        <is>
          <t>SLQ-WIS</t>
        </is>
      </c>
      <c r="B22" s="2" t="inlineStr">
        <is>
          <t>Structure/bearings</t>
        </is>
      </c>
      <c r="C22" s="2" t="inlineStr">
        <is>
          <t>As-built geometry, weld/NDT/coating, MTC, bearing setting and inspection</t>
        </is>
      </c>
      <c r="D22" s="2" t="inlineStr">
        <is>
          <t>Completions</t>
        </is>
      </c>
      <c r="E22" s="2" t="inlineStr">
        <is>
          <t>NOT ESTABLISHED</t>
        </is>
      </c>
      <c r="F22" s="2" t="inlineStr">
        <is>
          <t>NOT ACCEPTED</t>
        </is>
      </c>
      <c r="G22" s="2" t="n"/>
    </row>
    <row r="23">
      <c r="A23" s="2" t="inlineStr">
        <is>
          <t>SLQ-WIS</t>
        </is>
      </c>
      <c r="B23" s="2" t="inlineStr">
        <is>
          <t>Services</t>
        </is>
      </c>
      <c r="C23" s="2" t="inlineStr">
        <is>
          <t>Isolation/transfer and accepted pressure/electrical/instrument functional tests as applicable</t>
        </is>
      </c>
      <c r="D23" s="2" t="inlineStr">
        <is>
          <t>Completions</t>
        </is>
      </c>
      <c r="E23" s="2" t="inlineStr">
        <is>
          <t>NOT ESTABLISHED</t>
        </is>
      </c>
      <c r="F23" s="2" t="inlineStr">
        <is>
          <t>NOT ACCEPTED</t>
        </is>
      </c>
      <c r="G23" s="2" t="n"/>
    </row>
    <row r="24">
      <c r="A24" s="2" t="inlineStr">
        <is>
          <t>SLQ-WIS</t>
        </is>
      </c>
      <c r="B24" s="2" t="inlineStr">
        <is>
          <t>Scrap</t>
        </is>
      </c>
      <c r="C24" s="2" t="inlineStr">
        <is>
          <t>Removal/backload/transport and ONGC yard receipt</t>
        </is>
      </c>
      <c r="D24" s="2" t="inlineStr">
        <is>
          <t>Completions</t>
        </is>
      </c>
      <c r="E24" s="2" t="inlineStr">
        <is>
          <t>NOT ESTABLISHED</t>
        </is>
      </c>
      <c r="F24" s="2" t="inlineStr">
        <is>
          <t>NOT ACCEPTED</t>
        </is>
      </c>
      <c r="G24" s="2" t="n"/>
    </row>
    <row r="25">
      <c r="A25" s="2" t="inlineStr">
        <is>
          <t>SLQ-WIS</t>
        </is>
      </c>
      <c r="B25" s="2" t="inlineStr">
        <is>
          <t>Documentation</t>
        </is>
      </c>
      <c r="C25" s="2" t="inlineStr">
        <is>
          <t>Native/as-built drawings/calculations/vendor data and accepted dossier index</t>
        </is>
      </c>
      <c r="D25" s="2" t="inlineStr">
        <is>
          <t>Completions</t>
        </is>
      </c>
      <c r="E25" s="2" t="inlineStr">
        <is>
          <t>NOT ESTABLISHED</t>
        </is>
      </c>
      <c r="F25" s="2" t="inlineStr">
        <is>
          <t>NOT ACCEPTED</t>
        </is>
      </c>
      <c r="G25" s="2" t="n"/>
    </row>
    <row r="26">
      <c r="A26" s="2" t="inlineStr">
        <is>
          <t>NQO-NQD</t>
        </is>
      </c>
      <c r="B26" s="2" t="inlineStr">
        <is>
          <t>Structure/bearings</t>
        </is>
      </c>
      <c r="C26" s="2" t="inlineStr">
        <is>
          <t>As-built geometry, weld/NDT/coating, MTC, bearing setting and inspection</t>
        </is>
      </c>
      <c r="D26" s="2" t="inlineStr">
        <is>
          <t>Completions</t>
        </is>
      </c>
      <c r="E26" s="2" t="inlineStr">
        <is>
          <t>NOT ESTABLISHED</t>
        </is>
      </c>
      <c r="F26" s="2" t="inlineStr">
        <is>
          <t>NOT ACCEPTED</t>
        </is>
      </c>
      <c r="G26" s="2" t="n"/>
    </row>
    <row r="27">
      <c r="A27" s="2" t="inlineStr">
        <is>
          <t>NQO-NQD</t>
        </is>
      </c>
      <c r="B27" s="2" t="inlineStr">
        <is>
          <t>Services</t>
        </is>
      </c>
      <c r="C27" s="2" t="inlineStr">
        <is>
          <t>Isolation/transfer and accepted pressure/electrical/instrument functional tests as applicable</t>
        </is>
      </c>
      <c r="D27" s="2" t="inlineStr">
        <is>
          <t>Completions</t>
        </is>
      </c>
      <c r="E27" s="2" t="inlineStr">
        <is>
          <t>NOT ESTABLISHED</t>
        </is>
      </c>
      <c r="F27" s="2" t="inlineStr">
        <is>
          <t>NOT ACCEPTED</t>
        </is>
      </c>
      <c r="G27" s="2" t="n"/>
    </row>
    <row r="28">
      <c r="A28" s="2" t="inlineStr">
        <is>
          <t>NQO-NQD</t>
        </is>
      </c>
      <c r="B28" s="2" t="inlineStr">
        <is>
          <t>Scrap</t>
        </is>
      </c>
      <c r="C28" s="2" t="inlineStr">
        <is>
          <t>Removal/backload/transport and ONGC yard receipt</t>
        </is>
      </c>
      <c r="D28" s="2" t="inlineStr">
        <is>
          <t>Completions</t>
        </is>
      </c>
      <c r="E28" s="2" t="inlineStr">
        <is>
          <t>NOT ESTABLISHED</t>
        </is>
      </c>
      <c r="F28" s="2" t="inlineStr">
        <is>
          <t>NOT ACCEPTED</t>
        </is>
      </c>
      <c r="G28" s="2" t="n"/>
    </row>
    <row r="29">
      <c r="A29" s="2" t="inlineStr">
        <is>
          <t>NQO-NQD</t>
        </is>
      </c>
      <c r="B29" s="2" t="inlineStr">
        <is>
          <t>Documentation</t>
        </is>
      </c>
      <c r="C29" s="2" t="inlineStr">
        <is>
          <t>Native/as-built drawings/calculations/vendor data and accepted dossier index</t>
        </is>
      </c>
      <c r="D29" s="2" t="inlineStr">
        <is>
          <t>Completions</t>
        </is>
      </c>
      <c r="E29" s="2" t="inlineStr">
        <is>
          <t>NOT ESTABLISHED</t>
        </is>
      </c>
      <c r="F29" s="2" t="inlineStr">
        <is>
          <t>NOT ACCEPTED</t>
        </is>
      </c>
      <c r="G29" s="2" t="n"/>
    </row>
    <row r="30">
      <c r="A30" s="2" t="inlineStr">
        <is>
          <t>WIN-NC</t>
        </is>
      </c>
      <c r="B30" s="2" t="inlineStr">
        <is>
          <t>Structure/bearings</t>
        </is>
      </c>
      <c r="C30" s="2" t="inlineStr">
        <is>
          <t>As-built geometry, weld/NDT/coating, MTC, bearing setting and inspection</t>
        </is>
      </c>
      <c r="D30" s="2" t="inlineStr">
        <is>
          <t>Completions</t>
        </is>
      </c>
      <c r="E30" s="2" t="inlineStr">
        <is>
          <t>NOT ESTABLISHED</t>
        </is>
      </c>
      <c r="F30" s="2" t="inlineStr">
        <is>
          <t>NOT ACCEPTED</t>
        </is>
      </c>
      <c r="G30" s="2" t="n"/>
    </row>
    <row r="31">
      <c r="A31" s="2" t="inlineStr">
        <is>
          <t>WIN-NC</t>
        </is>
      </c>
      <c r="B31" s="2" t="inlineStr">
        <is>
          <t>Services</t>
        </is>
      </c>
      <c r="C31" s="2" t="inlineStr">
        <is>
          <t>Isolation/transfer and accepted pressure/electrical/instrument functional tests as applicable</t>
        </is>
      </c>
      <c r="D31" s="2" t="inlineStr">
        <is>
          <t>Completions</t>
        </is>
      </c>
      <c r="E31" s="2" t="inlineStr">
        <is>
          <t>NOT ESTABLISHED</t>
        </is>
      </c>
      <c r="F31" s="2" t="inlineStr">
        <is>
          <t>NOT ACCEPTED</t>
        </is>
      </c>
      <c r="G31" s="2" t="n"/>
    </row>
    <row r="32">
      <c r="A32" s="2" t="inlineStr">
        <is>
          <t>WIN-NC</t>
        </is>
      </c>
      <c r="B32" s="2" t="inlineStr">
        <is>
          <t>Scrap</t>
        </is>
      </c>
      <c r="C32" s="2" t="inlineStr">
        <is>
          <t>Removal/backload/transport and ONGC yard receipt</t>
        </is>
      </c>
      <c r="D32" s="2" t="inlineStr">
        <is>
          <t>Completions</t>
        </is>
      </c>
      <c r="E32" s="2" t="inlineStr">
        <is>
          <t>NOT ESTABLISHED</t>
        </is>
      </c>
      <c r="F32" s="2" t="inlineStr">
        <is>
          <t>NOT ACCEPTED</t>
        </is>
      </c>
      <c r="G32" s="2" t="n"/>
    </row>
    <row r="33">
      <c r="A33" s="2" t="inlineStr">
        <is>
          <t>WIN-NC</t>
        </is>
      </c>
      <c r="B33" s="2" t="inlineStr">
        <is>
          <t>Documentation</t>
        </is>
      </c>
      <c r="C33" s="2" t="inlineStr">
        <is>
          <t>Native/as-built drawings/calculations/vendor data and accepted dossier index</t>
        </is>
      </c>
      <c r="D33" s="2" t="inlineStr">
        <is>
          <t>Completions</t>
        </is>
      </c>
      <c r="E33" s="2" t="inlineStr">
        <is>
          <t>NOT ESTABLISHED</t>
        </is>
      </c>
      <c r="F33" s="2" t="inlineStr">
        <is>
          <t>NOT ACCEPTED</t>
        </is>
      </c>
      <c r="G33" s="2" t="n"/>
    </row>
    <row r="34">
      <c r="A34" s="2" t="inlineStr">
        <is>
          <t>SCA-SC1</t>
        </is>
      </c>
      <c r="B34" s="2" t="inlineStr">
        <is>
          <t>Structure/bearings</t>
        </is>
      </c>
      <c r="C34" s="2" t="inlineStr">
        <is>
          <t>As-built geometry, weld/NDT/coating, MTC, bearing setting and inspection</t>
        </is>
      </c>
      <c r="D34" s="2" t="inlineStr">
        <is>
          <t>Completions</t>
        </is>
      </c>
      <c r="E34" s="2" t="inlineStr">
        <is>
          <t>NOT ESTABLISHED</t>
        </is>
      </c>
      <c r="F34" s="2" t="inlineStr">
        <is>
          <t>NOT ACCEPTED</t>
        </is>
      </c>
      <c r="G34" s="2" t="n"/>
    </row>
    <row r="35">
      <c r="A35" s="2" t="inlineStr">
        <is>
          <t>SCA-SC1</t>
        </is>
      </c>
      <c r="B35" s="2" t="inlineStr">
        <is>
          <t>Services</t>
        </is>
      </c>
      <c r="C35" s="2" t="inlineStr">
        <is>
          <t>Isolation/transfer and accepted pressure/electrical/instrument functional tests as applicable</t>
        </is>
      </c>
      <c r="D35" s="2" t="inlineStr">
        <is>
          <t>Completions</t>
        </is>
      </c>
      <c r="E35" s="2" t="inlineStr">
        <is>
          <t>NOT ESTABLISHED</t>
        </is>
      </c>
      <c r="F35" s="2" t="inlineStr">
        <is>
          <t>NOT ACCEPTED</t>
        </is>
      </c>
      <c r="G35" s="2" t="n"/>
    </row>
    <row r="36">
      <c r="A36" s="2" t="inlineStr">
        <is>
          <t>SCA-SC1</t>
        </is>
      </c>
      <c r="B36" s="2" t="inlineStr">
        <is>
          <t>Scrap</t>
        </is>
      </c>
      <c r="C36" s="2" t="inlineStr">
        <is>
          <t>Removal/backload/transport and ONGC yard receipt</t>
        </is>
      </c>
      <c r="D36" s="2" t="inlineStr">
        <is>
          <t>Completions</t>
        </is>
      </c>
      <c r="E36" s="2" t="inlineStr">
        <is>
          <t>NOT ESTABLISHED</t>
        </is>
      </c>
      <c r="F36" s="2" t="inlineStr">
        <is>
          <t>NOT ACCEPTED</t>
        </is>
      </c>
      <c r="G36" s="2" t="n"/>
    </row>
    <row r="37">
      <c r="A37" s="2" t="inlineStr">
        <is>
          <t>SCA-SC1</t>
        </is>
      </c>
      <c r="B37" s="2" t="inlineStr">
        <is>
          <t>Documentation</t>
        </is>
      </c>
      <c r="C37" s="2" t="inlineStr">
        <is>
          <t>Native/as-built drawings/calculations/vendor data and accepted dossier index</t>
        </is>
      </c>
      <c r="D37" s="2" t="inlineStr">
        <is>
          <t>Completions</t>
        </is>
      </c>
      <c r="E37" s="2" t="inlineStr">
        <is>
          <t>NOT ESTABLISHED</t>
        </is>
      </c>
      <c r="F37" s="2" t="inlineStr">
        <is>
          <t>NOT ACCEPTED</t>
        </is>
      </c>
      <c r="G37" s="2" t="n"/>
    </row>
    <row r="38">
      <c r="A38" s="2" t="inlineStr">
        <is>
          <t>SCA-SCF</t>
        </is>
      </c>
      <c r="B38" s="2" t="inlineStr">
        <is>
          <t>Structure/bearings</t>
        </is>
      </c>
      <c r="C38" s="2" t="inlineStr">
        <is>
          <t>As-built geometry, weld/NDT/coating, MTC, bearing setting and inspection</t>
        </is>
      </c>
      <c r="D38" s="2" t="inlineStr">
        <is>
          <t>Completions</t>
        </is>
      </c>
      <c r="E38" s="2" t="inlineStr">
        <is>
          <t>NOT ESTABLISHED</t>
        </is>
      </c>
      <c r="F38" s="2" t="inlineStr">
        <is>
          <t>NOT ACCEPTED</t>
        </is>
      </c>
      <c r="G38" s="2" t="n"/>
    </row>
    <row r="39">
      <c r="A39" s="2" t="inlineStr">
        <is>
          <t>SCA-SCF</t>
        </is>
      </c>
      <c r="B39" s="2" t="inlineStr">
        <is>
          <t>Services</t>
        </is>
      </c>
      <c r="C39" s="2" t="inlineStr">
        <is>
          <t>Isolation/transfer and accepted pressure/electrical/instrument functional tests as applicable</t>
        </is>
      </c>
      <c r="D39" s="2" t="inlineStr">
        <is>
          <t>Completions</t>
        </is>
      </c>
      <c r="E39" s="2" t="inlineStr">
        <is>
          <t>NOT ESTABLISHED</t>
        </is>
      </c>
      <c r="F39" s="2" t="inlineStr">
        <is>
          <t>NOT ACCEPTED</t>
        </is>
      </c>
      <c r="G39" s="2" t="n"/>
    </row>
    <row r="40">
      <c r="A40" s="2" t="inlineStr">
        <is>
          <t>SCA-SCF</t>
        </is>
      </c>
      <c r="B40" s="2" t="inlineStr">
        <is>
          <t>Scrap</t>
        </is>
      </c>
      <c r="C40" s="2" t="inlineStr">
        <is>
          <t>Removal/backload/transport and ONGC yard receipt</t>
        </is>
      </c>
      <c r="D40" s="2" t="inlineStr">
        <is>
          <t>Completions</t>
        </is>
      </c>
      <c r="E40" s="2" t="inlineStr">
        <is>
          <t>NOT ESTABLISHED</t>
        </is>
      </c>
      <c r="F40" s="2" t="inlineStr">
        <is>
          <t>NOT ACCEPTED</t>
        </is>
      </c>
      <c r="G40" s="2" t="n"/>
    </row>
    <row r="41">
      <c r="A41" s="2" t="inlineStr">
        <is>
          <t>SCA-SCF</t>
        </is>
      </c>
      <c r="B41" s="2" t="inlineStr">
        <is>
          <t>Documentation</t>
        </is>
      </c>
      <c r="C41" s="2" t="inlineStr">
        <is>
          <t>Native/as-built drawings/calculations/vendor data and accepted dossier index</t>
        </is>
      </c>
      <c r="D41" s="2" t="inlineStr">
        <is>
          <t>Completions</t>
        </is>
      </c>
      <c r="E41" s="2" t="inlineStr">
        <is>
          <t>NOT ESTABLISHED</t>
        </is>
      </c>
      <c r="F41" s="2" t="inlineStr">
        <is>
          <t>NOT ACCEPTED</t>
        </is>
      </c>
      <c r="G41" s="2" t="n"/>
    </row>
  </sheetData>
  <autoFilter ref="A1:G4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9"/>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s>
  <sheetData>
    <row r="1">
      <c r="A1" s="1" t="inlineStr">
        <is>
          <t>Relative day target</t>
        </is>
      </c>
      <c r="B1" s="1" t="inlineStr">
        <is>
          <t>Outcome</t>
        </is>
      </c>
      <c r="C1" s="1" t="inlineStr">
        <is>
          <t>Accountable</t>
        </is>
      </c>
      <c r="D1" s="1" t="inlineStr">
        <is>
          <t>Required evidence</t>
        </is>
      </c>
      <c r="E1" s="1" t="inlineStr">
        <is>
          <t>Status</t>
        </is>
      </c>
      <c r="F1" s="1" t="inlineStr">
        <is>
          <t>Dependency note</t>
        </is>
      </c>
    </row>
    <row r="2">
      <c r="A2" s="2" t="n">
        <v>1</v>
      </c>
      <c r="B2" s="2" t="inlineStr">
        <is>
          <t>Confirm authorised mobilisation basis</t>
        </is>
      </c>
      <c r="C2" s="2" t="inlineStr">
        <is>
          <t>Contracts</t>
        </is>
      </c>
      <c r="D2" s="2" t="inlineStr">
        <is>
          <t>ActualNOA, funding ceiling and scope register</t>
        </is>
      </c>
      <c r="E2" s="2" t="inlineStr">
        <is>
          <t>OPEN</t>
        </is>
      </c>
      <c r="F2" s="2" t="inlineStr">
        <is>
          <t>No spending authority inferred</t>
        </is>
      </c>
    </row>
    <row r="3">
      <c r="A3" s="2" t="n">
        <v>7</v>
      </c>
      <c r="B3" s="2" t="inlineStr">
        <is>
          <t>Appoint named team and data ownership</t>
        </is>
      </c>
      <c r="C3" s="2" t="inlineStr">
        <is>
          <t>Project Director</t>
        </is>
      </c>
      <c r="D3" s="2" t="inlineStr">
        <is>
          <t>RACI and availability</t>
        </is>
      </c>
      <c r="E3" s="2" t="inlineStr">
        <is>
          <t>OPEN</t>
        </is>
      </c>
      <c r="F3" s="2" t="inlineStr">
        <is>
          <t>Competence and retention of qualifying activities</t>
        </is>
      </c>
    </row>
    <row r="4">
      <c r="A4" s="2" t="n">
        <v>15</v>
      </c>
      <c r="B4" s="2" t="inlineStr">
        <is>
          <t>Secure engineering/yard/marine offers</t>
        </is>
      </c>
      <c r="C4" s="2" t="inlineStr">
        <is>
          <t>Project Director</t>
        </is>
      </c>
      <c r="D4" s="2" t="inlineStr">
        <is>
          <t>Audited capacities and dated quotations</t>
        </is>
      </c>
      <c r="E4" s="2" t="inlineStr">
        <is>
          <t>OPEN</t>
        </is>
      </c>
      <c r="F4" s="2" t="inlineStr">
        <is>
          <t>Conditional reservations need authorised commercial decision</t>
        </is>
      </c>
    </row>
    <row r="5">
      <c r="A5" s="2" t="n">
        <v>30</v>
      </c>
      <c r="B5" s="2" t="inlineStr">
        <is>
          <t>Accept survey/basis and validated schedule plan</t>
        </is>
      </c>
      <c r="C5" s="2" t="inlineStr">
        <is>
          <t>Engineering/Planning</t>
        </is>
      </c>
      <c r="D5" s="2" t="inlineStr">
        <is>
          <t>Survey/evidence and calendar/network review</t>
        </is>
      </c>
      <c r="E5" s="2" t="inlineStr">
        <is>
          <t>OPEN</t>
        </is>
      </c>
      <c r="F5" s="2" t="inlineStr">
        <is>
          <t>Target, not guarantee; field survey duration may control</t>
        </is>
      </c>
    </row>
    <row r="6">
      <c r="A6" s="2" t="n">
        <v>45</v>
      </c>
      <c r="B6" s="2" t="inlineStr">
        <is>
          <t>First independently releasable engineering packages where achievable</t>
        </is>
      </c>
      <c r="C6" s="2" t="inlineStr">
        <is>
          <t>Engineering</t>
        </is>
      </c>
      <c r="D6" s="2" t="inlineStr">
        <is>
          <t>Signed accepted analysis/drawing/MTO release</t>
        </is>
      </c>
      <c r="E6" s="2" t="inlineStr">
        <is>
          <t>OPEN</t>
        </is>
      </c>
      <c r="F6" s="2" t="inlineStr">
        <is>
          <t>Not assumed in P14 base which releases later</t>
        </is>
      </c>
    </row>
    <row r="7">
      <c r="A7" s="2" t="n">
        <v>60</v>
      </c>
      <c r="B7" s="2" t="inlineStr">
        <is>
          <t>Funded compliant procurement and released workfronts</t>
        </is>
      </c>
      <c r="C7" s="2" t="inlineStr">
        <is>
          <t>Procurement</t>
        </is>
      </c>
      <c r="D7" s="2" t="inlineStr">
        <is>
          <t>ApprovedPS/PO/release records</t>
        </is>
      </c>
      <c r="E7" s="2" t="inlineStr">
        <is>
          <t>OPEN</t>
        </is>
      </c>
      <c r="F7" s="2" t="inlineStr">
        <is>
          <t>No unapproved fabrication</t>
        </is>
      </c>
    </row>
    <row r="8">
      <c r="A8" s="2" t="n">
        <v>75</v>
      </c>
      <c r="B8" s="2" t="inlineStr">
        <is>
          <t>Demonstrate accepted production and marine envelope</t>
        </is>
      </c>
      <c r="C8" s="2" t="inlineStr">
        <is>
          <t>Fabrication/Marine</t>
        </is>
      </c>
      <c r="D8" s="2" t="inlineStr">
        <is>
          <t>Actual productivity, quality and module/vessel studies</t>
        </is>
      </c>
      <c r="E8" s="2" t="inlineStr">
        <is>
          <t>OPEN</t>
        </is>
      </c>
      <c r="F8" s="2" t="inlineStr">
        <is>
          <t>Reforecast on evidence</t>
        </is>
      </c>
    </row>
    <row r="9">
      <c r="A9" s="2" t="n">
        <v>90</v>
      </c>
      <c r="B9" s="2" t="inlineStr">
        <is>
          <t>Integrated feasibility and recovery decision</t>
        </is>
      </c>
      <c r="C9" s="2" t="inlineStr">
        <is>
          <t>Project Director</t>
        </is>
      </c>
      <c r="D9" s="2" t="inlineStr">
        <is>
          <t>CPM/resource/cash/release review</t>
        </is>
      </c>
      <c r="E9" s="2" t="inlineStr">
        <is>
          <t>OPEN</t>
        </is>
      </c>
      <c r="F9" s="2" t="inlineStr">
        <is>
          <t>Approve revised commitments only after verification</t>
        </is>
      </c>
    </row>
  </sheetData>
  <autoFilter ref="A1:F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9"/>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s>
  <sheetData>
    <row r="1">
      <c r="A1" s="1" t="inlineStr">
        <is>
          <t>Metric</t>
        </is>
      </c>
      <c r="B1" s="1" t="inlineStr">
        <is>
          <t>Definition</t>
        </is>
      </c>
      <c r="C1" s="1" t="inlineStr">
        <is>
          <t>Proposed trigger</t>
        </is>
      </c>
      <c r="D1" s="1" t="inlineStr">
        <is>
          <t>Action</t>
        </is>
      </c>
      <c r="E1" s="1" t="inlineStr">
        <is>
          <t>Current value</t>
        </is>
      </c>
    </row>
    <row r="2">
      <c r="A2" s="2" t="inlineStr">
        <is>
          <t>Release readiness</t>
        </is>
      </c>
      <c r="B2" s="2" t="inlineStr">
        <is>
          <t>All applicable evidence accepted for IWP</t>
        </is>
      </c>
      <c r="C2" s="2" t="inlineStr">
        <is>
          <t>Any mandatory hold open</t>
        </is>
      </c>
      <c r="D2" s="2" t="inlineStr">
        <is>
          <t>Do not release</t>
        </is>
      </c>
      <c r="E2" s="2" t="inlineStr">
        <is>
          <t>NO VERIFIED DATA</t>
        </is>
      </c>
    </row>
    <row r="3">
      <c r="A3" s="2" t="inlineStr">
        <is>
          <t>Critical/near-critical delay</t>
        </is>
      </c>
      <c r="B3" s="2" t="inlineStr">
        <is>
          <t>Updated validated network vs approved milestone</t>
        </is>
      </c>
      <c r="C3" s="2" t="inlineStr">
        <is>
          <t>Negative target float or missed gate</t>
        </is>
      </c>
      <c r="D3" s="2" t="inlineStr">
        <is>
          <t>Recovery review; no invented actualfloat</t>
        </is>
      </c>
      <c r="E3" s="2" t="inlineStr">
        <is>
          <t>NO VERIFIED DATA</t>
        </is>
      </c>
    </row>
    <row r="4">
      <c r="A4" s="2" t="inlineStr">
        <is>
          <t>Plan reliability</t>
        </is>
      </c>
      <c r="B4" s="2" t="inlineStr">
        <is>
          <t>Completed accepted weekly commitments / due commitments</t>
        </is>
      </c>
      <c r="C4" s="2" t="inlineStr">
        <is>
          <t>Below agreed target for2periods</t>
        </is>
      </c>
      <c r="D4" s="2" t="inlineStr">
        <is>
          <t>Constraint/root-cause review</t>
        </is>
      </c>
      <c r="E4" s="2" t="inlineStr">
        <is>
          <t>NO VERIFIED DATA</t>
        </is>
      </c>
    </row>
    <row r="5">
      <c r="A5" s="2" t="inlineStr">
        <is>
          <t>Productivity</t>
        </is>
      </c>
      <c r="B5" s="2" t="inlineStr">
        <is>
          <t>Acceptedquantity / productivecrew-day</t>
        </is>
      </c>
      <c r="C5" s="2" t="inlineStr">
        <is>
          <t>Below validated estimate</t>
        </is>
      </c>
      <c r="D5" s="2" t="inlineStr">
        <is>
          <t>Check access, resources, rework and forecast</t>
        </is>
      </c>
      <c r="E5" s="2" t="inlineStr">
        <is>
          <t>NO VERIFIED DATA</t>
        </is>
      </c>
    </row>
    <row r="6">
      <c r="A6" s="2" t="inlineStr">
        <is>
          <t>Quality rework</t>
        </is>
      </c>
      <c r="B6" s="2" t="inlineStr">
        <is>
          <t>Rejected/reworked quantity / inspected quantity</t>
        </is>
      </c>
      <c r="C6" s="2" t="inlineStr">
        <is>
          <t>Any structural rejection or recurring trend</t>
        </is>
      </c>
      <c r="D6" s="2" t="inlineStr">
        <is>
          <t>NCR and method review</t>
        </is>
      </c>
      <c r="E6" s="2" t="inlineStr">
        <is>
          <t>NO VERIFIED DATA</t>
        </is>
      </c>
    </row>
    <row r="7">
      <c r="A7" s="2" t="inlineStr">
        <is>
          <t>Cash cover</t>
        </is>
      </c>
      <c r="B7" s="2" t="inlineStr">
        <is>
          <t>Funded available cash vs next13week obligations</t>
        </is>
      </c>
      <c r="C7" s="2" t="inlineStr">
        <is>
          <t>Forecast negative balance</t>
        </is>
      </c>
      <c r="D7" s="2" t="inlineStr">
        <is>
          <t>Finance/spending decision</t>
        </is>
      </c>
      <c r="E7" s="2" t="inlineStr">
        <is>
          <t>NO VERIFIED DATA</t>
        </is>
      </c>
    </row>
    <row r="8">
      <c r="A8" s="2" t="inlineStr">
        <is>
          <t>Document review</t>
        </is>
      </c>
      <c r="B8" s="2" t="inlineStr">
        <is>
          <t>Age since valid submission vs applicable C8 period</t>
        </is>
      </c>
      <c r="C8" s="2" t="inlineStr">
        <is>
          <t>Overdue and driving release</t>
        </is>
      </c>
      <c r="D8" s="2" t="inlineStr">
        <is>
          <t>Escalate through agreed review route</t>
        </is>
      </c>
      <c r="E8" s="2" t="inlineStr">
        <is>
          <t>NO VERIFIED DATA</t>
        </is>
      </c>
    </row>
    <row r="9">
      <c r="A9" s="2" t="inlineStr">
        <is>
          <t>Handover</t>
        </is>
      </c>
      <c r="B9" s="2" t="inlineStr">
        <is>
          <t>Accepted systems/dossiers vs due boundaries</t>
        </is>
      </c>
      <c r="C9" s="2" t="inlineStr">
        <is>
          <t>Blocking punch or dossier gap</t>
        </is>
      </c>
      <c r="D9" s="2" t="inlineStr">
        <is>
          <t>Dedicated closure owner</t>
        </is>
      </c>
      <c r="E9" s="2" t="inlineStr">
        <is>
          <t>NO VERIFIED DATA</t>
        </is>
      </c>
    </row>
  </sheetData>
  <autoFilter ref="A1:E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6"/>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s>
  <sheetData>
    <row r="1">
      <c r="A1" s="1" t="inlineStr">
        <is>
          <t>Query</t>
        </is>
      </c>
      <c r="B1" s="1" t="inlineStr">
        <is>
          <t>Issue</t>
        </is>
      </c>
      <c r="C1" s="1" t="inlineStr">
        <is>
          <t>Source</t>
        </is>
      </c>
      <c r="D1" s="1" t="inlineStr">
        <is>
          <t>Required resolution</t>
        </is>
      </c>
      <c r="E1" s="1" t="inlineStr">
        <is>
          <t>Owner</t>
        </is>
      </c>
      <c r="F1" s="1" t="inlineStr">
        <is>
          <t>Release affected</t>
        </is>
      </c>
      <c r="G1" s="1" t="inlineStr">
        <is>
          <t>Status</t>
        </is>
      </c>
    </row>
    <row r="2">
      <c r="A2" s="2" t="inlineStr">
        <is>
          <t>TQ01</t>
        </is>
      </c>
      <c r="B2" s="2" t="inlineStr">
        <is>
          <t>BHS/SLQ fixed-versus-sliding bearing orientation differs between sources</t>
        </is>
      </c>
      <c r="C2" s="2" t="inlineStr">
        <is>
          <t>SOW/study versus criteria</t>
        </is>
      </c>
      <c r="D2" s="2" t="inlineStr">
        <is>
          <t>Confirm fixed point, sliding direction/travel, guide restraints and final bearing setting</t>
        </is>
      </c>
      <c r="E2" s="2" t="inlineStr">
        <is>
          <t>Structural/Company</t>
        </is>
      </c>
      <c r="F2" s="2" t="inlineStr">
        <is>
          <t>Bearing and supporting-deck design</t>
        </is>
      </c>
      <c r="G2" s="2" t="inlineStr">
        <is>
          <t>OPEN</t>
        </is>
      </c>
    </row>
    <row r="3">
      <c r="A3" s="2" t="inlineStr">
        <is>
          <t>TQ02</t>
        </is>
      </c>
      <c r="B3" s="2" t="inlineStr">
        <is>
          <t>Tender GA dimensions versus surveyed support/elevation geometry</t>
        </is>
      </c>
      <c r="C3" s="2" t="inlineStr">
        <is>
          <t>Combined1 p27,pp31–32,p36; original studies</t>
        </is>
      </c>
      <c r="D3" s="2" t="inlineStr">
        <is>
          <t>Verify centreline/gap/end-zone/extents and field tolerances; retain dimension conventions</t>
        </is>
      </c>
      <c r="E3" s="2" t="inlineStr">
        <is>
          <t>Survey/Structural</t>
        </is>
      </c>
      <c r="F3" s="2" t="inlineStr">
        <is>
          <t>Global model and shop details</t>
        </is>
      </c>
      <c r="G3" s="2" t="inlineStr">
        <is>
          <t>OPEN</t>
        </is>
      </c>
    </row>
    <row r="4">
      <c r="A4" s="2" t="inlineStr">
        <is>
          <t>TQ03</t>
        </is>
      </c>
      <c r="B4" s="2" t="inlineStr">
        <is>
          <t>ICW live-load resultant differs between report and model summary</t>
        </is>
      </c>
      <c r="C4" s="2" t="inlineStr">
        <is>
          <t>ICW preliminary report156.25kN versus SACS144.69kN</t>
        </is>
      </c>
      <c r="D4" s="2" t="inlineStr">
        <is>
          <t>Reconcile loaded area, load units and actual model loading; no error conclusion without model check</t>
        </is>
      </c>
      <c r="E4" s="2" t="inlineStr">
        <is>
          <t>Structural</t>
        </is>
      </c>
      <c r="F4" s="2" t="inlineStr">
        <is>
          <t>Load-case and calculation release</t>
        </is>
      </c>
      <c r="G4" s="2" t="inlineStr">
        <is>
          <t>OPEN</t>
        </is>
      </c>
    </row>
    <row r="5">
      <c r="A5" s="2" t="inlineStr">
        <is>
          <t>TQ04</t>
        </is>
      </c>
      <c r="B5" s="2" t="inlineStr">
        <is>
          <t>Camber based on DL versus genericL/200 source wording</t>
        </is>
      </c>
      <c r="C5" s="2" t="inlineStr">
        <is>
          <t>Criteria and three preliminary bridge studies</t>
        </is>
      </c>
      <c r="D5" s="2" t="inlineStr">
        <is>
          <t>Approve camber profile, fabrication tolerances, dead-load stage and field setting</t>
        </is>
      </c>
      <c r="E5" s="2" t="inlineStr">
        <is>
          <t>Structural/Fabrication</t>
        </is>
      </c>
      <c r="F5" s="2" t="inlineStr">
        <is>
          <t>Shop geometry</t>
        </is>
      </c>
      <c r="G5" s="2" t="inlineStr">
        <is>
          <t>OPEN</t>
        </is>
      </c>
    </row>
    <row r="6">
      <c r="A6" s="2" t="inlineStr">
        <is>
          <t>TQ05</t>
        </is>
      </c>
      <c r="B6" s="2" t="inlineStr">
        <is>
          <t>Procurement material grade and thickness not established by studyFy alone</t>
        </is>
      </c>
      <c r="C6" s="2" t="inlineStr">
        <is>
          <t>StudyFy50ksi and tender member references</t>
        </is>
      </c>
      <c r="D6" s="2" t="inlineStr">
        <is>
          <t>Specify grade, toughness/weldability, corrosion allowance and mill records for actual sections</t>
        </is>
      </c>
      <c r="E6" s="2" t="inlineStr">
        <is>
          <t>Structural/Procurement</t>
        </is>
      </c>
      <c r="F6" s="2" t="inlineStr">
        <is>
          <t>Material purchase</t>
        </is>
      </c>
      <c r="G6" s="2" t="inlineStr">
        <is>
          <t>OPEN</t>
        </is>
      </c>
    </row>
    <row r="7">
      <c r="A7" s="2" t="inlineStr">
        <is>
          <t>TQ06</t>
        </is>
      </c>
      <c r="B7" s="2" t="inlineStr">
        <is>
          <t>Actual corrosion loss/member joint condition</t>
        </is>
      </c>
      <c r="C7" s="2" t="inlineStr">
        <is>
          <t>Pre-engineering/NDT scope</t>
        </is>
      </c>
      <c r="D7" s="2" t="inlineStr">
        <is>
          <t>Use surveyed thickness/defects in capacity checks and repair details</t>
        </is>
      </c>
      <c r="E7" s="2" t="inlineStr">
        <is>
          <t>Survey/Structural</t>
        </is>
      </c>
      <c r="F7" s="2" t="inlineStr">
        <is>
          <t>Strengthening design</t>
        </is>
      </c>
      <c r="G7" s="2" t="inlineStr">
        <is>
          <t>OPEN</t>
        </is>
      </c>
    </row>
    <row r="8">
      <c r="A8" s="2" t="inlineStr">
        <is>
          <t>TQ07</t>
        </is>
      </c>
      <c r="B8" s="2" t="inlineStr">
        <is>
          <t>Wrap strengthening connection and staged capacity</t>
        </is>
      </c>
      <c r="C8" s="2" t="inlineStr">
        <is>
          <t>StructuralSOW addendumICG/ICP/BHS</t>
        </is>
      </c>
      <c r="D8" s="2" t="inlineStr">
        <is>
          <t>Check interface/weld/shear transfer, existing member condition, temporary stage and inspection access</t>
        </is>
      </c>
      <c r="E8" s="2" t="inlineStr">
        <is>
          <t>Structural</t>
        </is>
      </c>
      <c r="F8" s="2" t="inlineStr">
        <is>
          <t>Pre-install support release</t>
        </is>
      </c>
      <c r="G8" s="2" t="inlineStr">
        <is>
          <t>OPEN</t>
        </is>
      </c>
    </row>
    <row r="9">
      <c r="A9" s="2" t="inlineStr">
        <is>
          <t>TQ08</t>
        </is>
      </c>
      <c r="B9" s="2" t="inlineStr">
        <is>
          <t>Platform displacement and piping reactions</t>
        </is>
      </c>
      <c r="C9" s="2" t="inlineStr">
        <is>
          <t>Criteria movement/thrust; Combined3 p260</t>
        </is>
      </c>
      <c r="D9" s="2" t="inlineStr">
        <is>
          <t>Agree platform translation/rotation/thermal movements and iterate piping/support/bearing reactions</t>
        </is>
      </c>
      <c r="E9" s="2" t="inlineStr">
        <is>
          <t>Structural/Piping</t>
        </is>
      </c>
      <c r="F9" s="2" t="inlineStr">
        <is>
          <t>Bearings/services/supports</t>
        </is>
      </c>
      <c r="G9" s="2" t="inlineStr">
        <is>
          <t>OPEN</t>
        </is>
      </c>
    </row>
    <row r="10">
      <c r="A10" s="2" t="inlineStr">
        <is>
          <t>TQ09</t>
        </is>
      </c>
      <c r="B10" s="2" t="inlineStr">
        <is>
          <t>Future piping allowance double counting</t>
        </is>
      </c>
      <c r="C10" s="2" t="inlineStr">
        <is>
          <t>Criteria operating/planned-future plus20% wording</t>
        </is>
      </c>
      <c r="D10" s="2" t="inlineStr">
        <is>
          <t>Separate known future loads from allowance and approve load schedule</t>
        </is>
      </c>
      <c r="E10" s="2" t="inlineStr">
        <is>
          <t>Piping/Structural</t>
        </is>
      </c>
      <c r="F10" s="2" t="inlineStr">
        <is>
          <t>Design-basis freeze</t>
        </is>
      </c>
      <c r="G10" s="2" t="inlineStr">
        <is>
          <t>OPEN</t>
        </is>
      </c>
    </row>
    <row r="11">
      <c r="A11" s="2" t="inlineStr">
        <is>
          <t>TQ10</t>
        </is>
      </c>
      <c r="B11" s="2" t="inlineStr">
        <is>
          <t>New drawing register34entries versus older38entries</t>
        </is>
      </c>
      <c r="C11" s="2" t="inlineStr">
        <is>
          <t>Combined1 pp3–5</t>
        </is>
      </c>
      <c r="D11" s="2" t="inlineStr">
        <is>
          <t>Map omitted/renumbered sheets and revisions; do not infer scope deletion</t>
        </is>
      </c>
      <c r="E11" s="2" t="inlineStr">
        <is>
          <t>DocumentControl/Structural</t>
        </is>
      </c>
      <c r="F11" s="2" t="inlineStr">
        <is>
          <t>Drawing applicability baseline</t>
        </is>
      </c>
      <c r="G11" s="2" t="inlineStr">
        <is>
          <t>OPEN</t>
        </is>
      </c>
    </row>
    <row r="12">
      <c r="A12" s="2" t="inlineStr">
        <is>
          <t>TQ11</t>
        </is>
      </c>
      <c r="B12" s="2" t="inlineStr">
        <is>
          <t>ICW source GA registerRev0 versus titleRevA</t>
        </is>
      </c>
      <c r="C12" s="2" t="inlineStr">
        <is>
          <t>Combined1 p27</t>
        </is>
      </c>
      <c r="D12" s="2" t="inlineStr">
        <is>
          <t>Obtain controlled issue identity and revision disposition</t>
        </is>
      </c>
      <c r="E12" s="2" t="inlineStr">
        <is>
          <t>DocumentControl</t>
        </is>
      </c>
      <c r="F12" s="2" t="inlineStr">
        <is>
          <t>Tender-to-detail mapping</t>
        </is>
      </c>
      <c r="G12" s="2" t="inlineStr">
        <is>
          <t>OPEN</t>
        </is>
      </c>
    </row>
    <row r="13">
      <c r="A13" s="2" t="inlineStr">
        <is>
          <t>TQ12</t>
        </is>
      </c>
      <c r="B13" s="2" t="inlineStr">
        <is>
          <t>NQO/NOQ platform naming</t>
        </is>
      </c>
      <c r="C13" s="2" t="inlineStr">
        <is>
          <t>Combined1 Annexure1 and bridge scope</t>
        </is>
      </c>
      <c r="D13" s="2" t="inlineStr">
        <is>
          <t>Confirm platform ID, coordinates and interfaces</t>
        </is>
      </c>
      <c r="E13" s="2" t="inlineStr">
        <is>
          <t>Interface/Company</t>
        </is>
      </c>
      <c r="F13" s="2" t="inlineStr">
        <is>
          <t>Platform assessment scope</t>
        </is>
      </c>
      <c r="G13" s="2" t="inlineStr">
        <is>
          <t>OPEN</t>
        </is>
      </c>
    </row>
    <row r="14">
      <c r="A14" s="2" t="inlineStr">
        <is>
          <t>TQ13</t>
        </is>
      </c>
      <c r="B14" s="2" t="inlineStr">
        <is>
          <t>Quantity discrepancies</t>
        </is>
      </c>
      <c r="C14" s="2" t="inlineStr">
        <is>
          <t>SOW/MTO1142vs1141MT;1168vs1166m;719vs718m²</t>
        </is>
      </c>
      <c r="D14" s="2" t="inlineStr">
        <is>
          <t>Resolve against controlled detail MTO and company disposition; preserve printed/source-row totals</t>
        </is>
      </c>
      <c r="E14" s="2" t="inlineStr">
        <is>
          <t>QuantityEngineer</t>
        </is>
      </c>
      <c r="F14" s="2" t="inlineStr">
        <is>
          <t>Purchase/budget/progress baseline</t>
        </is>
      </c>
      <c r="G14" s="2" t="inlineStr">
        <is>
          <t>OPEN</t>
        </is>
      </c>
    </row>
    <row r="15">
      <c r="A15" s="2" t="inlineStr">
        <is>
          <t>TQ14</t>
        </is>
      </c>
      <c r="B15" s="2" t="inlineStr">
        <is>
          <t>Preservice/installation/removal vessel input envelope</t>
        </is>
      </c>
      <c r="C15" s="2" t="inlineStr">
        <is>
          <t>Newbridge GAs; module/vessel registers</t>
        </is>
      </c>
      <c r="D15" s="2" t="inlineStr">
        <is>
          <t>Confirm modules, lift weights/COG, actual-radius charts, transport motion and temporary load paths</t>
        </is>
      </c>
      <c r="E15" s="2" t="inlineStr">
        <is>
          <t>Marine/Structural</t>
        </is>
      </c>
      <c r="F15" s="2" t="inlineStr">
        <is>
          <t>Marine operation assurance</t>
        </is>
      </c>
      <c r="G15" s="2" t="inlineStr">
        <is>
          <t>OPEN</t>
        </is>
      </c>
    </row>
    <row r="16">
      <c r="A16" s="2" t="inlineStr">
        <is>
          <t>TQ15</t>
        </is>
      </c>
      <c r="B16" s="2" t="inlineStr">
        <is>
          <t>Discipline specification applicability and tie-in/test boundaries</t>
        </is>
      </c>
      <c r="C16" s="2" t="inlineStr">
        <is>
          <t>Combined1/2/3; bridge-specific scope</t>
        </is>
      </c>
      <c r="D16" s="2" t="inlineStr">
        <is>
          <t>Define actual piping/electrical/instrument/firewater/cable transfers and required tests; reject unrelated generic additions</t>
        </is>
      </c>
      <c r="E16" s="2" t="inlineStr">
        <is>
          <t>DisciplineLeads/Operations</t>
        </is>
      </c>
      <c r="F16" s="2" t="inlineStr">
        <is>
          <t>Service transfer and commissioning</t>
        </is>
      </c>
      <c r="G16" s="2" t="inlineStr">
        <is>
          <t>OPEN</t>
        </is>
      </c>
    </row>
  </sheetData>
  <autoFilter ref="A1:G1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11"/>
  <sheetViews>
    <sheetView zoomScale="80"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s>
  <sheetData>
    <row r="1">
      <c r="A1" s="1" t="inlineStr">
        <is>
          <t>Uploaded model</t>
        </is>
      </c>
      <c r="B1" s="1" t="inlineStr">
        <is>
          <t>P14 control</t>
        </is>
      </c>
      <c r="C1" s="1" t="inlineStr">
        <is>
          <t>Required correction or integration</t>
        </is>
      </c>
    </row>
    <row r="2">
      <c r="A2" s="2" t="inlineStr">
        <is>
          <t>Stage27</t>
        </is>
      </c>
      <c r="B2" s="2" t="inlineStr">
        <is>
          <t>Cost Commitments / Requirements / Daily Production</t>
        </is>
      </c>
      <c r="C2" s="2" t="inlineStr">
        <is>
          <t>Separate quantity/EV, certified billing and cash; maintain unknown inputs</t>
        </is>
      </c>
    </row>
    <row r="3">
      <c r="A3" s="2" t="inlineStr">
        <is>
          <t>Stage28</t>
        </is>
      </c>
      <c r="B3" s="2" t="inlineStr">
        <is>
          <t>Schedule285 / Calendars and Method</t>
        </is>
      </c>
      <c r="C3" s="2" t="inlineStr">
        <is>
          <t>Replace illustrative120activity chain with traceable integrated dependencies; actualL4detail still needs constructability</t>
        </is>
      </c>
    </row>
    <row r="4">
      <c r="A4" s="2" t="inlineStr">
        <is>
          <t>Stage29</t>
        </is>
      </c>
      <c r="B4" s="2" t="inlineStr">
        <is>
          <t>Schedule Scenarios / Resource Commitments</t>
        </is>
      </c>
      <c r="C4" s="2" t="inlineStr">
        <is>
          <t>Scenario capacity is uncommitted; verify bottlenecks and cost recovery</t>
        </is>
      </c>
    </row>
    <row r="5">
      <c r="A5" s="2" t="inlineStr">
        <is>
          <t>Stage30</t>
        </is>
      </c>
      <c r="B5" s="2" t="inlineStr">
        <is>
          <t>Workpack Readiness / Daily Production</t>
        </is>
      </c>
      <c r="C5" s="2" t="inlineStr">
        <is>
          <t>Verified quantities and accepted productivity required</t>
        </is>
      </c>
    </row>
    <row r="6">
      <c r="A6" s="2" t="inlineStr">
        <is>
          <t>Stage31</t>
        </is>
      </c>
      <c r="B6" s="2" t="inlineStr">
        <is>
          <t>Workpack Readiness / QA and Release Gates</t>
        </is>
      </c>
      <c r="C6" s="2" t="inlineStr">
        <is>
          <t>Screen alone cannot authorise work; require evidence and signed release</t>
        </is>
      </c>
    </row>
    <row r="7">
      <c r="A7" s="2" t="inlineStr">
        <is>
          <t>Stage32</t>
        </is>
      </c>
      <c r="B7" s="2" t="inlineStr">
        <is>
          <t>Productivity Forecast / Schedule285</t>
        </is>
      </c>
      <c r="C7" s="2" t="inlineStr">
        <is>
          <t>Productive crew-day estimate is not calendarCPM; route remaining workdays to validated network</t>
        </is>
      </c>
    </row>
    <row r="8">
      <c r="A8" s="2" t="inlineStr">
        <is>
          <t>Stage33</t>
        </is>
      </c>
      <c r="B8" s="2" t="inlineStr">
        <is>
          <t>Risk Register / KPI and Escalation</t>
        </is>
      </c>
      <c r="C8" s="2" t="inlineStr">
        <is>
          <t>Track early-warning evidence and actual mitigation owner</t>
        </is>
      </c>
    </row>
    <row r="9">
      <c r="A9" s="2" t="inlineStr">
        <is>
          <t>Stage34</t>
        </is>
      </c>
      <c r="B9" s="2" t="inlineStr">
        <is>
          <t>CEO Decisions / Resource Commitments</t>
        </is>
      </c>
      <c r="C9" s="2" t="inlineStr">
        <is>
          <t>Use one source of date/cost/progress truth; no inconsistent parallel baselines</t>
        </is>
      </c>
    </row>
    <row r="10">
      <c r="A10" s="2" t="inlineStr">
        <is>
          <t>Stage35</t>
        </is>
      </c>
      <c r="B10" s="2" t="inlineStr">
        <is>
          <t>90Day Mobilisation</t>
        </is>
      </c>
      <c r="C10" s="2" t="inlineStr">
        <is>
          <t>D45firstAFCis an objective; not demonstrated by baseline assumptions</t>
        </is>
      </c>
    </row>
    <row r="11">
      <c r="A11" s="2" t="inlineStr">
        <is>
          <t>Volumes1–6</t>
        </is>
      </c>
      <c r="B11" s="2" t="inlineStr">
        <is>
          <t>A–Z Execution Plan and linked registers</t>
        </is>
      </c>
      <c r="C11" s="2" t="inlineStr">
        <is>
          <t>Framework text remains planning; fill bridge-specific evidence and authority</t>
        </is>
      </c>
    </row>
  </sheetData>
  <autoFilter ref="A1:C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11"/>
  <sheetViews>
    <sheetView zoomScale="80" workbookViewId="0">
      <pane ySplit="1" topLeftCell="A2" activePane="bottomLeft" state="frozen"/>
      <selection pane="bottomLeft" activeCell="A1" sqref="A1"/>
    </sheetView>
  </sheetViews>
  <sheetFormatPr baseColWidth="8" defaultRowHeight="15"/>
  <cols>
    <col width="27" customWidth="1" min="1" max="1"/>
    <col width="27" customWidth="1" min="2" max="2"/>
    <col width="27" customWidth="1" min="3" max="3"/>
    <col width="27" customWidth="1" min="4" max="4"/>
    <col width="27" customWidth="1" min="5" max="5"/>
    <col width="27" customWidth="1" min="6" max="6"/>
    <col width="27" customWidth="1" min="7" max="7"/>
    <col width="27" customWidth="1" min="8" max="8"/>
    <col width="27" customWidth="1" min="9" max="9"/>
    <col width="27" customWidth="1" min="10" max="10"/>
    <col width="27" customWidth="1" min="11" max="11"/>
    <col width="27" customWidth="1" min="12" max="12"/>
  </cols>
  <sheetData>
    <row r="1">
      <c r="A1" s="1" t="inlineStr">
        <is>
          <t>Bridge</t>
        </is>
      </c>
      <c r="B1" s="1" t="inlineStr">
        <is>
          <t>Source indicative MT</t>
        </is>
      </c>
      <c r="C1" s="1" t="inlineStr">
        <is>
          <t>Approved baseline MT</t>
        </is>
      </c>
      <c r="D1" s="1" t="inlineStr">
        <is>
          <t>Accepted actual MT</t>
        </is>
      </c>
      <c r="E1" s="1" t="inlineStr">
        <is>
          <t>Productive crew-days</t>
        </is>
      </c>
      <c r="F1" s="1" t="inlineStr">
        <is>
          <t>Observed MT/productive crew-day</t>
        </is>
      </c>
      <c r="G1" s="1" t="inlineStr">
        <is>
          <t>Remaining approved MT</t>
        </is>
      </c>
      <c r="H1" s="1" t="inlineStr">
        <is>
          <t>Verified assigned crews</t>
        </is>
      </c>
      <c r="I1" s="1" t="inlineStr">
        <is>
          <t>Future productive utilisation0–1</t>
        </is>
      </c>
      <c r="J1" s="1" t="inlineStr">
        <is>
          <t>Remaining productive workdays</t>
        </is>
      </c>
      <c r="K1" s="1" t="inlineStr">
        <is>
          <t>Updated CPMfinish input</t>
        </is>
      </c>
      <c r="L1" s="1" t="inlineStr">
        <is>
          <t>Status/evidence</t>
        </is>
      </c>
    </row>
    <row r="2">
      <c r="A2" s="2" t="inlineStr">
        <is>
          <t>ICW-ICG UD</t>
        </is>
      </c>
      <c r="B2" s="2" t="n">
        <v>49</v>
      </c>
      <c r="C2" s="2" t="n"/>
      <c r="D2" s="2" t="n"/>
      <c r="E2" s="2" t="n"/>
      <c r="F2" s="2">
        <f>IF(OR(D2="",E2="",E2&lt;=0),"",D2/E2)</f>
        <v/>
      </c>
      <c r="G2" s="2">
        <f>IF(OR(C2="",D2=""),"",MAX(0,C2-D2))</f>
        <v/>
      </c>
      <c r="H2" s="2" t="n"/>
      <c r="I2" s="2" t="n"/>
      <c r="J2" s="2">
        <f>IF(OR(F2="",F2&lt;=0,G2="",H2="",H2&lt;=0,I2="",I2&lt;=0,I2&gt;1),"",ROUNDUP(G2/F2/H2/I2,0))</f>
        <v/>
      </c>
      <c r="K2" s="2" t="n"/>
      <c r="L2" s="2" t="inlineStr">
        <is>
          <t>No approved quantity/productivity yet</t>
        </is>
      </c>
    </row>
    <row r="3">
      <c r="A3" s="2" t="inlineStr">
        <is>
          <t>ICW-ICG LD</t>
        </is>
      </c>
      <c r="B3" s="2" t="n">
        <v>122</v>
      </c>
      <c r="C3" s="2" t="n"/>
      <c r="D3" s="2" t="n"/>
      <c r="E3" s="2" t="n"/>
      <c r="F3" s="2">
        <f>IF(OR(D3="",E3="",E3&lt;=0),"",D3/E3)</f>
        <v/>
      </c>
      <c r="G3" s="2">
        <f>IF(OR(C3="",D3=""),"",MAX(0,C3-D3))</f>
        <v/>
      </c>
      <c r="H3" s="2" t="n"/>
      <c r="I3" s="2" t="n"/>
      <c r="J3" s="2">
        <f>IF(OR(F3="",F3&lt;=0,G3="",H3="",H3&lt;=0,I3="",I3&lt;=0,I3&gt;1),"",ROUNDUP(G3/F3/H3/I3,0))</f>
        <v/>
      </c>
      <c r="K3" s="2" t="n"/>
      <c r="L3" s="2" t="inlineStr">
        <is>
          <t>No approved quantity/productivity yet</t>
        </is>
      </c>
    </row>
    <row r="4">
      <c r="A4" s="2" t="inlineStr">
        <is>
          <t>ICG-ICP UD</t>
        </is>
      </c>
      <c r="B4" s="2" t="n">
        <v>116</v>
      </c>
      <c r="C4" s="2" t="n"/>
      <c r="D4" s="2" t="n"/>
      <c r="E4" s="2" t="n"/>
      <c r="F4" s="2">
        <f>IF(OR(D4="",E4="",E4&lt;=0),"",D4/E4)</f>
        <v/>
      </c>
      <c r="G4" s="2">
        <f>IF(OR(C4="",D4=""),"",MAX(0,C4-D4))</f>
        <v/>
      </c>
      <c r="H4" s="2" t="n"/>
      <c r="I4" s="2" t="n"/>
      <c r="J4" s="2">
        <f>IF(OR(F4="",F4&lt;=0,G4="",H4="",H4&lt;=0,I4="",I4&lt;=0,I4&gt;1),"",ROUNDUP(G4/F4/H4/I4,0))</f>
        <v/>
      </c>
      <c r="K4" s="2" t="n"/>
      <c r="L4" s="2" t="inlineStr">
        <is>
          <t>No approved quantity/productivity yet</t>
        </is>
      </c>
    </row>
    <row r="5">
      <c r="A5" s="2" t="inlineStr">
        <is>
          <t>ICG-ICP LD</t>
        </is>
      </c>
      <c r="B5" s="2" t="n">
        <v>160</v>
      </c>
      <c r="C5" s="2" t="n"/>
      <c r="D5" s="2" t="n"/>
      <c r="E5" s="2" t="n"/>
      <c r="F5" s="2">
        <f>IF(OR(D5="",E5="",E5&lt;=0),"",D5/E5)</f>
        <v/>
      </c>
      <c r="G5" s="2">
        <f>IF(OR(C5="",D5=""),"",MAX(0,C5-D5))</f>
        <v/>
      </c>
      <c r="H5" s="2" t="n"/>
      <c r="I5" s="2" t="n"/>
      <c r="J5" s="2">
        <f>IF(OR(F5="",F5&lt;=0,G5="",H5="",H5&lt;=0,I5="",I5&lt;=0,I5&gt;1),"",ROUNDUP(G5/F5/H5/I5,0))</f>
        <v/>
      </c>
      <c r="K5" s="2" t="n"/>
      <c r="L5" s="2" t="inlineStr">
        <is>
          <t>No approved quantity/productivity yet</t>
        </is>
      </c>
    </row>
    <row r="6">
      <c r="A6" s="2" t="inlineStr">
        <is>
          <t>BHS-SLQ</t>
        </is>
      </c>
      <c r="B6" s="2" t="n">
        <v>282</v>
      </c>
      <c r="C6" s="2" t="n"/>
      <c r="D6" s="2" t="n"/>
      <c r="E6" s="2" t="n"/>
      <c r="F6" s="2">
        <f>IF(OR(D6="",E6="",E6&lt;=0),"",D6/E6)</f>
        <v/>
      </c>
      <c r="G6" s="2">
        <f>IF(OR(C6="",D6=""),"",MAX(0,C6-D6))</f>
        <v/>
      </c>
      <c r="H6" s="2" t="n"/>
      <c r="I6" s="2" t="n"/>
      <c r="J6" s="2">
        <f>IF(OR(F6="",F6&lt;=0,G6="",H6="",H6&lt;=0,I6="",I6&lt;=0,I6&gt;1),"",ROUNDUP(G6/F6/H6/I6,0))</f>
        <v/>
      </c>
      <c r="K6" s="2" t="n"/>
      <c r="L6" s="2" t="inlineStr">
        <is>
          <t>No approved quantity/productivity yet</t>
        </is>
      </c>
    </row>
    <row r="7">
      <c r="A7" s="2" t="inlineStr">
        <is>
          <t>SLQ-WIS</t>
        </is>
      </c>
      <c r="B7" s="2" t="n">
        <v>91</v>
      </c>
      <c r="C7" s="2" t="n"/>
      <c r="D7" s="2" t="n"/>
      <c r="E7" s="2" t="n"/>
      <c r="F7" s="2">
        <f>IF(OR(D7="",E7="",E7&lt;=0),"",D7/E7)</f>
        <v/>
      </c>
      <c r="G7" s="2">
        <f>IF(OR(C7="",D7=""),"",MAX(0,C7-D7))</f>
        <v/>
      </c>
      <c r="H7" s="2" t="n"/>
      <c r="I7" s="2" t="n"/>
      <c r="J7" s="2">
        <f>IF(OR(F7="",F7&lt;=0,G7="",H7="",H7&lt;=0,I7="",I7&lt;=0,I7&gt;1),"",ROUNDUP(G7/F7/H7/I7,0))</f>
        <v/>
      </c>
      <c r="K7" s="2" t="n"/>
      <c r="L7" s="2" t="inlineStr">
        <is>
          <t>No approved quantity/productivity yet</t>
        </is>
      </c>
    </row>
    <row r="8">
      <c r="A8" s="2" t="inlineStr">
        <is>
          <t>NQO-NQD</t>
        </is>
      </c>
      <c r="B8" s="2" t="n">
        <v>93</v>
      </c>
      <c r="C8" s="2" t="n"/>
      <c r="D8" s="2" t="n"/>
      <c r="E8" s="2" t="n"/>
      <c r="F8" s="2">
        <f>IF(OR(D8="",E8="",E8&lt;=0),"",D8/E8)</f>
        <v/>
      </c>
      <c r="G8" s="2">
        <f>IF(OR(C8="",D8=""),"",MAX(0,C8-D8))</f>
        <v/>
      </c>
      <c r="H8" s="2" t="n"/>
      <c r="I8" s="2" t="n"/>
      <c r="J8" s="2">
        <f>IF(OR(F8="",F8&lt;=0,G8="",H8="",H8&lt;=0,I8="",I8&lt;=0,I8&gt;1),"",ROUNDUP(G8/F8/H8/I8,0))</f>
        <v/>
      </c>
      <c r="K8" s="2" t="n"/>
      <c r="L8" s="2" t="inlineStr">
        <is>
          <t>No approved quantity/productivity yet</t>
        </is>
      </c>
    </row>
    <row r="9">
      <c r="A9" s="2" t="inlineStr">
        <is>
          <t>WIN-NC</t>
        </is>
      </c>
      <c r="B9" s="2" t="n">
        <v>46</v>
      </c>
      <c r="C9" s="2" t="n"/>
      <c r="D9" s="2" t="n"/>
      <c r="E9" s="2" t="n"/>
      <c r="F9" s="2">
        <f>IF(OR(D9="",E9="",E9&lt;=0),"",D9/E9)</f>
        <v/>
      </c>
      <c r="G9" s="2">
        <f>IF(OR(C9="",D9=""),"",MAX(0,C9-D9))</f>
        <v/>
      </c>
      <c r="H9" s="2" t="n"/>
      <c r="I9" s="2" t="n"/>
      <c r="J9" s="2">
        <f>IF(OR(F9="",F9&lt;=0,G9="",H9="",H9&lt;=0,I9="",I9&lt;=0,I9&gt;1),"",ROUNDUP(G9/F9/H9/I9,0))</f>
        <v/>
      </c>
      <c r="K9" s="2" t="n"/>
      <c r="L9" s="2" t="inlineStr">
        <is>
          <t>No approved quantity/productivity yet</t>
        </is>
      </c>
    </row>
    <row r="10">
      <c r="A10" s="2" t="inlineStr">
        <is>
          <t>SCA-SC1</t>
        </is>
      </c>
      <c r="B10" s="2" t="n">
        <v>63</v>
      </c>
      <c r="C10" s="2" t="n"/>
      <c r="D10" s="2" t="n"/>
      <c r="E10" s="2" t="n"/>
      <c r="F10" s="2">
        <f>IF(OR(D10="",E10="",E10&lt;=0),"",D10/E10)</f>
        <v/>
      </c>
      <c r="G10" s="2">
        <f>IF(OR(C10="",D10=""),"",MAX(0,C10-D10))</f>
        <v/>
      </c>
      <c r="H10" s="2" t="n"/>
      <c r="I10" s="2" t="n"/>
      <c r="J10" s="2">
        <f>IF(OR(F10="",F10&lt;=0,G10="",H10="",H10&lt;=0,I10="",I10&lt;=0,I10&gt;1),"",ROUNDUP(G10/F10/H10/I10,0))</f>
        <v/>
      </c>
      <c r="K10" s="2" t="n"/>
      <c r="L10" s="2" t="inlineStr">
        <is>
          <t>No approved quantity/productivity yet</t>
        </is>
      </c>
    </row>
    <row r="11">
      <c r="A11" s="2" t="inlineStr">
        <is>
          <t>SCA-SCF</t>
        </is>
      </c>
      <c r="B11" s="2" t="n">
        <v>119</v>
      </c>
      <c r="C11" s="2" t="n"/>
      <c r="D11" s="2" t="n"/>
      <c r="E11" s="2" t="n"/>
      <c r="F11" s="2">
        <f>IF(OR(D11="",E11="",E11&lt;=0),"",D11/E11)</f>
        <v/>
      </c>
      <c r="G11" s="2">
        <f>IF(OR(C11="",D11=""),"",MAX(0,C11-D11))</f>
        <v/>
      </c>
      <c r="H11" s="2" t="n"/>
      <c r="I11" s="2" t="n"/>
      <c r="J11" s="2">
        <f>IF(OR(F11="",F11&lt;=0,G11="",H11="",H11&lt;=0,I11="",I11&lt;=0,I11&gt;1),"",ROUNDUP(G11/F11/H11/I11,0))</f>
        <v/>
      </c>
      <c r="K11" s="2" t="n"/>
      <c r="L11" s="2" t="inlineStr">
        <is>
          <t>No approved quantity/productivity yet</t>
        </is>
      </c>
    </row>
  </sheetData>
  <autoFilter ref="A1:L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2026-10-25T08:59:51Z</dcterms:created>
  <dcterms:modified xmlns:dcterms="http://purl.org/dc/terms/" xmlns:xsi="http://www.w3.org/2001/XMLSchema-instance" xsi:type="dcterms:W3CDTF">2026-10-25T08:59:52Z</dcterms:modified>
</cp:coreProperties>
</file>