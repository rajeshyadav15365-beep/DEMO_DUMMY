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sign Criteria" sheetId="2" state="visible" r:id="rId2"/>
    <sheet xmlns:r="http://schemas.openxmlformats.org/officeDocument/2006/relationships" name="Bridge Inputs" sheetId="3" state="visible" r:id="rId3"/>
    <sheet xmlns:r="http://schemas.openxmlformats.org/officeDocument/2006/relationships" name="Source Load Register" sheetId="4" state="visible" r:id="rId4"/>
    <sheet xmlns:r="http://schemas.openxmlformats.org/officeDocument/2006/relationships" name="Load Cases" sheetId="5" state="visible" r:id="rId5"/>
    <sheet xmlns:r="http://schemas.openxmlformats.org/officeDocument/2006/relationships" name="Calculation Formulas" sheetId="6" state="visible" r:id="rId6"/>
    <sheet xmlns:r="http://schemas.openxmlformats.org/officeDocument/2006/relationships" name="Audit Snapshot" sheetId="7" state="visible" r:id="rId7"/>
    <sheet xmlns:r="http://schemas.openxmlformats.org/officeDocument/2006/relationships" name="Section Geometry" sheetId="8" state="visible" r:id="rId8"/>
    <sheet xmlns:r="http://schemas.openxmlformats.org/officeDocument/2006/relationships" name="Thermal Sensitivity" sheetId="9" state="visible" r:id="rId9"/>
    <sheet xmlns:r="http://schemas.openxmlformats.org/officeDocument/2006/relationships" name="Movement Inputs" sheetId="10" state="visible" r:id="rId10"/>
    <sheet xmlns:r="http://schemas.openxmlformats.org/officeDocument/2006/relationships" name="Wrap Steel Estimate" sheetId="11" state="visible" r:id="rId11"/>
    <sheet xmlns:r="http://schemas.openxmlformats.org/officeDocument/2006/relationships" name="Open Items" sheetId="12" state="visible" r:id="rId12"/>
  </sheets>
  <definedNames>
    <definedName name="_xlnm._FilterDatabase" localSheetId="0" hidden="1">'READ ME'!$A$1:$B$11</definedName>
    <definedName name="_xlnm._FilterDatabase" localSheetId="1" hidden="1">'Design Criteria'!$A$1:$E$25</definedName>
    <definedName name="_xlnm._FilterDatabase" localSheetId="2" hidden="1">'Bridge Inputs'!$A$1:$I$4</definedName>
    <definedName name="_xlnm._FilterDatabase" localSheetId="3" hidden="1">'Source Load Register'!$A$1:$I$4</definedName>
    <definedName name="_xlnm._FilterDatabase" localSheetId="4" hidden="1">'Load Cases'!$A$1:$D$13</definedName>
    <definedName name="_xlnm._FilterDatabase" localSheetId="5" hidden="1">'Calculation Formulas'!$A$1:$P$4</definedName>
    <definedName name="_xlnm._FilterDatabase" localSheetId="6" hidden="1">'Audit Snapshot'!$A$1:$N$4</definedName>
    <definedName name="_xlnm._FilterDatabase" localSheetId="7" hidden="1">'Section Geometry'!$A$1:$J$5</definedName>
    <definedName name="_xlnm._FilterDatabase" localSheetId="8" hidden="1">'Thermal Sensitivity'!$A$1:$G$4</definedName>
    <definedName name="_xlnm._FilterDatabase" localSheetId="9" hidden="1">'Movement Inputs'!$A$1:$G$4</definedName>
    <definedName name="_xlnm._FilterDatabase" localSheetId="10" hidden="1">'Wrap Steel Estimate'!$A$1:$J$4</definedName>
    <definedName name="_xlnm._FilterDatabase" localSheetId="11" hidden="1">'Open Items'!$A$1:$D$15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5" customWidth="1" min="2" max="2"/>
  </cols>
  <sheetData>
    <row r="1">
      <c r="A1" s="1" t="inlineStr">
        <is>
          <t>Topic</t>
        </is>
      </c>
      <c r="B1" s="1" t="inlineStr">
        <is>
          <t>Basis</t>
        </is>
      </c>
    </row>
    <row r="2">
      <c r="A2" s="2" t="inlineStr">
        <is>
          <t>Status</t>
        </is>
      </c>
      <c r="B2" s="2" t="inlineStr">
        <is>
          <t>P4 PRELIMINARY DESIGN DEVELOPMENT. Prepared for review; construction release deferred by user.</t>
        </is>
      </c>
    </row>
    <row r="3">
      <c r="A3" s="2" t="inlineStr">
        <is>
          <t>Executed work</t>
        </is>
      </c>
      <c r="B3" s="2" t="inlineStr">
        <is>
          <t>Source criteria consolidation; independent arithmetic and section geometry; thermal sensitivity; annular wrap steel estimate; source-based drawing and interface detailing.</t>
        </is>
      </c>
    </row>
    <row r="4">
      <c r="A4" s="2" t="inlineStr">
        <is>
          <t>Not executed</t>
        </is>
      </c>
      <c r="B4" s="2" t="inlineStr">
        <is>
          <t>No independent 3D FE solve, final member capacity design, fatigue model, connection resistance, bearing selection or engineered lifting release.</t>
        </is>
      </c>
    </row>
    <row r="5">
      <c r="A5" s="2" t="inlineStr">
        <is>
          <t>Input hierarchy</t>
        </is>
      </c>
      <c r="B5" s="2" t="inlineStr">
        <is>
          <t>BRRP PartII + general PartI Rev14 + structural scope/addendum + applicable specifications. Resolve conflicts through project technical queries.</t>
        </is>
      </c>
    </row>
    <row r="6">
      <c r="A6" s="2" t="inlineStr">
        <is>
          <t>Drawing dimensions</t>
        </is>
      </c>
      <c r="B6" s="2" t="inlineStr">
        <is>
          <t>56/84/42m and walkway loading widths are study references; source drawings retain tender status.</t>
        </is>
      </c>
    </row>
    <row r="7">
      <c r="A7" s="2" t="inlineStr">
        <is>
          <t>Static vs formulas</t>
        </is>
      </c>
      <c r="B7" s="2" t="inlineStr">
        <is>
          <t>Audit Snapshot and report contain evaluated numeric results. Formula sheets recalculate in Excel; blank project inputs produce INPUT REQUIRED.</t>
        </is>
      </c>
    </row>
    <row r="8">
      <c r="A8" s="2" t="inlineStr">
        <is>
          <t>Source results</t>
        </is>
      </c>
      <c r="B8" s="2" t="inlineStr">
        <is>
          <t>All UC/deflection outputs are attributed to earlier reports, not recalculated structural analysis.</t>
        </is>
      </c>
    </row>
    <row r="9">
      <c r="A9" s="2" t="inlineStr">
        <is>
          <t>Thermal examples</t>
        </is>
      </c>
      <c r="B9" s="2" t="inlineStr">
        <is>
          <t>10C and20C are sensitivity increments, not adopted site design temperatures.</t>
        </is>
      </c>
    </row>
    <row r="10">
      <c r="A10" s="2" t="inlineStr">
        <is>
          <t>Wrap estimate</t>
        </is>
      </c>
      <c r="B10" s="2" t="inlineStr">
        <is>
          <t>Geometric shell steel only; no construction or procurement release.</t>
        </is>
      </c>
    </row>
    <row r="11">
      <c r="A11" s="2" t="inlineStr">
        <is>
          <t>Acceptance</t>
        </is>
      </c>
      <c r="B11" s="2" t="inlineStr">
        <is>
          <t>No claim of structural adequacy, approval or certification is made by this preliminary package.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5" customWidth="1" min="2" max="2"/>
    <col width="34" customWidth="1" min="3" max="3"/>
    <col width="48" customWidth="1" min="4" max="4"/>
    <col width="64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 / interpretation</t>
        </is>
      </c>
      <c r="D1" s="1" t="inlineStr">
        <is>
          <t>Source</t>
        </is>
      </c>
      <c r="E1" s="1" t="inlineStr">
        <is>
          <t>Status</t>
        </is>
      </c>
    </row>
    <row r="2">
      <c r="A2" s="2" t="inlineStr">
        <is>
          <t>Design life</t>
        </is>
      </c>
      <c r="B2" s="2" t="n">
        <v>25</v>
      </c>
      <c r="C2" s="2" t="inlineStr">
        <is>
          <t>years</t>
        </is>
      </c>
      <c r="D2" s="2" t="inlineStr">
        <is>
          <t>BRRP PartII p119</t>
        </is>
      </c>
      <c r="E2" s="2" t="inlineStr">
        <is>
          <t>CONFIRMED</t>
        </is>
      </c>
    </row>
    <row r="3">
      <c r="A3" s="2" t="inlineStr">
        <is>
          <t>Elastic modulus E</t>
        </is>
      </c>
      <c r="B3" s="2" t="n">
        <v>210000</v>
      </c>
      <c r="C3" s="2" t="inlineStr">
        <is>
          <t>MPa</t>
        </is>
      </c>
      <c r="D3" s="2" t="inlineStr">
        <is>
          <t>PartI Annexure2 p66</t>
        </is>
      </c>
      <c r="E3" s="2" t="inlineStr">
        <is>
          <t>CONFIRMED</t>
        </is>
      </c>
    </row>
    <row r="4">
      <c r="A4" s="2" t="inlineStr">
        <is>
          <t>Shear modulus G</t>
        </is>
      </c>
      <c r="B4" s="2" t="n">
        <v>80770</v>
      </c>
      <c r="C4" s="2" t="inlineStr">
        <is>
          <t>MPa</t>
        </is>
      </c>
      <c r="D4" s="2" t="inlineStr">
        <is>
          <t>PartI Annexure2 p66</t>
        </is>
      </c>
      <c r="E4" s="2" t="inlineStr">
        <is>
          <t>CONFIRMED</t>
        </is>
      </c>
    </row>
    <row r="5">
      <c r="A5" s="2" t="inlineStr">
        <is>
          <t>Poisson ratio</t>
        </is>
      </c>
      <c r="B5" s="2" t="n">
        <v>0.3</v>
      </c>
      <c r="C5" s="2" t="inlineStr">
        <is>
          <t>ratio</t>
        </is>
      </c>
      <c r="D5" s="2" t="inlineStr">
        <is>
          <t>PartI Annexure2 p66</t>
        </is>
      </c>
      <c r="E5" s="2" t="inlineStr">
        <is>
          <t>CONFIRMED</t>
        </is>
      </c>
    </row>
    <row r="6">
      <c r="A6" s="2" t="inlineStr">
        <is>
          <t>Steel density</t>
        </is>
      </c>
      <c r="B6" s="2" t="n">
        <v>7850</v>
      </c>
      <c r="C6" s="2" t="inlineStr">
        <is>
          <t>kg/m3</t>
        </is>
      </c>
      <c r="D6" s="2" t="inlineStr">
        <is>
          <t>PartI Annexure2 p66</t>
        </is>
      </c>
      <c r="E6" s="2" t="inlineStr">
        <is>
          <t>CONFIRMED</t>
        </is>
      </c>
    </row>
    <row r="7">
      <c r="A7" s="2" t="inlineStr">
        <is>
          <t>Gravity</t>
        </is>
      </c>
      <c r="B7" s="2" t="n">
        <v>9.81</v>
      </c>
      <c r="C7" s="2" t="inlineStr">
        <is>
          <t>m/s2</t>
        </is>
      </c>
      <c r="D7" s="2" t="inlineStr">
        <is>
          <t>PartI Annexure2 p66</t>
        </is>
      </c>
      <c r="E7" s="2" t="inlineStr">
        <is>
          <t>CONFIRMED</t>
        </is>
      </c>
    </row>
    <row r="8">
      <c r="A8" s="2" t="inlineStr">
        <is>
          <t>Thermal expansion</t>
        </is>
      </c>
      <c r="B8" s="2" t="n">
        <v>1.2e-05</v>
      </c>
      <c r="C8" s="2" t="inlineStr">
        <is>
          <t>per C</t>
        </is>
      </c>
      <c r="D8" s="2" t="inlineStr">
        <is>
          <t>PartI Annexure2 p66</t>
        </is>
      </c>
      <c r="E8" s="2" t="inlineStr">
        <is>
          <t>CONFIRMED</t>
        </is>
      </c>
    </row>
    <row r="9">
      <c r="A9" s="2" t="inlineStr">
        <is>
          <t>Global walkway loading</t>
        </is>
      </c>
      <c r="B9" s="2" t="n">
        <v>250</v>
      </c>
      <c r="C9" s="2" t="inlineStr">
        <is>
          <t>kg/m2</t>
        </is>
      </c>
      <c r="D9" s="2" t="inlineStr">
        <is>
          <t>Bridge clause p42; Annexure4</t>
        </is>
      </c>
      <c r="E9" s="2" t="inlineStr">
        <is>
          <t>CONFIRMED</t>
        </is>
      </c>
    </row>
    <row r="10">
      <c r="A10" s="2" t="inlineStr">
        <is>
          <t>Local grating loading</t>
        </is>
      </c>
      <c r="B10" s="2" t="n">
        <v>500</v>
      </c>
      <c r="C10" s="2" t="inlineStr">
        <is>
          <t>kg/m2</t>
        </is>
      </c>
      <c r="D10" s="2" t="inlineStr">
        <is>
          <t>Annexure4 p70</t>
        </is>
      </c>
      <c r="E10" s="2" t="inlineStr">
        <is>
          <t>CONFIRMED</t>
        </is>
      </c>
    </row>
    <row r="11">
      <c r="A11" s="2" t="inlineStr">
        <is>
          <t>Minimum clear walkway</t>
        </is>
      </c>
      <c r="B11" s="2" t="n">
        <v>1.2</v>
      </c>
      <c r="C11" s="2" t="inlineStr">
        <is>
          <t>m</t>
        </is>
      </c>
      <c r="D11" s="2" t="inlineStr">
        <is>
          <t>Bridge clause p43</t>
        </is>
      </c>
      <c r="E11" s="2" t="inlineStr">
        <is>
          <t>CONFIRMED</t>
        </is>
      </c>
    </row>
    <row r="12">
      <c r="A12" s="2" t="inlineStr">
        <is>
          <t>Bridge vertical limit</t>
        </is>
      </c>
      <c r="B12" s="2" t="inlineStr">
        <is>
          <t>L/400</t>
        </is>
      </c>
      <c r="C12" s="2" t="inlineStr">
        <is>
          <t>mm consistent with L</t>
        </is>
      </c>
      <c r="D12" s="2" t="inlineStr">
        <is>
          <t>p43;Annexure12 pp85-86</t>
        </is>
      </c>
      <c r="E12" s="2" t="inlineStr">
        <is>
          <t>CONFIRMED</t>
        </is>
      </c>
    </row>
    <row r="13">
      <c r="A13" s="2" t="inlineStr">
        <is>
          <t>Bridge lateral wind limit</t>
        </is>
      </c>
      <c r="B13" s="2" t="inlineStr">
        <is>
          <t>L/500</t>
        </is>
      </c>
      <c r="C13" s="2" t="inlineStr">
        <is>
          <t>mm consistent with L</t>
        </is>
      </c>
      <c r="D13" s="2" t="inlineStr">
        <is>
          <t>Annexure12 p86</t>
        </is>
      </c>
      <c r="E13" s="2" t="inlineStr">
        <is>
          <t>CONFIRMED</t>
        </is>
      </c>
    </row>
    <row r="14">
      <c r="A14" s="2" t="inlineStr">
        <is>
          <t>Differential translation multiplier</t>
        </is>
      </c>
      <c r="B14" s="2" t="n">
        <v>1.5</v>
      </c>
      <c r="C14" s="2" t="inlineStr">
        <is>
          <t>ratio</t>
        </is>
      </c>
      <c r="D14" s="2" t="inlineStr">
        <is>
          <t>Bridge clause p43</t>
        </is>
      </c>
      <c r="E14" s="2" t="inlineStr">
        <is>
          <t>CONFIRMED; input movements pending</t>
        </is>
      </c>
    </row>
    <row r="15">
      <c r="A15" s="2" t="inlineStr">
        <is>
          <t>Hinged axial thrust multiplier</t>
        </is>
      </c>
      <c r="B15" s="2" t="n">
        <v>1.5</v>
      </c>
      <c r="C15" s="2" t="inlineStr">
        <is>
          <t>ratio</t>
        </is>
      </c>
      <c r="D15" s="2" t="inlineStr">
        <is>
          <t>Bridge clause p43</t>
        </is>
      </c>
      <c r="E15" s="2" t="inlineStr">
        <is>
          <t>CONFIRMED; thrust envelope pending</t>
        </is>
      </c>
    </row>
    <row r="16">
      <c r="A16" s="2" t="inlineStr">
        <is>
          <t>Future piping operating-load allowance</t>
        </is>
      </c>
      <c r="B16" s="2" t="n">
        <v>20</v>
      </c>
      <c r="C16" s="2" t="inlineStr">
        <is>
          <t>percent</t>
        </is>
      </c>
      <c r="D16" s="2" t="inlineStr">
        <is>
          <t>Bridge clause p42</t>
        </is>
      </c>
      <c r="E16" s="2" t="inlineStr">
        <is>
          <t>CONFIRMED; included/excluded basis to reconcile</t>
        </is>
      </c>
    </row>
    <row r="17">
      <c r="A17" s="2" t="inlineStr">
        <is>
          <t>Camber</t>
        </is>
      </c>
      <c r="B17" s="2" t="inlineStr">
        <is>
          <t>Compensate dead-load deflection</t>
        </is>
      </c>
      <c r="C17" s="2" t="inlineStr">
        <is>
          <t>profile</t>
        </is>
      </c>
      <c r="D17" s="2" t="inlineStr">
        <is>
          <t>Bridge clause p43</t>
        </is>
      </c>
      <c r="E17" s="2" t="inlineStr">
        <is>
          <t>RULE CONFIRMED; magnitude/profile pending</t>
        </is>
      </c>
    </row>
    <row r="18">
      <c r="A18" s="2" t="inlineStr">
        <is>
          <t>Wind gust for56m/84m</t>
        </is>
      </c>
      <c r="B18" s="2" t="n">
        <v>15</v>
      </c>
      <c r="C18" s="2" t="inlineStr">
        <is>
          <t>seconds</t>
        </is>
      </c>
      <c r="D18" s="2" t="inlineStr">
        <is>
          <t>Annexure5 p73</t>
        </is>
      </c>
      <c r="E18" s="2" t="inlineStr">
        <is>
          <t>CONFIRMED</t>
        </is>
      </c>
    </row>
    <row r="19">
      <c r="A19" s="2" t="inlineStr">
        <is>
          <t>Wind gust for42m</t>
        </is>
      </c>
      <c r="B19" s="2" t="n">
        <v>3</v>
      </c>
      <c r="C19" s="2" t="inlineStr">
        <is>
          <t>seconds</t>
        </is>
      </c>
      <c r="D19" s="2" t="inlineStr">
        <is>
          <t>Annexure5 p73</t>
        </is>
      </c>
      <c r="E19" s="2" t="inlineStr">
        <is>
          <t>CONFIRMED</t>
        </is>
      </c>
    </row>
    <row r="20">
      <c r="A20" s="2" t="inlineStr">
        <is>
          <t>Environment</t>
        </is>
      </c>
      <c r="B20" s="2" t="inlineStr">
        <is>
          <t>MH North and South</t>
        </is>
      </c>
      <c r="C20" s="2" t="inlineStr">
        <is>
          <t>field</t>
        </is>
      </c>
      <c r="D20" s="2" t="inlineStr">
        <is>
          <t>PartII p119;Annexure13A</t>
        </is>
      </c>
      <c r="E20" s="2" t="inlineStr">
        <is>
          <t>CONFIRMED; height adjustment/calculation pending</t>
        </is>
      </c>
    </row>
    <row r="21">
      <c r="A21" s="2" t="inlineStr">
        <is>
          <t>Material procurement</t>
        </is>
      </c>
      <c r="B21" s="2" t="inlineStr">
        <is>
          <t>Spec6001F Rev14</t>
        </is>
      </c>
      <c r="C21" s="2" t="inlineStr">
        <is>
          <t>requirements</t>
        </is>
      </c>
      <c r="D21" s="2" t="inlineStr">
        <is>
          <t>Specification Combined pp169-243</t>
        </is>
      </c>
      <c r="E21" s="2" t="inlineStr">
        <is>
          <t>Grade/toughness selection pending</t>
        </is>
      </c>
    </row>
    <row r="22">
      <c r="A22" s="2" t="inlineStr">
        <is>
          <t>Welding/NDT</t>
        </is>
      </c>
      <c r="B22" s="2" t="inlineStr">
        <is>
          <t>FS2009F Rev8</t>
        </is>
      </c>
      <c r="C22" s="2" t="inlineStr">
        <is>
          <t>requirements</t>
        </is>
      </c>
      <c r="D22" s="2" t="inlineStr">
        <is>
          <t>Specification Combined pp3-38</t>
        </is>
      </c>
      <c r="E22" s="2" t="inlineStr">
        <is>
          <t>Apply by joint and inspection plan</t>
        </is>
      </c>
    </row>
    <row r="23">
      <c r="A23" s="2" t="inlineStr">
        <is>
          <t>Coating</t>
        </is>
      </c>
      <c r="B23" s="2" t="inlineStr">
        <is>
          <t>FS2005 Rev9</t>
        </is>
      </c>
      <c r="C23" s="2" t="inlineStr">
        <is>
          <t>requirements</t>
        </is>
      </c>
      <c r="D23" s="2" t="inlineStr">
        <is>
          <t>Specification Combined pp91-168</t>
        </is>
      </c>
      <c r="E23" s="2" t="inlineStr">
        <is>
          <t>Exposure-specific system selection pending</t>
        </is>
      </c>
    </row>
    <row r="24">
      <c r="A24" s="2" t="inlineStr">
        <is>
          <t>Roof</t>
        </is>
      </c>
      <c r="B24" s="2" t="inlineStr">
        <is>
          <t>Process-platform connecting bridges; slope minimum1:50</t>
        </is>
      </c>
      <c r="C24" s="2" t="inlineStr">
        <is>
          <t>applicability</t>
        </is>
      </c>
      <c r="D24" s="2" t="inlineStr">
        <is>
          <t>Bridge clause p43</t>
        </is>
      </c>
      <c r="E24" s="2" t="inlineStr">
        <is>
          <t>Confirm bridge-specific implementation</t>
        </is>
      </c>
    </row>
    <row r="25">
      <c r="A25" s="2" t="inlineStr">
        <is>
          <t>Location tolerance</t>
        </is>
      </c>
      <c r="B25" s="2" t="inlineStr">
        <is>
          <t>+1.0m as written in source</t>
        </is>
      </c>
      <c r="C25" s="2" t="inlineStr">
        <is>
          <t>requirement</t>
        </is>
      </c>
      <c r="D25" s="2" t="inlineStr">
        <is>
          <t>Bridge clause p43</t>
        </is>
      </c>
      <c r="E25" s="2" t="inlineStr">
        <is>
          <t>Clarify interpretation for existing supports; NOT bearing travel</t>
        </is>
      </c>
    </row>
  </sheetData>
  <autoFilter ref="A1:E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Code</t>
        </is>
      </c>
      <c r="B1" s="1" t="inlineStr">
        <is>
          <t>Bridge</t>
        </is>
      </c>
      <c r="C1" s="1" t="inlineStr">
        <is>
          <t>Model L m</t>
        </is>
      </c>
      <c r="D1" s="1" t="inlineStr">
        <is>
          <t>Approx gap m</t>
        </is>
      </c>
      <c r="E1" s="1" t="inlineStr">
        <is>
          <t>Loading width m</t>
        </is>
      </c>
      <c r="F1" s="1" t="inlineStr">
        <is>
          <t>Sliding end</t>
        </is>
      </c>
      <c r="G1" s="1" t="inlineStr">
        <is>
          <t>Fixed intent</t>
        </is>
      </c>
      <c r="H1" s="1" t="inlineStr">
        <is>
          <t>Source report</t>
        </is>
      </c>
      <c r="I1" s="1" t="inlineStr">
        <is>
          <t>PDF pages</t>
        </is>
      </c>
    </row>
    <row r="2">
      <c r="A2" s="2" t="inlineStr">
        <is>
          <t>101</t>
        </is>
      </c>
      <c r="B2" s="2" t="inlineStr">
        <is>
          <t>ICW-ICG LD</t>
        </is>
      </c>
      <c r="C2" s="2" t="n">
        <v>56</v>
      </c>
      <c r="D2" s="2" t="n">
        <v>54.5</v>
      </c>
      <c r="E2" s="2" t="n">
        <v>1.2</v>
      </c>
      <c r="F2" s="2" t="inlineStr">
        <is>
          <t>ICW</t>
        </is>
      </c>
      <c r="G2" s="2" t="inlineStr">
        <is>
          <t>ICG</t>
        </is>
      </c>
      <c r="H2" s="2" t="inlineStr">
        <is>
          <t>BPR-0004 Rev0</t>
        </is>
      </c>
      <c r="I2" s="2" t="inlineStr">
        <is>
          <t>133-135;152-153</t>
        </is>
      </c>
    </row>
    <row r="3">
      <c r="A3" s="2" t="inlineStr">
        <is>
          <t>102</t>
        </is>
      </c>
      <c r="B3" s="2" t="inlineStr">
        <is>
          <t>ICP-ICG LD</t>
        </is>
      </c>
      <c r="C3" s="2" t="n">
        <v>84</v>
      </c>
      <c r="D3" s="2" t="n">
        <v>80.5</v>
      </c>
      <c r="E3" s="2" t="n">
        <v>1.2</v>
      </c>
      <c r="F3" s="2" t="inlineStr">
        <is>
          <t>ICP</t>
        </is>
      </c>
      <c r="G3" s="2" t="inlineStr">
        <is>
          <t>ICG</t>
        </is>
      </c>
      <c r="H3" s="2" t="inlineStr">
        <is>
          <t>BPR-0003 Rev0</t>
        </is>
      </c>
      <c r="I3" s="2" t="inlineStr">
        <is>
          <t>196-199;207-209</t>
        </is>
      </c>
    </row>
    <row r="4">
      <c r="A4" s="2" t="inlineStr">
        <is>
          <t>103</t>
        </is>
      </c>
      <c r="B4" s="2" t="inlineStr">
        <is>
          <t>BHS-SLQ LD</t>
        </is>
      </c>
      <c r="C4" s="2" t="n">
        <v>42</v>
      </c>
      <c r="D4" s="2" t="n">
        <v>40</v>
      </c>
      <c r="E4" s="2" t="n">
        <v>2.324</v>
      </c>
      <c r="F4" s="2" t="inlineStr">
        <is>
          <t>BHS</t>
        </is>
      </c>
      <c r="G4" s="2" t="inlineStr">
        <is>
          <t>SLQ</t>
        </is>
      </c>
      <c r="H4" s="2" t="inlineStr">
        <is>
          <t>BPR-0005 RevA</t>
        </is>
      </c>
      <c r="I4" s="2" t="inlineStr">
        <is>
          <t>97-100;122-123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Bridge</t>
        </is>
      </c>
      <c r="B1" s="1" t="inlineStr">
        <is>
          <t>Report DL kN</t>
        </is>
      </c>
      <c r="C1" s="1" t="inlineStr">
        <is>
          <t>Report NGDL kN</t>
        </is>
      </c>
      <c r="D1" s="1" t="inlineStr">
        <is>
          <t>Cable load kN</t>
        </is>
      </c>
      <c r="E1" s="1" t="inlineStr">
        <is>
          <t>Monorail LL kN</t>
        </is>
      </c>
      <c r="F1" s="1" t="inlineStr">
        <is>
          <t>Piping operating kN</t>
        </is>
      </c>
      <c r="G1" s="1" t="inlineStr">
        <is>
          <t>Report walkway LL kN</t>
        </is>
      </c>
      <c r="H1" s="1" t="inlineStr">
        <is>
          <t>Output walkway LL kN</t>
        </is>
      </c>
      <c r="I1" s="1" t="inlineStr">
        <is>
          <t>Status</t>
        </is>
      </c>
    </row>
    <row r="2">
      <c r="A2" s="2" t="inlineStr">
        <is>
          <t>ICW-ICG LD</t>
        </is>
      </c>
      <c r="B2" s="2" t="n">
        <v>418.03</v>
      </c>
      <c r="C2" s="2" t="n">
        <v>155.75</v>
      </c>
      <c r="D2" s="2" t="n">
        <v>0.75</v>
      </c>
      <c r="E2" s="2" t="n">
        <v>0</v>
      </c>
      <c r="F2" s="2" t="n">
        <v>0</v>
      </c>
      <c r="G2" s="2" t="n">
        <v>156.25</v>
      </c>
      <c r="H2" s="2" t="n">
        <v>144.69</v>
      </c>
      <c r="I2" s="2" t="inlineStr">
        <is>
          <t>Source table only; no load combination/allowance adoption</t>
        </is>
      </c>
    </row>
    <row r="3">
      <c r="A3" s="2" t="inlineStr">
        <is>
          <t>ICP-ICG LD</t>
        </is>
      </c>
      <c r="B3" s="2" t="n">
        <v>966.64</v>
      </c>
      <c r="C3" s="2" t="n">
        <v>156.73</v>
      </c>
      <c r="D3" s="2" t="n">
        <v>0.882</v>
      </c>
      <c r="E3" s="2" t="n">
        <v>0</v>
      </c>
      <c r="F3" s="2" t="n">
        <v>0</v>
      </c>
      <c r="G3" s="2" t="n">
        <v>288</v>
      </c>
      <c r="H3" s="2" t="n">
        <v>288</v>
      </c>
      <c r="I3" s="2" t="inlineStr">
        <is>
          <t>Source table only; no load combination/allowance adoption</t>
        </is>
      </c>
    </row>
    <row r="4">
      <c r="A4" s="2" t="inlineStr">
        <is>
          <t>BHS-SLQ LD</t>
        </is>
      </c>
      <c r="B4" s="2" t="n">
        <v>789.79</v>
      </c>
      <c r="C4" s="2" t="n">
        <v>266.47</v>
      </c>
      <c r="D4" s="2" t="n">
        <v>77.66</v>
      </c>
      <c r="E4" s="2" t="n">
        <v>20</v>
      </c>
      <c r="F4" s="2" t="n">
        <v>1440</v>
      </c>
      <c r="G4" s="2" t="n">
        <v>268.42</v>
      </c>
      <c r="H4" s="2" t="n">
        <v>268.42</v>
      </c>
      <c r="I4" s="2" t="inlineStr">
        <is>
          <t>Source table only; no load combination/allowance adoption</t>
        </is>
      </c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5" customWidth="1" min="3" max="3"/>
    <col width="95" customWidth="1" min="4" max="4"/>
  </cols>
  <sheetData>
    <row r="1">
      <c r="A1" s="1" t="inlineStr">
        <is>
          <t>ID</t>
        </is>
      </c>
      <c r="B1" s="1" t="inlineStr">
        <is>
          <t>Condition</t>
        </is>
      </c>
      <c r="C1" s="1" t="inlineStr">
        <is>
          <t>Required assembly</t>
        </is>
      </c>
      <c r="D1" s="1" t="inlineStr">
        <is>
          <t>Review action</t>
        </is>
      </c>
    </row>
    <row r="2">
      <c r="A2" s="2" t="inlineStr">
        <is>
          <t>LC01</t>
        </is>
      </c>
      <c r="B2" s="2" t="inlineStr">
        <is>
          <t>In-place extreme</t>
        </is>
      </c>
      <c r="C2" s="2" t="inlineStr">
        <is>
          <t>Bridge dead + services dead + piping operating contents + extreme wind + friction</t>
        </is>
      </c>
      <c r="D2" s="2" t="inlineStr">
        <is>
          <t>Include applicable allowances; verify source load map</t>
        </is>
      </c>
    </row>
    <row r="3">
      <c r="A3" s="2" t="inlineStr">
        <is>
          <t>LC02</t>
        </is>
      </c>
      <c r="B3" s="2" t="inlineStr">
        <is>
          <t>In-place operating</t>
        </is>
      </c>
      <c r="C3" s="2" t="inlineStr">
        <is>
          <t>Bridge dead + services dead + piping contents + walkway LL + monorail LL + operating wind + friction</t>
        </is>
      </c>
      <c r="D3" s="2" t="inlineStr">
        <is>
          <t>Assess both wind signs/directions and service configurations</t>
        </is>
      </c>
    </row>
    <row r="4">
      <c r="A4" s="2" t="inlineStr">
        <is>
          <t>LC03</t>
        </is>
      </c>
      <c r="B4" s="2" t="inlineStr">
        <is>
          <t>Dead / dry reference</t>
        </is>
      </c>
      <c r="C4" s="2" t="inlineStr">
        <is>
          <t>Bridge dead + piping/cable/tray dead</t>
        </is>
      </c>
      <c r="D4" s="2" t="inlineStr">
        <is>
          <t>Camber and construction-setting reference must be defined</t>
        </is>
      </c>
    </row>
    <row r="5">
      <c r="A5" s="2" t="inlineStr">
        <is>
          <t>LC04</t>
        </is>
      </c>
      <c r="B5" s="2" t="inlineStr">
        <is>
          <t>Hydrotest</t>
        </is>
      </c>
      <c r="C5" s="2" t="inlineStr">
        <is>
          <t>Bridge dead + services dead + one large pipe hydrotest at a time</t>
        </is>
      </c>
      <c r="D5" s="2" t="inlineStr">
        <is>
          <t>Check actual line/test sequence; not all lines assumed simultaneous</t>
        </is>
      </c>
    </row>
    <row r="6">
      <c r="A6" s="2" t="inlineStr">
        <is>
          <t>LC05</t>
        </is>
      </c>
      <c r="B6" s="2" t="inlineStr">
        <is>
          <t>Movement / supports</t>
        </is>
      </c>
      <c r="C6" s="2" t="inlineStr">
        <is>
          <t>Relative platform translations and compatible rotations</t>
        </is>
      </c>
      <c r="D6" s="2" t="inlineStr">
        <is>
          <t>150% specified translation;150% expected hinged axial thrust; no double counting</t>
        </is>
      </c>
    </row>
    <row r="7">
      <c r="A7" s="2" t="inlineStr">
        <is>
          <t>LC06</t>
        </is>
      </c>
      <c r="B7" s="2" t="inlineStr">
        <is>
          <t>VIV / fatigue</t>
        </is>
      </c>
      <c r="C7" s="2" t="inlineStr">
        <is>
          <t>Wind-induced vibration of truss members</t>
        </is>
      </c>
      <c r="D7" s="2" t="inlineStr">
        <is>
          <t>Displacement and fatigue damage; in-service and applicable transport states</t>
        </is>
      </c>
    </row>
    <row r="8">
      <c r="A8" s="2" t="inlineStr">
        <is>
          <t>LC07</t>
        </is>
      </c>
      <c r="B8" s="2" t="inlineStr">
        <is>
          <t>Fabrication / weighing</t>
        </is>
      </c>
      <c r="C8" s="2" t="inlineStr">
        <is>
          <t>Actual support points and construction loads</t>
        </is>
      </c>
      <c r="D8" s="2" t="inlineStr">
        <is>
          <t>Check changed support configurations and local effects</t>
        </is>
      </c>
    </row>
    <row r="9">
      <c r="A9" s="2" t="inlineStr">
        <is>
          <t>LC08</t>
        </is>
      </c>
      <c r="B9" s="2" t="inlineStr">
        <is>
          <t>Loadout</t>
        </is>
      </c>
      <c r="C9" s="2" t="inlineStr">
        <is>
          <t>Actual loadout support positions / loss of support / yard bearing</t>
        </is>
      </c>
      <c r="D9" s="2" t="inlineStr">
        <is>
          <t>Procedure-specific; applicable three-point cases</t>
        </is>
      </c>
    </row>
    <row r="10">
      <c r="A10" s="2" t="inlineStr">
        <is>
          <t>LC09</t>
        </is>
      </c>
      <c r="B10" s="2" t="inlineStr">
        <is>
          <t>Transport</t>
        </is>
      </c>
      <c r="C10" s="2" t="inlineStr">
        <is>
          <t>Actual barge/vessel motions, cargo mass/COG and restraints</t>
        </is>
      </c>
      <c r="D10" s="2" t="inlineStr">
        <is>
          <t>Criteria preliminary motions are screening basis; final route/spread analysis required</t>
        </is>
      </c>
    </row>
    <row r="11">
      <c r="A11" s="2" t="inlineStr">
        <is>
          <t>LC10</t>
        </is>
      </c>
      <c r="B11" s="2" t="inlineStr">
        <is>
          <t>Lifting / landing</t>
        </is>
      </c>
      <c r="C11" s="2" t="inlineStr">
        <is>
          <t>Rigging geometry, skew distribution, weight/COG and dynamics</t>
        </is>
      </c>
      <c r="D11" s="2" t="inlineStr">
        <is>
          <t>Operation-specific 3D model; no approved lift points defined</t>
        </is>
      </c>
    </row>
    <row r="12">
      <c r="A12" s="2" t="inlineStr">
        <is>
          <t>LC11</t>
        </is>
      </c>
      <c r="B12" s="2" t="inlineStr">
        <is>
          <t>Local grating / fittings</t>
        </is>
      </c>
      <c r="C12" s="2" t="inlineStr">
        <is>
          <t>Local element loading and appropriate concentrated loads</t>
        </is>
      </c>
      <c r="D12" s="2" t="inlineStr">
        <is>
          <t>500kg/m2 grating local check distinct from250kg/m2 global walkway</t>
        </is>
      </c>
    </row>
    <row r="13">
      <c r="A13" s="2" t="inlineStr">
        <is>
          <t>LC12</t>
        </is>
      </c>
      <c r="B13" s="2" t="inlineStr">
        <is>
          <t>Landings / jackets</t>
        </is>
      </c>
      <c r="C13" s="2" t="inlineStr">
        <is>
          <t>Concurrent signed bridge reactions plus existing platform loads</t>
        </is>
      </c>
      <c r="D13" s="2" t="inlineStr">
        <is>
          <t>Incorporate addendum strengthening and actual condition</t>
        </is>
      </c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Bridge</t>
        </is>
      </c>
      <c r="B1" s="1" t="inlineStr">
        <is>
          <t>Study L m</t>
        </is>
      </c>
      <c r="C1" s="1" t="inlineStr">
        <is>
          <t>Loading width m</t>
        </is>
      </c>
      <c r="D1" s="1" t="inlineStr">
        <is>
          <t>Mass LL kg/m2</t>
        </is>
      </c>
      <c r="E1" s="1" t="inlineStr">
        <is>
          <t>g m/s2</t>
        </is>
      </c>
      <c r="F1" s="1" t="inlineStr">
        <is>
          <t>q kN/m2</t>
        </is>
      </c>
      <c r="G1" s="1" t="inlineStr">
        <is>
          <t>Line LL kN/m</t>
        </is>
      </c>
      <c r="H1" s="1" t="inlineStr">
        <is>
          <t>Rectangle LL kN</t>
        </is>
      </c>
      <c r="I1" s="1" t="inlineStr">
        <is>
          <t>Source LL kN</t>
        </is>
      </c>
      <c r="J1" s="1" t="inlineStr">
        <is>
          <t>Source minus rectangle kN</t>
        </is>
      </c>
      <c r="K1" s="1" t="inlineStr">
        <is>
          <t>Vertical limit mm</t>
        </is>
      </c>
      <c r="L1" s="1" t="inlineStr">
        <is>
          <t>Source vertical mm</t>
        </is>
      </c>
      <c r="M1" s="1" t="inlineStr">
        <is>
          <t>Vertical ratio</t>
        </is>
      </c>
      <c r="N1" s="1" t="inlineStr">
        <is>
          <t>Lateral limit mm</t>
        </is>
      </c>
      <c r="O1" s="1" t="inlineStr">
        <is>
          <t>Source lateral mm</t>
        </is>
      </c>
      <c r="P1" s="1" t="inlineStr">
        <is>
          <t>Lateral ratio</t>
        </is>
      </c>
    </row>
    <row r="2">
      <c r="A2" s="2" t="inlineStr">
        <is>
          <t>ICW-ICG LD</t>
        </is>
      </c>
      <c r="B2" s="2" t="n">
        <v>56</v>
      </c>
      <c r="C2" s="2" t="n">
        <v>1.2</v>
      </c>
      <c r="D2" s="2" t="n">
        <v>250</v>
      </c>
      <c r="E2" s="2" t="n">
        <v>9.81</v>
      </c>
      <c r="F2" s="2">
        <f>D2*E2/1000</f>
        <v/>
      </c>
      <c r="G2" s="2">
        <f>C2*F2</f>
        <v/>
      </c>
      <c r="H2" s="2">
        <f>B2*G2</f>
        <v/>
      </c>
      <c r="I2" s="2" t="n">
        <v>156.25</v>
      </c>
      <c r="J2" s="2">
        <f>I2-H2</f>
        <v/>
      </c>
      <c r="K2" s="2">
        <f>B2*1000/400</f>
        <v/>
      </c>
      <c r="L2" s="2" t="n">
        <v>105</v>
      </c>
      <c r="M2" s="2">
        <f>L2/K2</f>
        <v/>
      </c>
      <c r="N2" s="2">
        <f>B2*1000/500</f>
        <v/>
      </c>
      <c r="O2" s="2" t="n">
        <v>87</v>
      </c>
      <c r="P2" s="2">
        <f>O2/N2</f>
        <v/>
      </c>
    </row>
    <row r="3">
      <c r="A3" s="2" t="inlineStr">
        <is>
          <t>ICP-ICG LD</t>
        </is>
      </c>
      <c r="B3" s="2" t="n">
        <v>84</v>
      </c>
      <c r="C3" s="2" t="n">
        <v>1.2</v>
      </c>
      <c r="D3" s="2" t="n">
        <v>250</v>
      </c>
      <c r="E3" s="2" t="n">
        <v>9.81</v>
      </c>
      <c r="F3" s="2">
        <f>D3*E3/1000</f>
        <v/>
      </c>
      <c r="G3" s="2">
        <f>C3*F3</f>
        <v/>
      </c>
      <c r="H3" s="2">
        <f>B3*G3</f>
        <v/>
      </c>
      <c r="I3" s="2" t="n">
        <v>288</v>
      </c>
      <c r="J3" s="2">
        <f>I3-H3</f>
        <v/>
      </c>
      <c r="K3" s="2">
        <f>B3*1000/400</f>
        <v/>
      </c>
      <c r="L3" s="2" t="n">
        <v>177</v>
      </c>
      <c r="M3" s="2">
        <f>L3/K3</f>
        <v/>
      </c>
      <c r="N3" s="2">
        <f>B3*1000/500</f>
        <v/>
      </c>
      <c r="O3" s="2" t="n">
        <v>123</v>
      </c>
      <c r="P3" s="2">
        <f>O3/N3</f>
        <v/>
      </c>
    </row>
    <row r="4">
      <c r="A4" s="2" t="inlineStr">
        <is>
          <t>BHS-SLQ LD</t>
        </is>
      </c>
      <c r="B4" s="2" t="n">
        <v>42</v>
      </c>
      <c r="C4" s="2" t="n">
        <v>2.324</v>
      </c>
      <c r="D4" s="2" t="n">
        <v>250</v>
      </c>
      <c r="E4" s="2" t="n">
        <v>9.81</v>
      </c>
      <c r="F4" s="2">
        <f>D4*E4/1000</f>
        <v/>
      </c>
      <c r="G4" s="2">
        <f>C4*F4</f>
        <v/>
      </c>
      <c r="H4" s="2">
        <f>B4*G4</f>
        <v/>
      </c>
      <c r="I4" s="2" t="n">
        <v>268.42</v>
      </c>
      <c r="J4" s="2">
        <f>I4-H4</f>
        <v/>
      </c>
      <c r="K4" s="2">
        <f>B4*1000/400</f>
        <v/>
      </c>
      <c r="L4" s="2" t="n">
        <v>32</v>
      </c>
      <c r="M4" s="2">
        <f>L4/K4</f>
        <v/>
      </c>
      <c r="N4" s="2">
        <f>B4*1000/500</f>
        <v/>
      </c>
      <c r="O4" s="2" t="n">
        <v>76</v>
      </c>
      <c r="P4" s="2">
        <f>O4/N4</f>
        <v/>
      </c>
    </row>
  </sheetData>
  <autoFilter ref="A1:P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Bridge</t>
        </is>
      </c>
      <c r="B1" s="1" t="inlineStr">
        <is>
          <t>q global kN/m2</t>
        </is>
      </c>
      <c r="C1" s="1" t="inlineStr">
        <is>
          <t>q grating local kN/m2</t>
        </is>
      </c>
      <c r="D1" s="1" t="inlineStr">
        <is>
          <t>Line LL kN/m</t>
        </is>
      </c>
      <c r="E1" s="1" t="inlineStr">
        <is>
          <t>Rectangle LL kN</t>
        </is>
      </c>
      <c r="F1" s="1" t="inlineStr">
        <is>
          <t>Source LL kN</t>
        </is>
      </c>
      <c r="G1" s="1" t="inlineStr">
        <is>
          <t>Vertical limit mm</t>
        </is>
      </c>
      <c r="H1" s="1" t="inlineStr">
        <is>
          <t>Source vertical mm</t>
        </is>
      </c>
      <c r="I1" s="1" t="inlineStr">
        <is>
          <t>Ratio vertical</t>
        </is>
      </c>
      <c r="J1" s="1" t="inlineStr">
        <is>
          <t>Lateral limit mm</t>
        </is>
      </c>
      <c r="K1" s="1" t="inlineStr">
        <is>
          <t>Source lateral mm</t>
        </is>
      </c>
      <c r="L1" s="1" t="inlineStr">
        <is>
          <t>Ratio lateral</t>
        </is>
      </c>
      <c r="M1" s="1" t="inlineStr">
        <is>
          <t>Listed member UC</t>
        </is>
      </c>
      <c r="N1" s="1" t="inlineStr">
        <is>
          <t>Listed joint UC</t>
        </is>
      </c>
    </row>
    <row r="2">
      <c r="A2" s="2" t="inlineStr">
        <is>
          <t>ICW-ICG LD</t>
        </is>
      </c>
      <c r="B2" s="2" t="n">
        <v>2.4525</v>
      </c>
      <c r="C2" s="2" t="n">
        <v>4.905</v>
      </c>
      <c r="D2" s="2" t="n">
        <v>2.943</v>
      </c>
      <c r="E2" s="2" t="n">
        <v>164.808</v>
      </c>
      <c r="F2" s="2" t="n">
        <v>156.25</v>
      </c>
      <c r="G2" s="2" t="n">
        <v>140</v>
      </c>
      <c r="H2" s="2" t="n">
        <v>105</v>
      </c>
      <c r="I2" s="2" t="n">
        <v>0.75</v>
      </c>
      <c r="J2" s="2" t="n">
        <v>112</v>
      </c>
      <c r="K2" s="2" t="n">
        <v>87</v>
      </c>
      <c r="L2" s="2" t="n">
        <v>0.7767857142857143</v>
      </c>
      <c r="M2" s="2" t="n">
        <v>0.5570000000000001</v>
      </c>
      <c r="N2" s="2" t="n">
        <v>0.509</v>
      </c>
    </row>
    <row r="3">
      <c r="A3" s="2" t="inlineStr">
        <is>
          <t>ICP-ICG LD</t>
        </is>
      </c>
      <c r="B3" s="2" t="n">
        <v>2.4525</v>
      </c>
      <c r="C3" s="2" t="n">
        <v>4.905</v>
      </c>
      <c r="D3" s="2" t="n">
        <v>2.943</v>
      </c>
      <c r="E3" s="2" t="n">
        <v>247.212</v>
      </c>
      <c r="F3" s="2" t="n">
        <v>288</v>
      </c>
      <c r="G3" s="2" t="n">
        <v>210</v>
      </c>
      <c r="H3" s="2" t="n">
        <v>177</v>
      </c>
      <c r="I3" s="2" t="n">
        <v>0.8428571428571429</v>
      </c>
      <c r="J3" s="2" t="n">
        <v>168</v>
      </c>
      <c r="K3" s="2" t="n">
        <v>123</v>
      </c>
      <c r="L3" s="2" t="n">
        <v>0.7321428571428571</v>
      </c>
      <c r="M3" s="2" t="n">
        <v>0.61</v>
      </c>
      <c r="N3" s="2" t="n">
        <v>0.625</v>
      </c>
    </row>
    <row r="4">
      <c r="A4" s="2" t="inlineStr">
        <is>
          <t>BHS-SLQ LD</t>
        </is>
      </c>
      <c r="B4" s="2" t="n">
        <v>2.4525</v>
      </c>
      <c r="C4" s="2" t="n">
        <v>4.905</v>
      </c>
      <c r="D4" s="2" t="n">
        <v>5.699610000000001</v>
      </c>
      <c r="E4" s="2" t="n">
        <v>239.38362</v>
      </c>
      <c r="F4" s="2" t="n">
        <v>268.42</v>
      </c>
      <c r="G4" s="2" t="n">
        <v>105</v>
      </c>
      <c r="H4" s="2" t="n">
        <v>32</v>
      </c>
      <c r="I4" s="2" t="n">
        <v>0.3047619047619048</v>
      </c>
      <c r="J4" s="2" t="n">
        <v>84</v>
      </c>
      <c r="K4" s="2" t="n">
        <v>76</v>
      </c>
      <c r="L4" s="2" t="n">
        <v>0.9047619047619048</v>
      </c>
      <c r="M4" s="2" t="n">
        <v>0.916</v>
      </c>
      <c r="N4" s="2" t="n">
        <v>0.859</v>
      </c>
    </row>
  </sheetData>
  <autoFilter ref="A1:N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Source OD mm</t>
        </is>
      </c>
      <c r="B1" s="1" t="inlineStr">
        <is>
          <t>Source wall mm</t>
        </is>
      </c>
      <c r="C1" s="1" t="inlineStr">
        <is>
          <t>ID mm</t>
        </is>
      </c>
      <c r="D1" s="1" t="inlineStr">
        <is>
          <t>Area mm2</t>
        </is>
      </c>
      <c r="E1" s="1" t="inlineStr">
        <is>
          <t>I mm4</t>
        </is>
      </c>
      <c r="F1" s="1" t="inlineStr">
        <is>
          <t>Elastic Z mm3</t>
        </is>
      </c>
      <c r="G1" s="1" t="inlineStr">
        <is>
          <t>Radius gyration mm</t>
        </is>
      </c>
      <c r="H1" s="1" t="inlineStr">
        <is>
          <t>Mass kg/m</t>
        </is>
      </c>
      <c r="I1" s="1" t="inlineStr">
        <is>
          <t>Source VIV length m</t>
        </is>
      </c>
      <c r="J1" s="1" t="inlineStr">
        <is>
          <t>Adoption status</t>
        </is>
      </c>
    </row>
    <row r="2">
      <c r="A2" s="2" t="n">
        <v>406</v>
      </c>
      <c r="B2" s="2" t="n">
        <v>15.9</v>
      </c>
      <c r="C2" s="2" t="n">
        <v>374.2</v>
      </c>
      <c r="D2" s="2" t="n">
        <v>19486.01117722953</v>
      </c>
      <c r="E2" s="2" t="n">
        <v>371283582.7842826</v>
      </c>
      <c r="F2" s="2" t="n">
        <v>1828983.166425037</v>
      </c>
      <c r="G2" s="2" t="n">
        <v>138.0356928479007</v>
      </c>
      <c r="H2" s="2" t="n">
        <v>152.9651877412518</v>
      </c>
      <c r="I2" s="2" t="n">
        <v>4</v>
      </c>
      <c r="J2" s="2" t="inlineStr">
        <is>
          <t>Source ICP VIV table only; member mapping, resistance and selection NOT established</t>
        </is>
      </c>
    </row>
    <row r="3">
      <c r="A3" s="2" t="n">
        <v>406</v>
      </c>
      <c r="B3" s="2" t="n">
        <v>12.7</v>
      </c>
      <c r="C3" s="2" t="n">
        <v>380.6</v>
      </c>
      <c r="D3" s="2" t="n">
        <v>15691.97256134218</v>
      </c>
      <c r="E3" s="2" t="n">
        <v>303730250.9735816</v>
      </c>
      <c r="F3" s="2" t="n">
        <v>1496208.132874786</v>
      </c>
      <c r="G3" s="2" t="n">
        <v>139.1250247079942</v>
      </c>
      <c r="H3" s="2" t="n">
        <v>123.1819846065361</v>
      </c>
      <c r="I3" s="2" t="n">
        <v>4</v>
      </c>
      <c r="J3" s="2" t="inlineStr">
        <is>
          <t>Source ICP VIV table only; member mapping, resistance and selection NOT established</t>
        </is>
      </c>
    </row>
    <row r="4">
      <c r="A4" s="2" t="n">
        <v>168</v>
      </c>
      <c r="B4" s="2" t="n">
        <v>9.5</v>
      </c>
      <c r="C4" s="2" t="n">
        <v>149</v>
      </c>
      <c r="D4" s="2" t="n">
        <v>4730.453138142831</v>
      </c>
      <c r="E4" s="2" t="n">
        <v>14908318.71817827</v>
      </c>
      <c r="F4" s="2" t="n">
        <v>177479.9847402174</v>
      </c>
      <c r="G4" s="2" t="n">
        <v>56.13877893221405</v>
      </c>
      <c r="H4" s="2" t="n">
        <v>37.13405713442122</v>
      </c>
      <c r="I4" s="2" t="n">
        <v>4.98</v>
      </c>
      <c r="J4" s="2" t="inlineStr">
        <is>
          <t>Source ICP VIV table only; member mapping, resistance and selection NOT established</t>
        </is>
      </c>
    </row>
    <row r="5">
      <c r="A5" s="2" t="n">
        <v>114</v>
      </c>
      <c r="B5" s="2" t="n">
        <v>7.9</v>
      </c>
      <c r="C5" s="2" t="n">
        <v>98.2</v>
      </c>
      <c r="D5" s="2" t="n">
        <v>2633.251546312429</v>
      </c>
      <c r="E5" s="2" t="n">
        <v>3725925.858583637</v>
      </c>
      <c r="F5" s="2" t="n">
        <v>65367.12032602871</v>
      </c>
      <c r="G5" s="2" t="n">
        <v>37.61585437019874</v>
      </c>
      <c r="H5" s="2" t="n">
        <v>20.67102463855256</v>
      </c>
      <c r="I5" s="2" t="n">
        <v>4.71</v>
      </c>
      <c r="J5" s="2" t="inlineStr">
        <is>
          <t>Source ICP VIV table only; member mapping, resistance and selection NOT established</t>
        </is>
      </c>
    </row>
  </sheetData>
  <autoFilter ref="A1:J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Bridge</t>
        </is>
      </c>
      <c r="B1" s="1" t="inlineStr">
        <is>
          <t>L study m</t>
        </is>
      </c>
      <c r="C1" s="1" t="inlineStr">
        <is>
          <t>Alpha per C</t>
        </is>
      </c>
      <c r="D1" s="1" t="inlineStr">
        <is>
          <t>Expansion mm per C</t>
        </is>
      </c>
      <c r="E1" s="1" t="inlineStr">
        <is>
          <t>At10C mm</t>
        </is>
      </c>
      <c r="F1" s="1" t="inlineStr">
        <is>
          <t>At20C mm</t>
        </is>
      </c>
      <c r="G1" s="1" t="inlineStr">
        <is>
          <t>Status</t>
        </is>
      </c>
    </row>
    <row r="2">
      <c r="A2" s="2" t="inlineStr">
        <is>
          <t>ICW-ICG LD</t>
        </is>
      </c>
      <c r="B2" s="2" t="n">
        <v>56</v>
      </c>
      <c r="C2" s="2" t="n">
        <v>1.2e-05</v>
      </c>
      <c r="D2" s="2" t="n">
        <v>0.672</v>
      </c>
      <c r="E2" s="2" t="n">
        <v>6.720000000000001</v>
      </c>
      <c r="F2" s="2" t="n">
        <v>13.44</v>
      </c>
      <c r="G2" s="2" t="inlineStr">
        <is>
          <t>Sensitivity only; design thermal range and movement combination pending</t>
        </is>
      </c>
    </row>
    <row r="3">
      <c r="A3" s="2" t="inlineStr">
        <is>
          <t>ICP-ICG LD</t>
        </is>
      </c>
      <c r="B3" s="2" t="n">
        <v>84</v>
      </c>
      <c r="C3" s="2" t="n">
        <v>1.2e-05</v>
      </c>
      <c r="D3" s="2" t="n">
        <v>1.008</v>
      </c>
      <c r="E3" s="2" t="n">
        <v>10.08</v>
      </c>
      <c r="F3" s="2" t="n">
        <v>20.16</v>
      </c>
      <c r="G3" s="2" t="inlineStr">
        <is>
          <t>Sensitivity only; design thermal range and movement combination pending</t>
        </is>
      </c>
    </row>
    <row r="4">
      <c r="A4" s="2" t="inlineStr">
        <is>
          <t>BHS-SLQ LD</t>
        </is>
      </c>
      <c r="B4" s="2" t="n">
        <v>42</v>
      </c>
      <c r="C4" s="2" t="n">
        <v>1.2e-05</v>
      </c>
      <c r="D4" s="2" t="n">
        <v>0.504</v>
      </c>
      <c r="E4" s="2" t="n">
        <v>5.04</v>
      </c>
      <c r="F4" s="2" t="n">
        <v>10.08</v>
      </c>
      <c r="G4" s="2" t="inlineStr">
        <is>
          <t>Sensitivity only; design thermal range and movement combination pending</t>
        </is>
      </c>
    </row>
  </sheetData>
  <autoFilter ref="A1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Bridge</t>
        </is>
      </c>
      <c r="B1" s="1" t="inlineStr">
        <is>
          <t>Platform A translation mm</t>
        </is>
      </c>
      <c r="C1" s="1" t="inlineStr">
        <is>
          <t>Platform B translation mm</t>
        </is>
      </c>
      <c r="D1" s="1" t="inlineStr">
        <is>
          <t>150% worst-sum mm</t>
        </is>
      </c>
      <c r="E1" s="1" t="inlineStr">
        <is>
          <t>Expected axial thrust kN</t>
        </is>
      </c>
      <c r="F1" s="1" t="inlineStr">
        <is>
          <t>150% thrust kN</t>
        </is>
      </c>
      <c r="G1" s="1" t="inlineStr">
        <is>
          <t>Application</t>
        </is>
      </c>
    </row>
    <row r="2">
      <c r="A2" s="2" t="inlineStr">
        <is>
          <t>ICW-ICG LD</t>
        </is>
      </c>
      <c r="B2" s="2" t="n"/>
      <c r="C2" s="2" t="n"/>
      <c r="D2" s="2">
        <f>IF(COUNT(B2:C2)&lt;2,"INPUT REQUIRED",1.5*(ABS(B2)+ABS(C2)))</f>
        <v/>
      </c>
      <c r="E2" s="2" t="n"/>
      <c r="F2" s="2">
        <f>IF(COUNT(E2)&lt;1,"INPUT REQUIRED",1.5*ABS(E2))</f>
        <v/>
      </c>
      <c r="G2" s="2" t="inlineStr">
        <is>
          <t>Enter directional absolute platform movements and compatible thrust; rotation, thermal and guides require separate compatible checks</t>
        </is>
      </c>
    </row>
    <row r="3">
      <c r="A3" s="2" t="inlineStr">
        <is>
          <t>ICP-ICG LD</t>
        </is>
      </c>
      <c r="B3" s="2" t="n"/>
      <c r="C3" s="2" t="n"/>
      <c r="D3" s="2">
        <f>IF(COUNT(B3:C3)&lt;2,"INPUT REQUIRED",1.5*(ABS(B3)+ABS(C3)))</f>
        <v/>
      </c>
      <c r="E3" s="2" t="n"/>
      <c r="F3" s="2">
        <f>IF(COUNT(E3)&lt;1,"INPUT REQUIRED",1.5*ABS(E3))</f>
        <v/>
      </c>
      <c r="G3" s="2" t="inlineStr">
        <is>
          <t>Enter directional absolute platform movements and compatible thrust; rotation, thermal and guides require separate compatible checks</t>
        </is>
      </c>
    </row>
    <row r="4">
      <c r="A4" s="2" t="inlineStr">
        <is>
          <t>BHS-SLQ LD</t>
        </is>
      </c>
      <c r="B4" s="2" t="n"/>
      <c r="C4" s="2" t="n"/>
      <c r="D4" s="2">
        <f>IF(COUNT(B4:C4)&lt;2,"INPUT REQUIRED",1.5*(ABS(B4)+ABS(C4)))</f>
        <v/>
      </c>
      <c r="E4" s="2" t="n"/>
      <c r="F4" s="2">
        <f>IF(COUNT(E4)&lt;1,"INPUT REQUIRED",1.5*ABS(E4))</f>
        <v/>
      </c>
      <c r="G4" s="2" t="inlineStr">
        <is>
          <t>Enter directional absolute platform movements and compatible thrust; rotation, thermal and guides require separate compatible checks</t>
        </is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Platform</t>
        </is>
      </c>
      <c r="B1" s="1" t="inlineStr">
        <is>
          <t>Existing OD mm</t>
        </is>
      </c>
      <c r="C1" s="1" t="inlineStr">
        <is>
          <t>Existing nominal wall mm</t>
        </is>
      </c>
      <c r="D1" s="1" t="inlineStr">
        <is>
          <t>Length m</t>
        </is>
      </c>
      <c r="E1" s="1" t="inlineStr">
        <is>
          <t>Wrap wall mm</t>
        </is>
      </c>
      <c r="F1" s="1" t="inlineStr">
        <is>
          <t>Neutral circumference mm</t>
        </is>
      </c>
      <c r="G1" s="1" t="inlineStr">
        <is>
          <t>Ideal shell volume m3</t>
        </is>
      </c>
      <c r="H1" s="1" t="inlineStr">
        <is>
          <t>Ideal shell mass kg</t>
        </is>
      </c>
      <c r="I1" s="1" t="inlineStr">
        <is>
          <t>Ideal shell mass MT</t>
        </is>
      </c>
      <c r="J1" s="1" t="inlineStr">
        <is>
          <t>Limitations</t>
        </is>
      </c>
    </row>
    <row r="2">
      <c r="A2" s="2" t="inlineStr">
        <is>
          <t>ICG</t>
        </is>
      </c>
      <c r="B2" s="2" t="n">
        <v>660</v>
      </c>
      <c r="C2" s="2" t="n">
        <v>12.7</v>
      </c>
      <c r="D2" s="2" t="n">
        <v>15</v>
      </c>
      <c r="E2" s="2" t="n">
        <v>10</v>
      </c>
      <c r="F2" s="2" t="n">
        <v>2104.867077905161</v>
      </c>
      <c r="G2" s="2" t="n">
        <v>0.3157300616857742</v>
      </c>
      <c r="H2" s="2" t="n">
        <v>2478.480984233327</v>
      </c>
      <c r="I2" s="2" t="n">
        <v>2.478480984233328</v>
      </c>
      <c r="J2" s="2" t="inlineStr">
        <is>
          <t>Ideal external full annulus only; four-quarter cuts, fit-up, corrosion, welds, end details, tolerances and wastage excluded. Not a purchase quantity.</t>
        </is>
      </c>
    </row>
    <row r="3">
      <c r="A3" s="2" t="inlineStr">
        <is>
          <t>ICP</t>
        </is>
      </c>
      <c r="B3" s="2" t="n">
        <v>762</v>
      </c>
      <c r="C3" s="2" t="n">
        <v>16</v>
      </c>
      <c r="D3" s="2" t="n">
        <v>13.5</v>
      </c>
      <c r="E3" s="2" t="n">
        <v>12</v>
      </c>
      <c r="F3" s="2" t="n">
        <v>2431.5927138785</v>
      </c>
      <c r="G3" s="2" t="n">
        <v>0.393918019648317</v>
      </c>
      <c r="H3" s="2" t="n">
        <v>3092.256454239288</v>
      </c>
      <c r="I3" s="2" t="n">
        <v>3.092256454239288</v>
      </c>
      <c r="J3" s="2" t="inlineStr">
        <is>
          <t>Ideal external full annulus only; four-quarter cuts, fit-up, corrosion, welds, end details, tolerances and wastage excluded. Not a purchase quantity.</t>
        </is>
      </c>
    </row>
    <row r="4">
      <c r="A4" s="2" t="inlineStr">
        <is>
          <t>BHS</t>
        </is>
      </c>
      <c r="B4" s="2" t="n">
        <v>457</v>
      </c>
      <c r="C4" s="2" t="n">
        <v>12.7</v>
      </c>
      <c r="D4" s="2" t="n">
        <v>3</v>
      </c>
      <c r="E4" s="2" t="n">
        <v>10</v>
      </c>
      <c r="F4" s="2" t="n">
        <v>1467.123769226433</v>
      </c>
      <c r="G4" s="2" t="n">
        <v>0.04401371307679301</v>
      </c>
      <c r="H4" s="2" t="n">
        <v>345.5076476528251</v>
      </c>
      <c r="I4" s="2" t="n">
        <v>0.3455076476528251</v>
      </c>
      <c r="J4" s="2" t="inlineStr">
        <is>
          <t>Ideal external full annulus only; four-quarter cuts, fit-up, corrosion, welds, end details, tolerances and wastage excluded. Not a purchase quantity.</t>
        </is>
      </c>
    </row>
  </sheetData>
  <autoFilter ref="A1:J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28" customWidth="1" min="3" max="3"/>
    <col width="110" customWidth="1" min="4" max="4"/>
  </cols>
  <sheetData>
    <row r="1">
      <c r="A1" s="1" t="inlineStr">
        <is>
          <t>ID</t>
        </is>
      </c>
      <c r="B1" s="1" t="inlineStr">
        <is>
          <t>Subject</t>
        </is>
      </c>
      <c r="C1" s="1" t="inlineStr">
        <is>
          <t>Status</t>
        </is>
      </c>
      <c r="D1" s="1" t="inlineStr">
        <is>
          <t>Required action</t>
        </is>
      </c>
    </row>
    <row r="2">
      <c r="A2" s="2" t="inlineStr">
        <is>
          <t>Q01</t>
        </is>
      </c>
      <c r="B2" s="2" t="inlineStr">
        <is>
          <t>Final bearing centres, levels, skew and condition</t>
        </is>
      </c>
      <c r="C2" s="2" t="inlineStr">
        <is>
          <t>OPEN</t>
        </is>
      </c>
      <c r="D2" s="2" t="inlineStr">
        <is>
          <t>Survey-dependent geometry; model length is not shop length</t>
        </is>
      </c>
    </row>
    <row r="3">
      <c r="A3" s="2" t="inlineStr">
        <is>
          <t>Q02</t>
        </is>
      </c>
      <c r="B3" s="2" t="inlineStr">
        <is>
          <t>Native analysis connectivity/member groups/load map</t>
        </is>
      </c>
      <c r="C3" s="2" t="inlineStr">
        <is>
          <t>OPEN</t>
        </is>
      </c>
      <c r="D3" s="2" t="inlineStr">
        <is>
          <t>No independently reproduced FE model in this package</t>
        </is>
      </c>
    </row>
    <row r="4">
      <c r="A4" s="2" t="inlineStr">
        <is>
          <t>Q03</t>
        </is>
      </c>
      <c r="B4" s="2" t="inlineStr">
        <is>
          <t>Actual live-load areas and report/model differences</t>
        </is>
      </c>
      <c r="C4" s="2" t="inlineStr">
        <is>
          <t>OPEN</t>
        </is>
      </c>
      <c r="D4" s="2" t="inlineStr">
        <is>
          <t>Rectangle screens do not replace documented load generation</t>
        </is>
      </c>
    </row>
    <row r="5">
      <c r="A5" s="2" t="inlineStr">
        <is>
          <t>Q04</t>
        </is>
      </c>
      <c r="B5" s="2" t="inlineStr">
        <is>
          <t>Camber instruction in reports versus criteria rule</t>
        </is>
      </c>
      <c r="C5" s="2" t="inlineStr">
        <is>
          <t>PARTLY RESOLVED</t>
        </is>
      </c>
      <c r="D5" s="2" t="inlineStr">
        <is>
          <t>Dead-load compensation governs; profile and construction datum still required</t>
        </is>
      </c>
    </row>
    <row r="6">
      <c r="A6" s="2" t="inlineStr">
        <is>
          <t>Q05</t>
        </is>
      </c>
      <c r="B6" s="2" t="inlineStr">
        <is>
          <t>BHS SLQ support wording</t>
        </is>
      </c>
      <c r="C6" s="2" t="inlineStr">
        <is>
          <t>OPEN</t>
        </is>
      </c>
      <c r="D6" s="2" t="inlineStr">
        <is>
          <t>Report and methodology support fixed intent; SOW conflicting wording needs formal resolution</t>
        </is>
      </c>
    </row>
    <row r="7">
      <c r="A7" s="2" t="inlineStr">
        <is>
          <t>Q06</t>
        </is>
      </c>
      <c r="B7" s="2" t="inlineStr">
        <is>
          <t>Wind duration difference</t>
        </is>
      </c>
      <c r="C7" s="2" t="inlineStr">
        <is>
          <t>EXPLAINED</t>
        </is>
      </c>
      <c r="D7" s="2" t="inlineStr">
        <is>
          <t>15sec for&gt;50m;3sec for&lt;50m; height/speed derivation pending</t>
        </is>
      </c>
    </row>
    <row r="8">
      <c r="A8" s="2" t="inlineStr">
        <is>
          <t>Q07</t>
        </is>
      </c>
      <c r="B8" s="2" t="inlineStr">
        <is>
          <t>Source member schedule / code editions / effective lengths</t>
        </is>
      </c>
      <c r="C8" s="2" t="inlineStr">
        <is>
          <t>OPEN</t>
        </is>
      </c>
      <c r="D8" s="2" t="inlineStr">
        <is>
          <t>VIV list is not a full member schedule</t>
        </is>
      </c>
    </row>
    <row r="9">
      <c r="A9" s="2" t="inlineStr">
        <is>
          <t>Q08</t>
        </is>
      </c>
      <c r="B9" s="2" t="inlineStr">
        <is>
          <t>Signed concurrent support reactions / existing capacity</t>
        </is>
      </c>
      <c r="C9" s="2" t="inlineStr">
        <is>
          <t>OPEN</t>
        </is>
      </c>
      <c r="D9" s="2" t="inlineStr">
        <is>
          <t>Summary values cannot be assembled into a fictitious concurrent case</t>
        </is>
      </c>
    </row>
    <row r="10">
      <c r="A10" s="2" t="inlineStr">
        <is>
          <t>Q09</t>
        </is>
      </c>
      <c r="B10" s="2" t="inlineStr">
        <is>
          <t>Missing101/102 main GA and0005;103series drawings</t>
        </is>
      </c>
      <c r="C10" s="2" t="inlineStr">
        <is>
          <t>OPEN</t>
        </is>
      </c>
      <c r="D10" s="2" t="inlineStr">
        <is>
          <t>Existing drawings and source studies used; gaps remain recorded</t>
        </is>
      </c>
    </row>
    <row r="11">
      <c r="A11" s="2" t="inlineStr">
        <is>
          <t>Q10</t>
        </is>
      </c>
      <c r="B11" s="2" t="inlineStr">
        <is>
          <t>Material grade, toughness and corrosion application</t>
        </is>
      </c>
      <c r="C11" s="2" t="inlineStr">
        <is>
          <t>OPEN</t>
        </is>
      </c>
      <c r="D11" s="2" t="inlineStr">
        <is>
          <t>50ksi yield in study does not establish full material procurement specification</t>
        </is>
      </c>
    </row>
    <row r="12">
      <c r="A12" s="2" t="inlineStr">
        <is>
          <t>Q11</t>
        </is>
      </c>
      <c r="B12" s="2" t="inlineStr">
        <is>
          <t>BHS piping20%future allowance</t>
        </is>
      </c>
      <c r="C12" s="2" t="inlineStr">
        <is>
          <t>OPEN</t>
        </is>
      </c>
      <c r="D12" s="2" t="inlineStr">
        <is>
          <t>Confirm whether source1440kN already contains it; avoid duplication</t>
        </is>
      </c>
    </row>
    <row r="13">
      <c r="A13" s="2" t="inlineStr">
        <is>
          <t>Q12</t>
        </is>
      </c>
      <c r="B13" s="2" t="inlineStr">
        <is>
          <t>Weights and lift modules</t>
        </is>
      </c>
      <c r="C13" s="2" t="inlineStr">
        <is>
          <t>OPEN</t>
        </is>
      </c>
      <c r="D13" s="2" t="inlineStr">
        <is>
          <t>Tender MT values are not verified lifted masses</t>
        </is>
      </c>
    </row>
    <row r="14">
      <c r="A14" s="2" t="inlineStr">
        <is>
          <t>Q13</t>
        </is>
      </c>
      <c r="B14" s="2" t="inlineStr">
        <is>
          <t>MTO1MT difference</t>
        </is>
      </c>
      <c r="C14" s="2" t="inlineStr">
        <is>
          <t>OPEN</t>
        </is>
      </c>
      <c r="D14" s="2" t="inlineStr">
        <is>
          <t>Existing landing strengthening rows216vs217MT summary</t>
        </is>
      </c>
    </row>
    <row r="15">
      <c r="A15" s="2" t="inlineStr">
        <is>
          <t>Q14</t>
        </is>
      </c>
      <c r="B15" s="2" t="inlineStr">
        <is>
          <t>Other-project documents</t>
        </is>
      </c>
      <c r="C15" s="2" t="inlineStr">
        <is>
          <t>CONTROLLED</t>
        </is>
      </c>
      <c r="D15" s="2" t="inlineStr">
        <is>
          <t>BRRP PartII adopted; S&amp;SRP/WSSRP-2 project-specific scope excluded unless directed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2026-10-25T05:46:47Z</dcterms:created>
  <dcterms:modified xmlns:dcterms="http://purl.org/dc/terms/" xmlns:xsi="http://www.w3.org/2001/XMLSchema-instance" xsi:type="dcterms:W3CDTF">2026-10-25T05:46:47Z</dcterms:modified>
</cp:coreProperties>
</file>